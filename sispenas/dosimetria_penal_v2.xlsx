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simetria" sheetId="1" state="visible" r:id="rId1"/>
    <sheet xmlns:r="http://schemas.openxmlformats.org/officeDocument/2006/relationships" name="Progressão" sheetId="2" state="visible" r:id="rId2"/>
    <sheet xmlns:r="http://schemas.openxmlformats.org/officeDocument/2006/relationships" name="Prescrição" sheetId="3" state="visible" r:id="rId3"/>
    <sheet xmlns:r="http://schemas.openxmlformats.org/officeDocument/2006/relationships" name="Concurso de Crimes" sheetId="4" state="visible" r:id="rId4"/>
    <sheet xmlns:r="http://schemas.openxmlformats.org/officeDocument/2006/relationships" name="Detração e Remição" sheetId="5" state="visible" r:id="rId5"/>
    <sheet xmlns:r="http://schemas.openxmlformats.org/officeDocument/2006/relationships" name="Prazos Processuais" sheetId="6" state="visible" r:id="rId6"/>
    <sheet xmlns:r="http://schemas.openxmlformats.org/officeDocument/2006/relationships" name="Multa" sheetId="7" state="visible" r:id="rId7"/>
    <sheet xmlns:r="http://schemas.openxmlformats.org/officeDocument/2006/relationships" name="ANPP e Sursis" sheetId="8" state="visible" r:id="rId8"/>
    <sheet xmlns:r="http://schemas.openxmlformats.org/officeDocument/2006/relationships" name="Catálogo de Crimes" sheetId="9" state="visible" r:id="rId9"/>
    <sheet xmlns:r="http://schemas.openxmlformats.org/officeDocument/2006/relationships" name="Teoria do Crime" sheetId="10" state="visible" r:id="rId10"/>
    <sheet xmlns:r="http://schemas.openxmlformats.org/officeDocument/2006/relationships" name="Justificativa" sheetId="11" state="visible" r:id="rId11"/>
    <sheet xmlns:r="http://schemas.openxmlformats.org/officeDocument/2006/relationships" name="Catálogo Granularizado" sheetId="12" state="visible" r:id="rId12"/>
  </sheets>
  <definedNames>
    <definedName name="_xlnm._FilterDatabase" localSheetId="8" hidden="1">'Catálogo de Crimes'!$A$3:$N$532</definedName>
    <definedName name="_xlnm._FilterDatabase" localSheetId="11" hidden="1">'Catálogo Granularizado'!$A$3:$P$1064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4"/>
    </font>
    <font>
      <b val="1"/>
      <sz val="11"/>
    </font>
    <font>
      <b val="1"/>
    </font>
    <font>
      <b val="1"/>
      <color rgb="00FFFFFF"/>
      <sz val="12"/>
    </font>
    <font>
      <b val="1"/>
      <sz val="13"/>
    </font>
    <font>
      <b val="1"/>
      <sz val="12"/>
    </font>
    <font>
      <i val="1"/>
      <sz val="10"/>
    </font>
    <font>
      <b val="1"/>
      <color rgb="00FFFFFF"/>
      <sz val="11"/>
    </font>
    <font>
      <i val="1"/>
      <color rgb="00666666"/>
    </font>
    <font>
      <b val="1"/>
      <color rgb="001B5E20"/>
      <sz val="14"/>
    </font>
  </fonts>
  <fills count="11">
    <fill>
      <patternFill/>
    </fill>
    <fill>
      <patternFill patternType="gray125"/>
    </fill>
    <fill>
      <patternFill patternType="solid">
        <fgColor rgb="00D6E4F0"/>
        <bgColor rgb="00D6E4F0"/>
      </patternFill>
    </fill>
    <fill>
      <patternFill patternType="solid">
        <fgColor rgb="00FFFFCC"/>
        <bgColor rgb="00FFFFCC"/>
      </patternFill>
    </fill>
    <fill>
      <patternFill patternType="solid">
        <fgColor rgb="00C6EFCE"/>
        <bgColor rgb="00C6EFCE"/>
      </patternFill>
    </fill>
    <fill>
      <patternFill patternType="solid">
        <fgColor rgb="001F4E79"/>
        <bgColor rgb="001F4E79"/>
      </patternFill>
    </fill>
    <fill>
      <patternFill patternType="solid">
        <fgColor rgb="00FCE4EC"/>
        <bgColor rgb="00FCE4EC"/>
      </patternFill>
    </fill>
    <fill>
      <patternFill patternType="solid">
        <fgColor rgb="00F2F2F2"/>
        <bgColor rgb="00F2F2F2"/>
      </patternFill>
    </fill>
    <fill>
      <patternFill patternType="solid">
        <fgColor rgb="002E7D32"/>
        <bgColor rgb="002E7D32"/>
      </patternFill>
    </fill>
    <fill>
      <patternFill patternType="solid">
        <fgColor rgb="00FFF3E0"/>
        <bgColor rgb="00FFF3E0"/>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33">
    <xf numFmtId="0" fontId="0" fillId="0" borderId="0" pivotButton="0" quotePrefix="0" xfId="0"/>
    <xf numFmtId="0" fontId="1" fillId="0" borderId="0" pivotButton="0" quotePrefix="0" xfId="0"/>
    <xf numFmtId="0" fontId="2" fillId="2" borderId="0" pivotButton="0" quotePrefix="0" xfId="0"/>
    <xf numFmtId="0" fontId="0" fillId="2" borderId="0" pivotButton="0" quotePrefix="0" xfId="0"/>
    <xf numFmtId="0" fontId="0" fillId="3" borderId="1" pivotButton="0" quotePrefix="0" xfId="0"/>
    <xf numFmtId="0" fontId="3" fillId="4" borderId="1" pivotButton="0" quotePrefix="0" xfId="0"/>
    <xf numFmtId="0" fontId="4" fillId="5" borderId="1" applyAlignment="1" pivotButton="0" quotePrefix="0" xfId="0">
      <alignment horizontal="center" vertical="center"/>
    </xf>
    <xf numFmtId="0" fontId="0" fillId="0" borderId="1" pivotButton="0" quotePrefix="0" xfId="0"/>
    <xf numFmtId="0" fontId="4" fillId="5" borderId="0" pivotButton="0" quotePrefix="0" xfId="0"/>
    <xf numFmtId="0" fontId="5" fillId="0" borderId="0" pivotButton="0" quotePrefix="0" xfId="0"/>
    <xf numFmtId="0" fontId="6" fillId="0" borderId="0" pivotButton="0" quotePrefix="0" xfId="0"/>
    <xf numFmtId="0" fontId="3" fillId="2" borderId="0" pivotButton="0" quotePrefix="0" xfId="0"/>
    <xf numFmtId="0" fontId="2" fillId="0" borderId="0" pivotButton="0" quotePrefix="0" xfId="0"/>
    <xf numFmtId="0" fontId="9" fillId="0" borderId="0" pivotButton="0" quotePrefix="0" xfId="0"/>
    <xf numFmtId="0" fontId="7" fillId="0" borderId="0" pivotButton="0" quotePrefix="0" xfId="0"/>
    <xf numFmtId="0" fontId="8" fillId="5" borderId="1" applyAlignment="1" pivotButton="0" quotePrefix="0" xfId="0">
      <alignment horizontal="center" vertical="center" wrapText="1"/>
    </xf>
    <xf numFmtId="0" fontId="0" fillId="0" borderId="1" applyAlignment="1" pivotButton="0" quotePrefix="0" xfId="0">
      <alignment wrapText="1"/>
    </xf>
    <xf numFmtId="0" fontId="0" fillId="6" borderId="1" pivotButton="0" quotePrefix="0" xfId="0"/>
    <xf numFmtId="0" fontId="0" fillId="6" borderId="1" applyAlignment="1" pivotButton="0" quotePrefix="0" xfId="0">
      <alignment wrapText="1"/>
    </xf>
    <xf numFmtId="0" fontId="0" fillId="7" borderId="1" pivotButton="0" quotePrefix="0" xfId="0"/>
    <xf numFmtId="0" fontId="0" fillId="7" borderId="1" applyAlignment="1" pivotButton="0" quotePrefix="0" xfId="0">
      <alignment wrapText="1"/>
    </xf>
    <xf numFmtId="0" fontId="0" fillId="0" borderId="0" applyAlignment="1" pivotButton="0" quotePrefix="0" xfId="0">
      <alignment wrapText="1"/>
    </xf>
    <xf numFmtId="0" fontId="4" fillId="5" borderId="0" applyAlignment="1" pivotButton="0" quotePrefix="0" xfId="0">
      <alignment wrapText="1"/>
    </xf>
    <xf numFmtId="0" fontId="0" fillId="5" borderId="0" applyAlignment="1" pivotButton="0" quotePrefix="0" xfId="0">
      <alignment wrapText="1"/>
    </xf>
    <xf numFmtId="0" fontId="10" fillId="0" borderId="0" pivotButton="0" quotePrefix="0" xfId="0"/>
    <xf numFmtId="0" fontId="8" fillId="8" borderId="1" applyAlignment="1" pivotButton="0" quotePrefix="0" xfId="0">
      <alignment horizontal="center" vertical="center" wrapText="1"/>
    </xf>
    <xf numFmtId="0" fontId="0" fillId="9" borderId="1" pivotButton="0" quotePrefix="0" xfId="0"/>
    <xf numFmtId="0" fontId="0" fillId="9" borderId="1" applyAlignment="1" pivotButton="0" quotePrefix="0" xfId="0">
      <alignment wrapText="1"/>
    </xf>
    <xf numFmtId="0" fontId="0" fillId="10" borderId="1" pivotButton="0" quotePrefix="0" xfId="0"/>
    <xf numFmtId="0" fontId="0" fillId="10" borderId="1" applyAlignment="1" pivotButton="0" quotePrefix="0" xfId="0">
      <alignment wrapText="1"/>
    </xf>
    <xf numFmtId="0" fontId="0" fillId="6" borderId="0" pivotButton="0" quotePrefix="0" xfId="0"/>
    <xf numFmtId="0" fontId="0" fillId="9"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35" customWidth="1" min="1" max="1"/>
    <col width="20" customWidth="1" min="2" max="2"/>
    <col width="25" customWidth="1" min="3" max="3"/>
    <col width="20" customWidth="1" min="4" max="4"/>
    <col width="40" customWidth="1" min="5" max="5"/>
  </cols>
  <sheetData>
    <row r="1">
      <c r="A1" s="1" t="inlineStr">
        <is>
          <t>DOSIMETRIA DA PENA — Sistema Trifásico (Art. 68, CP)</t>
        </is>
      </c>
    </row>
    <row r="3">
      <c r="A3" s="2" t="inlineStr">
        <is>
          <t>DADOS DO CRIME</t>
        </is>
      </c>
      <c r="B3" s="3" t="n"/>
      <c r="C3" s="3" t="n"/>
    </row>
    <row r="4">
      <c r="A4" t="inlineStr">
        <is>
          <t>Crime (artigo):</t>
        </is>
      </c>
      <c r="B4" s="4" t="n"/>
    </row>
    <row r="5">
      <c r="A5" t="inlineStr">
        <is>
          <t>Pena mínima (meses):</t>
        </is>
      </c>
      <c r="B5" s="4" t="n"/>
    </row>
    <row r="6">
      <c r="A6" t="inlineStr">
        <is>
          <t>Pena máxima (meses):</t>
        </is>
      </c>
      <c r="B6" s="4" t="n"/>
    </row>
    <row r="7">
      <c r="A7" t="inlineStr">
        <is>
          <t>Intervalo (máx - mín):</t>
        </is>
      </c>
      <c r="C7" s="5">
        <f>B6-B5</f>
        <v/>
      </c>
    </row>
    <row r="9">
      <c r="A9" s="2" t="inlineStr">
        <is>
          <t>1ª FASE — PENA-BASE (Art. 59, CP)</t>
        </is>
      </c>
      <c r="B9" s="3" t="n"/>
      <c r="C9" s="3" t="n"/>
      <c r="D9" s="3" t="n"/>
      <c r="E9" s="3" t="n"/>
    </row>
    <row r="10">
      <c r="A10" s="6" t="inlineStr">
        <is>
          <t>Circunstância Judicial</t>
        </is>
      </c>
      <c r="B10" s="6" t="inlineStr">
        <is>
          <t>Avaliação</t>
        </is>
      </c>
      <c r="C10" s="6" t="inlineStr">
        <is>
          <t>Fração (1/8 do intervalo)</t>
        </is>
      </c>
      <c r="D10" s="6" t="inlineStr">
        <is>
          <t>Meses adicionados</t>
        </is>
      </c>
    </row>
    <row r="11">
      <c r="A11" s="7" t="inlineStr">
        <is>
          <t>1. Culpabilidade</t>
        </is>
      </c>
      <c r="B11" s="4" t="n"/>
      <c r="C11" s="7">
        <f>$C$7/8</f>
        <v/>
      </c>
      <c r="D11" s="7">
        <f>IF(B11="Desfavorável",C11,0)</f>
        <v/>
      </c>
    </row>
    <row r="12">
      <c r="A12" s="7" t="inlineStr">
        <is>
          <t>2. Antecedentes</t>
        </is>
      </c>
      <c r="B12" s="4" t="n"/>
      <c r="C12" s="7">
        <f>$C$7/8</f>
        <v/>
      </c>
      <c r="D12" s="7">
        <f>IF(B12="Desfavorável",C12,0)</f>
        <v/>
      </c>
    </row>
    <row r="13">
      <c r="A13" s="7" t="inlineStr">
        <is>
          <t>3. Conduta social</t>
        </is>
      </c>
      <c r="B13" s="4" t="n"/>
      <c r="C13" s="7">
        <f>$C$7/8</f>
        <v/>
      </c>
      <c r="D13" s="7">
        <f>IF(B13="Desfavorável",C13,0)</f>
        <v/>
      </c>
    </row>
    <row r="14">
      <c r="A14" s="7" t="inlineStr">
        <is>
          <t>4. Personalidade do agente</t>
        </is>
      </c>
      <c r="B14" s="4" t="n"/>
      <c r="C14" s="7">
        <f>$C$7/8</f>
        <v/>
      </c>
      <c r="D14" s="7">
        <f>IF(B14="Desfavorável",C14,0)</f>
        <v/>
      </c>
    </row>
    <row r="15">
      <c r="A15" s="7" t="inlineStr">
        <is>
          <t>5. Motivos do crime</t>
        </is>
      </c>
      <c r="B15" s="4" t="n"/>
      <c r="C15" s="7">
        <f>$C$7/8</f>
        <v/>
      </c>
      <c r="D15" s="7">
        <f>IF(B15="Desfavorável",C15,0)</f>
        <v/>
      </c>
    </row>
    <row r="16">
      <c r="A16" s="7" t="inlineStr">
        <is>
          <t>6. Circunstâncias do crime</t>
        </is>
      </c>
      <c r="B16" s="4" t="n"/>
      <c r="C16" s="7">
        <f>$C$7/8</f>
        <v/>
      </c>
      <c r="D16" s="7">
        <f>IF(B16="Desfavorável",C16,0)</f>
        <v/>
      </c>
    </row>
    <row r="17">
      <c r="A17" s="7" t="inlineStr">
        <is>
          <t>7. Consequências do crime</t>
        </is>
      </c>
      <c r="B17" s="4" t="n"/>
      <c r="C17" s="7">
        <f>$C$7/8</f>
        <v/>
      </c>
      <c r="D17" s="7">
        <f>IF(B17="Desfavorável",C17,0)</f>
        <v/>
      </c>
    </row>
    <row r="18">
      <c r="A18" s="7" t="inlineStr">
        <is>
          <t>8. Comportamento da vítima</t>
        </is>
      </c>
      <c r="B18" s="4" t="n"/>
      <c r="C18" s="7">
        <f>$C$7/8</f>
        <v/>
      </c>
      <c r="D18" s="7">
        <f>IF(B18="Desfavorável",C18,0)</f>
        <v/>
      </c>
    </row>
    <row r="19">
      <c r="A19" t="inlineStr">
        <is>
          <t>Nº de desfavoráveis:</t>
        </is>
      </c>
      <c r="B19" s="5">
        <f>COUNTIF(B11:B18,"Desfavorável")</f>
        <v/>
      </c>
    </row>
    <row r="20">
      <c r="A20" t="inlineStr">
        <is>
          <t>PENA-BASE (meses):</t>
        </is>
      </c>
      <c r="B20" s="5">
        <f>B5+SUM(D11:D18)</f>
        <v/>
      </c>
      <c r="C20" t="inlineStr">
        <is>
          <t>Nota: Pena-base não pode ficar abaixo do mínimo nem acima do máximo legal</t>
        </is>
      </c>
    </row>
    <row r="22">
      <c r="A22" s="2" t="inlineStr">
        <is>
          <t>2ª FASE — AGRAVANTES E ATENUANTES (Arts. 61-66, CP)</t>
        </is>
      </c>
      <c r="B22" s="3" t="n"/>
      <c r="C22" s="3" t="n"/>
      <c r="D22" s="3" t="n"/>
      <c r="E22" s="3" t="n"/>
    </row>
    <row r="23">
      <c r="A23" s="6" t="inlineStr">
        <is>
          <t>Circunstância</t>
        </is>
      </c>
      <c r="B23" s="6" t="inlineStr">
        <is>
          <t>Tipo</t>
        </is>
      </c>
      <c r="C23" s="6" t="inlineStr">
        <is>
          <t>Fração aplicada</t>
        </is>
      </c>
      <c r="D23" s="6" t="inlineStr">
        <is>
          <t>Efeito (meses)</t>
        </is>
      </c>
      <c r="E23" s="8" t="inlineStr">
        <is>
          <t>Presente?</t>
        </is>
      </c>
    </row>
    <row r="24">
      <c r="A24" s="7" t="inlineStr">
        <is>
          <t>Reincidência (Art. 61, I)</t>
        </is>
      </c>
      <c r="B24" s="7" t="inlineStr">
        <is>
          <t>Agravante</t>
        </is>
      </c>
      <c r="C24" s="7" t="inlineStr">
        <is>
          <t>1/6</t>
        </is>
      </c>
      <c r="D24" s="7">
        <f>IF(E24="Sim",ROUND($B$20/6,1),0)</f>
        <v/>
      </c>
      <c r="E24" s="4" t="n"/>
    </row>
    <row r="25">
      <c r="A25" s="7" t="inlineStr">
        <is>
          <t>Motivo fútil (Art. 61, II, a)</t>
        </is>
      </c>
      <c r="B25" s="7" t="inlineStr">
        <is>
          <t>Agravante</t>
        </is>
      </c>
      <c r="C25" s="7" t="inlineStr">
        <is>
          <t>1/6</t>
        </is>
      </c>
      <c r="D25" s="7">
        <f>IF(E25="Sim",ROUND($B$20/6,1),0)</f>
        <v/>
      </c>
      <c r="E25" s="4" t="n"/>
    </row>
    <row r="26">
      <c r="A26" s="7" t="inlineStr">
        <is>
          <t>Motivo torpe (Art. 61, II, a)</t>
        </is>
      </c>
      <c r="B26" s="7" t="inlineStr">
        <is>
          <t>Agravante</t>
        </is>
      </c>
      <c r="C26" s="7" t="inlineStr">
        <is>
          <t>1/6</t>
        </is>
      </c>
      <c r="D26" s="7">
        <f>IF(E26="Sim",ROUND($B$20/6,1),0)</f>
        <v/>
      </c>
      <c r="E26" s="4" t="n"/>
    </row>
    <row r="27">
      <c r="A27" s="7" t="inlineStr">
        <is>
          <t>Violência contra mulher (Art. 61, II, f)</t>
        </is>
      </c>
      <c r="B27" s="7" t="inlineStr">
        <is>
          <t>Agravante</t>
        </is>
      </c>
      <c r="C27" s="7" t="inlineStr">
        <is>
          <t>1/6</t>
        </is>
      </c>
      <c r="D27" s="7">
        <f>IF(E27="Sim",ROUND($B$20/6,1),0)</f>
        <v/>
      </c>
      <c r="E27" s="4" t="n"/>
    </row>
    <row r="28">
      <c r="A28" s="7" t="inlineStr">
        <is>
          <t>Confissão espontânea (Art. 65, III, d)</t>
        </is>
      </c>
      <c r="B28" s="7" t="inlineStr">
        <is>
          <t>Atenuante</t>
        </is>
      </c>
      <c r="C28" s="7" t="inlineStr">
        <is>
          <t>1/6</t>
        </is>
      </c>
      <c r="D28" s="7">
        <f>IF(E28="Sim",-ROUND($B$20/6,1),0)</f>
        <v/>
      </c>
      <c r="E28" s="4" t="n"/>
    </row>
    <row r="29">
      <c r="A29" s="7" t="inlineStr">
        <is>
          <t>Menoridade relativa — &lt; 21 na data do fato (Art. 65, I)</t>
        </is>
      </c>
      <c r="B29" s="7" t="inlineStr">
        <is>
          <t>Atenuante</t>
        </is>
      </c>
      <c r="C29" s="7" t="inlineStr">
        <is>
          <t>1/6</t>
        </is>
      </c>
      <c r="D29" s="7">
        <f>IF(E29="Sim",-ROUND($B$20/6,1),0)</f>
        <v/>
      </c>
      <c r="E29" s="4" t="n"/>
    </row>
    <row r="30">
      <c r="A30" s="7" t="inlineStr">
        <is>
          <t>Senilidade — &gt; 70 na data da sentença (Art. 65, I)</t>
        </is>
      </c>
      <c r="B30" s="7" t="inlineStr">
        <is>
          <t>Atenuante</t>
        </is>
      </c>
      <c r="C30" s="7" t="inlineStr">
        <is>
          <t>1/6</t>
        </is>
      </c>
      <c r="D30" s="7">
        <f>IF(E30="Sim",-ROUND($B$20/6,1),0)</f>
        <v/>
      </c>
      <c r="E30" s="4" t="n"/>
    </row>
    <row r="31">
      <c r="A31" s="7" t="inlineStr">
        <is>
          <t>Desconhecimento da lei (Art. 65, II)</t>
        </is>
      </c>
      <c r="B31" s="7" t="inlineStr">
        <is>
          <t>Atenuante</t>
        </is>
      </c>
      <c r="C31" s="7" t="inlineStr">
        <is>
          <t>1/6</t>
        </is>
      </c>
      <c r="D31" s="7">
        <f>IF(E31="Sim",-ROUND($B$20/6,1),0)</f>
        <v/>
      </c>
      <c r="E31" s="4" t="n"/>
    </row>
    <row r="32">
      <c r="A32" s="7" t="inlineStr">
        <is>
          <t>Coação resistível / cumprimento de ordem (Art. 65, III, c)</t>
        </is>
      </c>
      <c r="B32" s="7" t="inlineStr">
        <is>
          <t>Atenuante</t>
        </is>
      </c>
      <c r="C32" s="7" t="inlineStr">
        <is>
          <t>1/6</t>
        </is>
      </c>
      <c r="D32" s="7">
        <f>IF(E32="Sim",-ROUND($B$20/6,1),0)</f>
        <v/>
      </c>
      <c r="E32" s="4" t="n"/>
    </row>
    <row r="33">
      <c r="A33" s="7" t="inlineStr">
        <is>
          <t>Outra agravante (especificar):</t>
        </is>
      </c>
      <c r="B33" s="7" t="inlineStr">
        <is>
          <t>Agravante</t>
        </is>
      </c>
      <c r="C33" s="7" t="inlineStr">
        <is>
          <t>1/6</t>
        </is>
      </c>
      <c r="D33" s="7">
        <f>IF(E33="Sim",ROUND($B$20/6,1),0)</f>
        <v/>
      </c>
      <c r="E33" s="4" t="n"/>
    </row>
    <row r="34">
      <c r="A34" s="7" t="inlineStr">
        <is>
          <t>Outra atenuante (especificar):</t>
        </is>
      </c>
      <c r="B34" s="7" t="inlineStr">
        <is>
          <t>Atenuante</t>
        </is>
      </c>
      <c r="C34" s="7" t="inlineStr">
        <is>
          <t>1/6</t>
        </is>
      </c>
      <c r="D34" s="7">
        <f>IF(E34="Sim",-ROUND($B$20/6,1),0)</f>
        <v/>
      </c>
      <c r="E34" s="4" t="n"/>
    </row>
    <row r="35">
      <c r="A35" t="inlineStr">
        <is>
          <t>PENA INTERMEDIÁRIA (meses):</t>
        </is>
      </c>
      <c r="B35" s="5">
        <f>B20+SUM(D24:D34)</f>
        <v/>
      </c>
      <c r="C35" t="inlineStr">
        <is>
          <t>Nota: Súmula 231 STJ — não pode ficar abaixo do mínimo nesta fase</t>
        </is>
      </c>
    </row>
    <row r="37">
      <c r="A37" s="2" t="inlineStr">
        <is>
          <t>3ª FASE — CAUSAS DE AUMENTO E DIMINUIÇÃO</t>
        </is>
      </c>
      <c r="B37" s="3" t="n"/>
      <c r="C37" s="3" t="n"/>
      <c r="D37" s="3" t="n"/>
      <c r="E37" s="3" t="n"/>
    </row>
    <row r="38">
      <c r="A38" s="6" t="inlineStr">
        <is>
          <t>Causa</t>
        </is>
      </c>
      <c r="B38" s="6" t="inlineStr">
        <is>
          <t>Tipo</t>
        </is>
      </c>
      <c r="C38" s="6" t="inlineStr">
        <is>
          <t>Fração</t>
        </is>
      </c>
      <c r="D38" s="6" t="inlineStr">
        <is>
          <t>Presente?</t>
        </is>
      </c>
      <c r="E38" s="6" t="inlineStr">
        <is>
          <t>Efeito (meses)</t>
        </is>
      </c>
      <c r="F38" s="8" t="inlineStr">
        <is>
          <t>Fração (editável)</t>
        </is>
      </c>
    </row>
    <row r="39">
      <c r="A39" s="7" t="inlineStr">
        <is>
          <t>Tentativa (Art. 14, II)</t>
        </is>
      </c>
      <c r="B39" s="7" t="inlineStr">
        <is>
          <t>Diminuição</t>
        </is>
      </c>
      <c r="C39" s="7" t="inlineStr">
        <is>
          <t>-1/3 a -2/3</t>
        </is>
      </c>
      <c r="D39" s="4" t="n"/>
      <c r="E39" s="7">
        <f>IF(D39="Sim",-ROUND($B35*F39,1),0)</f>
        <v/>
      </c>
      <c r="F39" s="7" t="inlineStr">
        <is>
          <t>1/3</t>
        </is>
      </c>
    </row>
    <row r="40">
      <c r="A40" s="7" t="inlineStr">
        <is>
          <t>Crime impossível por ineficácia (Art. 17)</t>
        </is>
      </c>
      <c r="B40" s="7" t="inlineStr">
        <is>
          <t>Diminuição</t>
        </is>
      </c>
      <c r="C40" s="7" t="inlineStr">
        <is>
          <t>-1/3 a -2/3</t>
        </is>
      </c>
      <c r="D40" s="4" t="n"/>
      <c r="E40" s="7">
        <f>IF(D40="Sim",-ROUND($B35*F40,1),0)</f>
        <v/>
      </c>
      <c r="F40" s="7" t="inlineStr">
        <is>
          <t>1/3</t>
        </is>
      </c>
    </row>
    <row r="41">
      <c r="A41" s="7" t="inlineStr">
        <is>
          <t>Arrependimento posterior (Art. 16)</t>
        </is>
      </c>
      <c r="B41" s="7" t="inlineStr">
        <is>
          <t>Diminuição</t>
        </is>
      </c>
      <c r="C41" s="7" t="inlineStr">
        <is>
          <t>-1/3 a -2/3</t>
        </is>
      </c>
      <c r="D41" s="4" t="n"/>
      <c r="E41" s="7">
        <f>IF(D41="Sim",-ROUND($B35*F41,1),0)</f>
        <v/>
      </c>
      <c r="F41" s="7" t="inlineStr">
        <is>
          <t>1/3</t>
        </is>
      </c>
    </row>
    <row r="42">
      <c r="A42" s="7" t="inlineStr">
        <is>
          <t>Participação de menor importância (Art. 29, §1º)</t>
        </is>
      </c>
      <c r="B42" s="7" t="inlineStr">
        <is>
          <t>Diminuição</t>
        </is>
      </c>
      <c r="C42" s="7" t="inlineStr">
        <is>
          <t>-1/6 a -1/3</t>
        </is>
      </c>
      <c r="D42" s="4" t="n"/>
      <c r="E42" s="7">
        <f>IF(D42="Sim",-ROUND($B35*F42,1),0)</f>
        <v/>
      </c>
      <c r="F42" s="7" t="inlineStr">
        <is>
          <t>1/6</t>
        </is>
      </c>
    </row>
    <row r="43">
      <c r="A43" s="7" t="inlineStr">
        <is>
          <t>Concurso formal próprio (Art. 70)</t>
        </is>
      </c>
      <c r="B43" s="7" t="inlineStr">
        <is>
          <t>Aumento</t>
        </is>
      </c>
      <c r="C43" s="7" t="inlineStr">
        <is>
          <t>+1/6 a +1/2</t>
        </is>
      </c>
      <c r="D43" s="4" t="n"/>
      <c r="E43" s="7">
        <f>IF(D43="Sim",ROUND($B35*F43,1),0)</f>
        <v/>
      </c>
      <c r="F43" s="7" t="inlineStr">
        <is>
          <t>1/6</t>
        </is>
      </c>
    </row>
    <row r="44">
      <c r="A44" s="7" t="inlineStr">
        <is>
          <t>Crime continuado (Art. 71)</t>
        </is>
      </c>
      <c r="B44" s="7" t="inlineStr">
        <is>
          <t>Aumento</t>
        </is>
      </c>
      <c r="C44" s="7" t="inlineStr">
        <is>
          <t>+1/6 a +2/3</t>
        </is>
      </c>
      <c r="D44" s="4" t="n"/>
      <c r="E44" s="7">
        <f>IF(D44="Sim",ROUND($B35*F44,1),0)</f>
        <v/>
      </c>
      <c r="F44" s="7" t="inlineStr">
        <is>
          <t>1/6</t>
        </is>
      </c>
    </row>
    <row r="45">
      <c r="A45" s="7" t="inlineStr">
        <is>
          <t>Emprego de arma (Art. 157, §2º-A, I)</t>
        </is>
      </c>
      <c r="B45" s="7" t="inlineStr">
        <is>
          <t>Aumento</t>
        </is>
      </c>
      <c r="C45" s="7" t="inlineStr">
        <is>
          <t>+2/3</t>
        </is>
      </c>
      <c r="D45" s="4" t="n"/>
      <c r="E45" s="7">
        <f>IF(D45="Sim",ROUND($B35*F45,1),0)</f>
        <v/>
      </c>
      <c r="F45" s="7" t="inlineStr">
        <is>
          <t>2/3</t>
        </is>
      </c>
    </row>
    <row r="46">
      <c r="A46" s="7" t="inlineStr">
        <is>
          <t>Violência doméstica — Lei Maria da Penha</t>
        </is>
      </c>
      <c r="B46" s="7" t="inlineStr">
        <is>
          <t>Aumento</t>
        </is>
      </c>
      <c r="C46" s="7" t="inlineStr">
        <is>
          <t>+1/3</t>
        </is>
      </c>
      <c r="D46" s="4" t="n"/>
      <c r="E46" s="7">
        <f>IF(D46="Sim",ROUND($B35*F46,1),0)</f>
        <v/>
      </c>
      <c r="F46" s="7" t="inlineStr">
        <is>
          <t>1/3</t>
        </is>
      </c>
    </row>
    <row r="47">
      <c r="A47" s="7" t="inlineStr">
        <is>
          <t>Vítima menor de 14 anos</t>
        </is>
      </c>
      <c r="B47" s="7" t="inlineStr">
        <is>
          <t>Aumento</t>
        </is>
      </c>
      <c r="C47" s="7" t="inlineStr">
        <is>
          <t>+1/3 a +1/2</t>
        </is>
      </c>
      <c r="D47" s="4" t="n"/>
      <c r="E47" s="7">
        <f>IF(D47="Sim",ROUND($B35*F47,1),0)</f>
        <v/>
      </c>
      <c r="F47" s="7" t="inlineStr">
        <is>
          <t>1/3</t>
        </is>
      </c>
    </row>
    <row r="48">
      <c r="A48" s="7" t="inlineStr">
        <is>
          <t>Causa de aumento genérica (especificar):</t>
        </is>
      </c>
      <c r="B48" s="7" t="inlineStr">
        <is>
          <t>Aumento</t>
        </is>
      </c>
      <c r="C48" s="7" t="inlineStr">
        <is>
          <t>especificar</t>
        </is>
      </c>
      <c r="D48" s="4" t="n"/>
      <c r="E48" s="7">
        <f>IF(D48="Sim",ROUND($B35*F48,1),0)</f>
        <v/>
      </c>
      <c r="F48" s="7" t="inlineStr">
        <is>
          <t>0</t>
        </is>
      </c>
    </row>
    <row r="49">
      <c r="A49" s="7" t="inlineStr">
        <is>
          <t>Causa de diminuição genérica (especificar):</t>
        </is>
      </c>
      <c r="B49" s="7" t="inlineStr">
        <is>
          <t>Diminuição</t>
        </is>
      </c>
      <c r="C49" s="7" t="inlineStr">
        <is>
          <t>especificar</t>
        </is>
      </c>
      <c r="D49" s="4" t="n"/>
      <c r="E49" s="7">
        <f>IF(D49="Sim",-ROUND($B35*F49,1),0)</f>
        <v/>
      </c>
      <c r="F49" s="7" t="inlineStr">
        <is>
          <t>0</t>
        </is>
      </c>
    </row>
    <row r="51">
      <c r="A51" s="9" t="inlineStr">
        <is>
          <t>═══ PENA DEFINITIVA (meses) ═══</t>
        </is>
      </c>
      <c r="B51" s="5">
        <f>B35+SUM(E39:E49)</f>
        <v/>
      </c>
    </row>
    <row r="52">
      <c r="A52" t="inlineStr">
        <is>
          <t>Pena definitiva (anos e meses):</t>
        </is>
      </c>
      <c r="B52" s="5">
        <f>INT(B51/12)&amp;" anos e "&amp;MOD(B51,12)&amp;" meses"</f>
        <v/>
      </c>
    </row>
    <row r="54">
      <c r="A54" s="13" t="inlineStr">
        <is>
          <t>DICA: Use a aba 'Catálogo de Crimes' para consultar penas mín/máx de qualquer crime.</t>
        </is>
      </c>
    </row>
  </sheetData>
  <mergeCells count="1">
    <mergeCell ref="A1:E1"/>
  </mergeCells>
  <dataValidations count="3">
    <dataValidation sqref="B11 B12 B13 B14 B15 B16 B17 B18" showDropDown="0" showInputMessage="0" showErrorMessage="0" allowBlank="1" type="list">
      <formula1>"Favorável,Desfavorável"</formula1>
    </dataValidation>
    <dataValidation sqref="E24 E25 E26 E27 E28 E29 E30 E31 E32 E33 E34" showDropDown="0" showInputMessage="0" showErrorMessage="0" allowBlank="1" type="list">
      <formula1>"Sim,Não"</formula1>
    </dataValidation>
    <dataValidation sqref="D39 D40 D41 D42 D43 D44 D45 D46 D47 D48 D49" showDropDown="0" showInputMessage="0" showErrorMessage="0" allowBlank="1" type="list">
      <formula1>"Sim,Não"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40" customWidth="1" min="1" max="1"/>
    <col width="25" customWidth="1" min="2" max="2"/>
    <col width="30" customWidth="1" min="3" max="3"/>
    <col width="25" customWidth="1" min="4" max="4"/>
  </cols>
  <sheetData>
    <row r="1">
      <c r="A1" s="1" t="inlineStr">
        <is>
          <t>PROGRESSÃO DE REGIME (Art. 112, LEP — Pacote Anticrime)</t>
        </is>
      </c>
    </row>
    <row r="3">
      <c r="A3" s="2" t="inlineStr">
        <is>
          <t>DADOS DO CONDENADO</t>
        </is>
      </c>
      <c r="B3" s="3" t="n"/>
    </row>
    <row r="4">
      <c r="A4" t="inlineStr">
        <is>
          <t>Pena total (meses):</t>
        </is>
      </c>
      <c r="B4" s="4" t="n"/>
    </row>
    <row r="5">
      <c r="A5" t="inlineStr">
        <is>
          <t>Data de início do cumprimento:</t>
        </is>
      </c>
      <c r="B5" s="4" t="n"/>
    </row>
    <row r="6">
      <c r="A6" t="inlineStr">
        <is>
          <t>Detração (dias de prisão provisória):</t>
        </is>
      </c>
      <c r="B6" s="4" t="n"/>
    </row>
    <row r="7">
      <c r="A7" t="inlineStr">
        <is>
          <t>Remição (dias remidos — trabalho/estudo):</t>
        </is>
      </c>
      <c r="B7" s="4" t="n"/>
    </row>
    <row r="8">
      <c r="A8" t="inlineStr">
        <is>
          <t>Pena restante após detração/remição (meses):</t>
        </is>
      </c>
      <c r="B8" s="5">
        <f>B4-(B6+B7)/30</f>
        <v/>
      </c>
    </row>
    <row r="10">
      <c r="A10" s="2" t="inlineStr">
        <is>
          <t>TIPO DE CRIME / SITUAÇÃO</t>
        </is>
      </c>
      <c r="B10" s="3" t="n"/>
    </row>
    <row r="11">
      <c r="A11" s="6" t="inlineStr">
        <is>
          <t>Situação</t>
        </is>
      </c>
      <c r="B11" s="6" t="inlineStr">
        <is>
          <t>Fração</t>
        </is>
      </c>
      <c r="C11" s="6" t="inlineStr">
        <is>
          <t>Tempo necessário (meses)</t>
        </is>
      </c>
      <c r="D11" s="6" t="inlineStr">
        <is>
          <t>Data estimada</t>
        </is>
      </c>
    </row>
    <row r="12">
      <c r="A12" s="7" t="inlineStr">
        <is>
          <t>Crime comum, réu primário (Art. 112, I)</t>
        </is>
      </c>
      <c r="B12" s="7" t="inlineStr">
        <is>
          <t>16%</t>
        </is>
      </c>
      <c r="C12" s="7">
        <f>ROUND($B$8*0.16,1)</f>
        <v/>
      </c>
      <c r="D12" s="7">
        <f>IF($B$5&lt;&gt;"",EDATE($B$5,C12),"Preencha data")</f>
        <v/>
      </c>
    </row>
    <row r="13">
      <c r="A13" s="7" t="inlineStr">
        <is>
          <t>Crime comum, réu reincidente (Art. 112, II)</t>
        </is>
      </c>
      <c r="B13" s="7" t="inlineStr">
        <is>
          <t>20%</t>
        </is>
      </c>
      <c r="C13" s="7">
        <f>ROUND($B$8*0.2,1)</f>
        <v/>
      </c>
      <c r="D13" s="7">
        <f>IF($B$5&lt;&gt;"",EDATE($B$5,C13),"Preencha data")</f>
        <v/>
      </c>
    </row>
    <row r="14">
      <c r="A14" s="7" t="inlineStr">
        <is>
          <t>Crime hediondo/equiparado, réu primário (Art. 112, V)</t>
        </is>
      </c>
      <c r="B14" s="7" t="inlineStr">
        <is>
          <t>40%</t>
        </is>
      </c>
      <c r="C14" s="7">
        <f>ROUND($B$8*0.4,1)</f>
        <v/>
      </c>
      <c r="D14" s="7">
        <f>IF($B$5&lt;&gt;"",EDATE($B$5,C14),"Preencha data")</f>
        <v/>
      </c>
    </row>
    <row r="15">
      <c r="A15" s="7" t="inlineStr">
        <is>
          <t>Crime hediondo/equiparado, réu reincidente (Art. 112, VI)</t>
        </is>
      </c>
      <c r="B15" s="7" t="inlineStr">
        <is>
          <t>60%</t>
        </is>
      </c>
      <c r="C15" s="7">
        <f>ROUND($B$8*0.6,1)</f>
        <v/>
      </c>
      <c r="D15" s="7">
        <f>IF($B$5&lt;&gt;"",EDATE($B$5,C15),"Preencha data")</f>
        <v/>
      </c>
    </row>
    <row r="16">
      <c r="A16" s="7" t="inlineStr">
        <is>
          <t>Crime hediondo c/ morte, réu primário (Art. 112, VI-A)</t>
        </is>
      </c>
      <c r="B16" s="7" t="inlineStr">
        <is>
          <t>50%</t>
        </is>
      </c>
      <c r="C16" s="7">
        <f>ROUND($B$8*0.5,1)</f>
        <v/>
      </c>
      <c r="D16" s="7">
        <f>IF($B$5&lt;&gt;"",EDATE($B$5,C16),"Preencha data")</f>
        <v/>
      </c>
    </row>
    <row r="17">
      <c r="A17" s="7" t="inlineStr">
        <is>
          <t>Crime hediondo c/ morte, réu reincidente (Art. 112, VII)</t>
        </is>
      </c>
      <c r="B17" s="7" t="inlineStr">
        <is>
          <t>70%</t>
        </is>
      </c>
      <c r="C17" s="7">
        <f>ROUND($B$8*0.7,1)</f>
        <v/>
      </c>
      <c r="D17" s="7">
        <f>IF($B$5&lt;&gt;"",EDATE($B$5,C17),"Preencha data")</f>
        <v/>
      </c>
    </row>
    <row r="18">
      <c r="A18" s="7" t="inlineStr">
        <is>
          <t>Comando de organização criminosa (Art. 112, VIII)</t>
        </is>
      </c>
      <c r="B18" s="7" t="inlineStr">
        <is>
          <t>50%</t>
        </is>
      </c>
      <c r="C18" s="7">
        <f>ROUND($B$8*0.5,1)</f>
        <v/>
      </c>
      <c r="D18" s="7">
        <f>IF($B$5&lt;&gt;"",EDATE($B$5,C18),"Preencha data")</f>
        <v/>
      </c>
    </row>
    <row r="19">
      <c r="A19" s="7" t="inlineStr">
        <is>
          <t>Crime com violência contra mulher (Art. 112, III)</t>
        </is>
      </c>
      <c r="B19" s="7" t="inlineStr">
        <is>
          <t>25%</t>
        </is>
      </c>
      <c r="C19" s="7">
        <f>ROUND($B$8*0.25,1)</f>
        <v/>
      </c>
      <c r="D19" s="7">
        <f>IF($B$5&lt;&gt;"",EDATE($B$5,C19),"Preencha data")</f>
        <v/>
      </c>
    </row>
    <row r="20">
      <c r="A20" s="7" t="inlineStr">
        <is>
          <t>Crime contra a Administração Pública (Art. 112, IV)</t>
        </is>
      </c>
      <c r="B20" s="7" t="inlineStr">
        <is>
          <t>25%</t>
        </is>
      </c>
      <c r="C20" s="7">
        <f>ROUND($B$8*0.25,1)</f>
        <v/>
      </c>
      <c r="D20" s="7">
        <f>IF($B$5&lt;&gt;"",EDATE($B$5,C20),"Preencha data")</f>
        <v/>
      </c>
    </row>
    <row r="21">
      <c r="A21" s="7" t="inlineStr">
        <is>
          <t>Crime militar em tempo de paz (Art. 112, I)</t>
        </is>
      </c>
      <c r="B21" s="7" t="inlineStr">
        <is>
          <t>16%</t>
        </is>
      </c>
      <c r="C21" s="7">
        <f>ROUND($B$8*0.16,1)</f>
        <v/>
      </c>
      <c r="D21" s="7">
        <f>IF($B$5&lt;&gt;"",EDATE($B$5,C21),"Preencha data")</f>
        <v/>
      </c>
    </row>
    <row r="24">
      <c r="A24" s="2" t="inlineStr">
        <is>
          <t>REGIME INICIAL (Art. 33, CP)</t>
        </is>
      </c>
    </row>
    <row r="25">
      <c r="A25" t="inlineStr">
        <is>
          <t>Pena &gt; 8 anos → FECHADO</t>
        </is>
      </c>
    </row>
    <row r="26">
      <c r="A26" t="inlineStr">
        <is>
          <t>Pena &gt; 4 e ≤ 8 anos → SEMIABERTO</t>
        </is>
      </c>
    </row>
    <row r="27">
      <c r="A27" t="inlineStr">
        <is>
          <t>Pena ≤ 4 anos → ABERTO</t>
        </is>
      </c>
    </row>
    <row r="28">
      <c r="A28" t="inlineStr">
        <is>
          <t>Regime calculado:</t>
        </is>
      </c>
      <c r="B28" s="5">
        <f>IF(B4&gt;96,"FECHADO",IF(B4&gt;48,"SEMIABERTO","ABERTO"))</f>
        <v/>
      </c>
    </row>
    <row r="29">
      <c r="A29" t="inlineStr">
        <is>
          <t>Nota: Reincidência e circ. desfavoráveis podem agravar o regime (Súmula 719 STF)</t>
        </is>
      </c>
    </row>
    <row r="31">
      <c r="A31" s="2" t="inlineStr">
        <is>
          <t>LIVRAMENTO CONDICIONAL (Art. 83, CP)</t>
        </is>
      </c>
    </row>
    <row r="32">
      <c r="A32" s="6" t="inlineStr">
        <is>
          <t>Situação</t>
        </is>
      </c>
      <c r="B32" s="6" t="inlineStr">
        <is>
          <t>Fração</t>
        </is>
      </c>
      <c r="C32" s="6" t="inlineStr">
        <is>
          <t>Tempo necessário (meses)</t>
        </is>
      </c>
      <c r="D32" s="6" t="inlineStr">
        <is>
          <t>Data estimada</t>
        </is>
      </c>
    </row>
    <row r="33">
      <c r="A33" s="7" t="inlineStr">
        <is>
          <t>Réu primário, bons antecedentes</t>
        </is>
      </c>
      <c r="B33" s="7" t="inlineStr">
        <is>
          <t>1/3</t>
        </is>
      </c>
      <c r="C33" s="7">
        <f>ROUND($B$8*0.3333333333333333,1)</f>
        <v/>
      </c>
      <c r="D33" s="7">
        <f>IF($B$5&lt;&gt;"",EDATE($B$5,C33),"")</f>
        <v/>
      </c>
    </row>
    <row r="34">
      <c r="A34" s="7" t="inlineStr">
        <is>
          <t>Réu reincidente (crime doloso)</t>
        </is>
      </c>
      <c r="B34" s="7" t="inlineStr">
        <is>
          <t>1/2</t>
        </is>
      </c>
      <c r="C34" s="7">
        <f>ROUND($B$8*0.5,1)</f>
        <v/>
      </c>
      <c r="D34" s="7">
        <f>IF($B$5&lt;&gt;"",EDATE($B$5,C34),"")</f>
        <v/>
      </c>
    </row>
    <row r="35">
      <c r="A35" s="7" t="inlineStr">
        <is>
          <t>Crime hediondo, réu primário</t>
        </is>
      </c>
      <c r="B35" s="7" t="inlineStr">
        <is>
          <t>2/3</t>
        </is>
      </c>
      <c r="C35" s="7">
        <f>ROUND($B$8*0.6666666666666666,1)</f>
        <v/>
      </c>
      <c r="D35" s="7">
        <f>IF($B$5&lt;&gt;"",EDATE($B$5,C35),"")</f>
        <v/>
      </c>
    </row>
    <row r="36">
      <c r="A36" s="7" t="inlineStr">
        <is>
          <t>Reincidente específico em hediondo</t>
        </is>
      </c>
      <c r="B36" s="7" t="inlineStr">
        <is>
          <t>VEDADO</t>
        </is>
      </c>
      <c r="C36" s="7" t="inlineStr">
        <is>
          <t>N/A</t>
        </is>
      </c>
      <c r="D36" s="7" t="inlineStr">
        <is>
          <t>VEDADO</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45" customWidth="1" min="1" max="1"/>
    <col width="20" customWidth="1" min="2" max="2"/>
    <col width="25" customWidth="1" min="3" max="3"/>
    <col width="25" customWidth="1" min="4" max="4"/>
  </cols>
  <sheetData>
    <row r="1">
      <c r="A1" s="1" t="inlineStr">
        <is>
          <t>PRESCRIÇÃO PENAL (Arts. 109-119, CP)</t>
        </is>
      </c>
    </row>
    <row r="3">
      <c r="A3" s="2" t="inlineStr">
        <is>
          <t>TABELA DE PRESCRIÇÃO (Art. 109, CP)</t>
        </is>
      </c>
    </row>
    <row r="4">
      <c r="A4" s="6" t="inlineStr">
        <is>
          <t>Pena máxima em abstrato</t>
        </is>
      </c>
      <c r="B4" s="6" t="inlineStr">
        <is>
          <t>Prazo prescricional</t>
        </is>
      </c>
    </row>
    <row r="5">
      <c r="A5" s="7" t="inlineStr">
        <is>
          <t>Pena &gt; 12 anos</t>
        </is>
      </c>
      <c r="B5" s="7" t="inlineStr">
        <is>
          <t>20 anos</t>
        </is>
      </c>
    </row>
    <row r="6">
      <c r="A6" s="7" t="inlineStr">
        <is>
          <t>Pena &gt; 8 e ≤ 12 anos</t>
        </is>
      </c>
      <c r="B6" s="7" t="inlineStr">
        <is>
          <t>16 anos</t>
        </is>
      </c>
    </row>
    <row r="7">
      <c r="A7" s="7" t="inlineStr">
        <is>
          <t>Pena &gt; 4 e ≤ 8 anos</t>
        </is>
      </c>
      <c r="B7" s="7" t="inlineStr">
        <is>
          <t>12 anos</t>
        </is>
      </c>
    </row>
    <row r="8">
      <c r="A8" s="7" t="inlineStr">
        <is>
          <t>Pena &gt; 2 e ≤ 4 anos</t>
        </is>
      </c>
      <c r="B8" s="7" t="inlineStr">
        <is>
          <t>8 anos</t>
        </is>
      </c>
    </row>
    <row r="9">
      <c r="A9" s="7" t="inlineStr">
        <is>
          <t>Pena &gt; 1 e ≤ 2 anos</t>
        </is>
      </c>
      <c r="B9" s="7" t="inlineStr">
        <is>
          <t>4 anos</t>
        </is>
      </c>
    </row>
    <row r="10">
      <c r="A10" s="7" t="inlineStr">
        <is>
          <t>Pena ≤ 1 ano</t>
        </is>
      </c>
      <c r="B10" s="7" t="inlineStr">
        <is>
          <t>3 anos</t>
        </is>
      </c>
    </row>
    <row r="12">
      <c r="A12" s="2" t="inlineStr">
        <is>
          <t>CALCULADOR DE PRESCRIÇÃO</t>
        </is>
      </c>
      <c r="B12" s="3" t="n"/>
      <c r="C12" s="3" t="n"/>
    </row>
    <row r="13">
      <c r="A13" t="inlineStr">
        <is>
          <t>Pena máxima em abstrato (meses):</t>
        </is>
      </c>
      <c r="B13" s="4" t="n"/>
    </row>
    <row r="14">
      <c r="A14" t="inlineStr">
        <is>
          <t>Pena concretamente aplicada (meses) [se já houver sentença]:</t>
        </is>
      </c>
      <c r="B14" s="4" t="n"/>
    </row>
    <row r="15">
      <c r="A15" t="inlineStr">
        <is>
          <t>Réu menor de 21 na data do fato? (Art. 115)</t>
        </is>
      </c>
      <c r="B15" s="4" t="n"/>
    </row>
    <row r="16">
      <c r="A16" t="inlineStr">
        <is>
          <t>Réu maior de 70 na data da sentença? (Art. 115)</t>
        </is>
      </c>
      <c r="B16" s="4" t="n"/>
    </row>
    <row r="18">
      <c r="A18" t="inlineStr">
        <is>
          <t>PRESCRIÇÃO DA PRETENSÃO PUNITIVA (em abstrato):</t>
        </is>
      </c>
    </row>
    <row r="19">
      <c r="A19" t="inlineStr">
        <is>
          <t>Prazo base (anos):</t>
        </is>
      </c>
      <c r="B19" s="5">
        <f>IF(B13&gt;144,20,IF(B13&gt;96,16,IF(B13&gt;48,12,IF(B13&gt;24,8,IF(B13&gt;12,4,3)))))</f>
        <v/>
      </c>
    </row>
    <row r="20">
      <c r="A20" t="inlineStr">
        <is>
          <t>Prazo com redução Art. 115 (se aplicável):</t>
        </is>
      </c>
      <c r="B20" s="5">
        <f>IF(OR(B15="Sim",B16="Sim"),B19/2,B19)</f>
        <v/>
      </c>
    </row>
    <row r="22">
      <c r="A22" t="inlineStr">
        <is>
          <t>PRESCRIÇÃO RETROATIVA (com base na pena aplicada):</t>
        </is>
      </c>
    </row>
    <row r="23">
      <c r="A23" t="inlineStr">
        <is>
          <t>Prazo base (anos):</t>
        </is>
      </c>
      <c r="B23" s="5">
        <f>IF(B14="","Preencha pena aplicada",IF(B14&gt;144,20,IF(B14&gt;96,16,IF(B14&gt;48,12,IF(B14&gt;24,8,IF(B14&gt;12,4,3))))))</f>
        <v/>
      </c>
    </row>
    <row r="24">
      <c r="A24" t="inlineStr">
        <is>
          <t>Prazo com redução Art. 115 (se aplicável):</t>
        </is>
      </c>
      <c r="B24" s="5">
        <f>IF(OR(B15="Sim",B16="Sim"),IF(ISNUMBER(B23),B23/2,B23),B23)</f>
        <v/>
      </c>
    </row>
    <row r="26">
      <c r="A26" s="2" t="inlineStr">
        <is>
          <t>MARCOS INTERRUPTIVOS (Art. 117, CP)</t>
        </is>
      </c>
      <c r="B26" s="3" t="n"/>
      <c r="C26" s="3" t="n"/>
    </row>
    <row r="27">
      <c r="A27" s="6" t="inlineStr">
        <is>
          <t>Marco</t>
        </is>
      </c>
      <c r="B27" s="6" t="inlineStr">
        <is>
          <t>Data</t>
        </is>
      </c>
      <c r="C27" s="6" t="inlineStr">
        <is>
          <t>Dias até próximo marco</t>
        </is>
      </c>
    </row>
    <row r="28">
      <c r="A28" s="7" t="inlineStr">
        <is>
          <t>Data do fato</t>
        </is>
      </c>
      <c r="B28" s="4" t="n"/>
    </row>
    <row r="29">
      <c r="A29" s="7" t="inlineStr">
        <is>
          <t>Recebimento da denúncia (Art. 117, I)</t>
        </is>
      </c>
      <c r="B29" s="4" t="n"/>
      <c r="C29" s="7">
        <f>IF(AND(B29&lt;&gt;"",B28&lt;&gt;""),B29-B28,"")</f>
        <v/>
      </c>
    </row>
    <row r="30">
      <c r="A30" s="7" t="inlineStr">
        <is>
          <t>Pronúncia (Art. 117, II) [se Júri]</t>
        </is>
      </c>
      <c r="B30" s="4" t="n"/>
      <c r="C30" s="7">
        <f>IF(AND(B30&lt;&gt;"",B29&lt;&gt;""),B30-B29,"")</f>
        <v/>
      </c>
    </row>
    <row r="31">
      <c r="A31" s="7" t="inlineStr">
        <is>
          <t>Decisão confirmatória da pronúncia</t>
        </is>
      </c>
      <c r="B31" s="4" t="n"/>
      <c r="C31" s="7">
        <f>IF(AND(B31&lt;&gt;"",B30&lt;&gt;""),B31-B30,"")</f>
        <v/>
      </c>
    </row>
    <row r="32">
      <c r="A32" s="7" t="inlineStr">
        <is>
          <t>Publicação da sentença condenatória (Art. 117, IV)</t>
        </is>
      </c>
      <c r="B32" s="4" t="n"/>
      <c r="C32" s="7">
        <f>IF(AND(B32&lt;&gt;"",B31&lt;&gt;""),B32-B31,"")</f>
        <v/>
      </c>
    </row>
    <row r="33">
      <c r="A33" s="7" t="inlineStr">
        <is>
          <t>Início do cumprimento da pena</t>
        </is>
      </c>
      <c r="B33" s="4" t="n"/>
      <c r="C33" s="7">
        <f>IF(AND(B33&lt;&gt;"",B32&lt;&gt;""),B33-B32,"")</f>
        <v/>
      </c>
    </row>
    <row r="34">
      <c r="A34" s="7" t="inlineStr">
        <is>
          <t>Reincidência (Art. 117, VI)</t>
        </is>
      </c>
      <c r="B34" s="4" t="n"/>
      <c r="C34" s="7">
        <f>IF(AND(B34&lt;&gt;"",B33&lt;&gt;""),B34-B33,"")</f>
        <v/>
      </c>
    </row>
  </sheetData>
  <mergeCells count="1">
    <mergeCell ref="A1:D1"/>
  </mergeCells>
  <dataValidations count="1">
    <dataValidation sqref="B15 B16" showDropDown="0" showInputMessage="0" showErrorMessage="0" allowBlank="1" type="list">
      <formula1>"Sim,Não"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40" customWidth="1" min="1" max="1"/>
    <col width="25" customWidth="1" min="2" max="2"/>
    <col width="25" customWidth="1" min="3" max="3"/>
    <col width="30" customWidth="1" min="4" max="4"/>
  </cols>
  <sheetData>
    <row r="1">
      <c r="A1" s="1" t="inlineStr">
        <is>
          <t>CONCURSO DE CRIMES (Arts. 69-71, CP)</t>
        </is>
      </c>
    </row>
    <row r="3">
      <c r="A3" s="2" t="inlineStr">
        <is>
          <t>DADOS DOS CRIMES</t>
        </is>
      </c>
    </row>
    <row r="4">
      <c r="A4" t="inlineStr">
        <is>
          <t>Pena do Crime 1 (meses):</t>
        </is>
      </c>
      <c r="B4" s="4" t="n"/>
    </row>
    <row r="5">
      <c r="A5" t="inlineStr">
        <is>
          <t>Pena do Crime 2 (meses):</t>
        </is>
      </c>
      <c r="B5" s="4" t="n"/>
    </row>
    <row r="6">
      <c r="A6" t="inlineStr">
        <is>
          <t>Pena do Crime 3 (se houver, meses):</t>
        </is>
      </c>
      <c r="B6" s="4" t="n"/>
    </row>
    <row r="7">
      <c r="A7" t="inlineStr">
        <is>
          <t>Maior pena entre os crimes (meses):</t>
        </is>
      </c>
      <c r="B7" s="5">
        <f>MAX(B4:B6)</f>
        <v/>
      </c>
    </row>
    <row r="9">
      <c r="A9" s="2" t="inlineStr">
        <is>
          <t>CÁLCULOS COMPARATIVOS</t>
        </is>
      </c>
    </row>
    <row r="10">
      <c r="A10" s="6" t="inlineStr">
        <is>
          <t>Modalidade</t>
        </is>
      </c>
      <c r="B10" s="6" t="inlineStr">
        <is>
          <t>Resultado (meses)</t>
        </is>
      </c>
      <c r="C10" s="6" t="inlineStr">
        <is>
          <t>Fundamento</t>
        </is>
      </c>
    </row>
    <row r="11">
      <c r="A11" s="7" t="inlineStr">
        <is>
          <t>Concurso Material (Art. 69) — soma</t>
        </is>
      </c>
      <c r="B11" s="7">
        <f>SUM(B4:B6)</f>
        <v/>
      </c>
      <c r="C11" s="7" t="inlineStr">
        <is>
          <t>Soma aritmética das penas</t>
        </is>
      </c>
    </row>
    <row r="12">
      <c r="A12" s="7" t="inlineStr">
        <is>
          <t>Concurso Formal Próprio (Art. 70) — +1/6</t>
        </is>
      </c>
      <c r="B12" s="7">
        <f>ROUND(B7*(1+1/6),1)</f>
        <v/>
      </c>
      <c r="C12" s="7" t="inlineStr">
        <is>
          <t>Maior pena + 1/6</t>
        </is>
      </c>
    </row>
    <row r="13">
      <c r="A13" s="7" t="inlineStr">
        <is>
          <t>Concurso Formal Próprio (Art. 70) — +1/2</t>
        </is>
      </c>
      <c r="B13" s="7">
        <f>ROUND(B7*(1+1/2),1)</f>
        <v/>
      </c>
      <c r="C13" s="7" t="inlineStr">
        <is>
          <t>Maior pena + 1/2 (máximo)</t>
        </is>
      </c>
    </row>
    <row r="14">
      <c r="A14" s="7" t="inlineStr">
        <is>
          <t>Crime Continuado (Art. 71) — +1/6</t>
        </is>
      </c>
      <c r="B14" s="7">
        <f>ROUND(B7*(1+1/6),1)</f>
        <v/>
      </c>
      <c r="C14" s="7" t="inlineStr">
        <is>
          <t>Maior pena + 1/6 (mínimo)</t>
        </is>
      </c>
    </row>
    <row r="15">
      <c r="A15" s="7" t="inlineStr">
        <is>
          <t>Crime Continuado (Art. 71) — +2/3</t>
        </is>
      </c>
      <c r="B15" s="7">
        <f>ROUND(B7*(1+2/3),1)</f>
        <v/>
      </c>
      <c r="C15" s="7" t="inlineStr">
        <is>
          <t>Maior pena + 2/3 (máximo)</t>
        </is>
      </c>
    </row>
    <row r="17">
      <c r="A17" t="inlineStr">
        <is>
          <t>RESULTADO MAIS FAVORÁVEL AO RÉU:</t>
        </is>
      </c>
      <c r="B17" s="5">
        <f>MIN(B11:B15)</f>
        <v/>
      </c>
    </row>
    <row r="18">
      <c r="A18" t="inlineStr">
        <is>
          <t>Nota: No concurso formal, se o resultado for MAIOR que a soma (material), aplica-se a soma (Art. 70, parágrafo único)</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40" customWidth="1" min="1" max="1"/>
    <col width="20" customWidth="1" min="2" max="2"/>
    <col width="25" customWidth="1" min="3" max="3"/>
  </cols>
  <sheetData>
    <row r="1">
      <c r="A1" s="1" t="inlineStr">
        <is>
          <t>DETRAÇÃO (Art. 42, CP) E REMIÇÃO (Art. 126, LEP)</t>
        </is>
      </c>
    </row>
    <row r="3">
      <c r="A3" s="2" t="inlineStr">
        <is>
          <t>DETRAÇÃO — Tempo de prisão provisória</t>
        </is>
      </c>
    </row>
    <row r="4">
      <c r="A4" t="inlineStr">
        <is>
          <t>Data da prisão provisória:</t>
        </is>
      </c>
      <c r="B4" s="4" t="n"/>
    </row>
    <row r="5">
      <c r="A5" t="inlineStr">
        <is>
          <t>Data da soltura/sentença:</t>
        </is>
      </c>
      <c r="B5" s="4" t="n"/>
    </row>
    <row r="6">
      <c r="A6" t="inlineStr">
        <is>
          <t>Dias de prisão provisória:</t>
        </is>
      </c>
      <c r="B6" s="5">
        <f>IF(AND(B4&lt;&gt;"",B5&lt;&gt;""),B5-B4,"")</f>
        <v/>
      </c>
    </row>
    <row r="8">
      <c r="A8" s="2" t="inlineStr">
        <is>
          <t>REMIÇÃO POR TRABALHO (Art. 126, §1º, II, LEP)</t>
        </is>
      </c>
    </row>
    <row r="9">
      <c r="A9" t="inlineStr">
        <is>
          <t>Dias efetivamente trabalhados:</t>
        </is>
      </c>
      <c r="B9" s="4" t="n"/>
    </row>
    <row r="10">
      <c r="A10" t="inlineStr">
        <is>
          <t>Dias remidos (3 trabalhados = 1 remido):</t>
        </is>
      </c>
      <c r="B10" s="5">
        <f>IF(B9&lt;&gt;"",INT(B9/3),"")</f>
        <v/>
      </c>
    </row>
    <row r="12">
      <c r="A12" s="2" t="inlineStr">
        <is>
          <t>REMIÇÃO POR ESTUDO (Art. 126, §1º, I, LEP)</t>
        </is>
      </c>
    </row>
    <row r="13">
      <c r="A13" t="inlineStr">
        <is>
          <t>Horas de estudo:</t>
        </is>
      </c>
      <c r="B13" s="4" t="n"/>
    </row>
    <row r="14">
      <c r="A14" t="inlineStr">
        <is>
          <t>Dias remidos (12h = 1 dia):</t>
        </is>
      </c>
      <c r="B14" s="5">
        <f>IF(B13&lt;&gt;"",INT(B13/12),"")</f>
        <v/>
      </c>
    </row>
    <row r="16">
      <c r="A16" s="2" t="inlineStr">
        <is>
          <t>REMIÇÃO POR LEITURA (Recomendação 44/2013 CNJ)</t>
        </is>
      </c>
    </row>
    <row r="17">
      <c r="A17" t="inlineStr">
        <is>
          <t>Obras lidas (com resenha aprovada):</t>
        </is>
      </c>
      <c r="B17" s="4" t="n"/>
    </row>
    <row r="18">
      <c r="A18" t="inlineStr">
        <is>
          <t>Dias remidos (1 obra = 4 dias, máx 12 obras/ano = 48 dias):</t>
        </is>
      </c>
      <c r="B18" s="5">
        <f>IF(B17&lt;&gt;"",MIN(B17*4,48),"")</f>
        <v/>
      </c>
    </row>
    <row r="20">
      <c r="A20" s="10" t="inlineStr">
        <is>
          <t>TOTAL DE DIAS DESCONTADOS:</t>
        </is>
      </c>
      <c r="B20" s="5">
        <f>SUM(B6,B10,B14,B18)</f>
        <v/>
      </c>
    </row>
    <row r="21">
      <c r="A21" t="inlineStr">
        <is>
          <t>Equivalente em meses:</t>
        </is>
      </c>
      <c r="B21" s="5">
        <f>ROUND(B20/30,1)</f>
        <v/>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45" customWidth="1" min="1" max="1"/>
    <col width="20" customWidth="1" min="2" max="2"/>
    <col width="20" customWidth="1" min="3" max="3"/>
    <col width="25" customWidth="1" min="4" max="4"/>
  </cols>
  <sheetData>
    <row r="1">
      <c r="A1" s="1" t="inlineStr">
        <is>
          <t>PRAZOS PROCESSUAIS PENAIS</t>
        </is>
      </c>
    </row>
    <row r="3">
      <c r="A3" s="2" t="inlineStr">
        <is>
          <t>RÉU PRESO</t>
        </is>
      </c>
    </row>
    <row r="4">
      <c r="A4" s="6" t="inlineStr">
        <is>
          <t>Ato</t>
        </is>
      </c>
      <c r="B4" s="6" t="inlineStr">
        <is>
          <t>Prazo</t>
        </is>
      </c>
      <c r="C4" s="6" t="inlineStr">
        <is>
          <t>Fundamento</t>
        </is>
      </c>
    </row>
    <row r="5">
      <c r="A5" s="7" t="inlineStr">
        <is>
          <t>Inquérito policial</t>
        </is>
      </c>
      <c r="B5" s="7" t="inlineStr">
        <is>
          <t>10 dias</t>
        </is>
      </c>
      <c r="C5" s="7" t="inlineStr">
        <is>
          <t>Art. 10, CPP</t>
        </is>
      </c>
    </row>
    <row r="6">
      <c r="A6" s="7" t="inlineStr">
        <is>
          <t>Denúncia (MP)</t>
        </is>
      </c>
      <c r="B6" s="7" t="inlineStr">
        <is>
          <t>5 dias</t>
        </is>
      </c>
      <c r="C6" s="7" t="inlineStr">
        <is>
          <t>Art. 46, CPP</t>
        </is>
      </c>
    </row>
    <row r="7">
      <c r="A7" s="7" t="inlineStr">
        <is>
          <t>Defesa prévia</t>
        </is>
      </c>
      <c r="B7" s="7" t="inlineStr">
        <is>
          <t>10 dias</t>
        </is>
      </c>
      <c r="C7" s="7" t="inlineStr">
        <is>
          <t>Art. 396, CPP</t>
        </is>
      </c>
    </row>
    <row r="8">
      <c r="A8" s="7" t="inlineStr">
        <is>
          <t>Audiência de instrução e julgamento</t>
        </is>
      </c>
      <c r="B8" s="7" t="inlineStr">
        <is>
          <t>60 dias da denúncia</t>
        </is>
      </c>
      <c r="C8" s="7" t="inlineStr">
        <is>
          <t>Art. 400, CPP</t>
        </is>
      </c>
    </row>
    <row r="9">
      <c r="A9" s="7" t="inlineStr">
        <is>
          <t>Audiência de custódia</t>
        </is>
      </c>
      <c r="B9" s="7" t="inlineStr">
        <is>
          <t>24 horas</t>
        </is>
      </c>
      <c r="C9" s="7" t="inlineStr">
        <is>
          <t>Res. 213/2015 CNJ</t>
        </is>
      </c>
    </row>
    <row r="10">
      <c r="A10" s="7" t="inlineStr">
        <is>
          <t>Sentença (não há prazo legal, mas...)</t>
        </is>
      </c>
      <c r="B10" s="7" t="inlineStr">
        <is>
          <t>Razoável duração</t>
        </is>
      </c>
      <c r="C10" s="7" t="inlineStr">
        <is>
          <t>Art. 5º, LXXVIII, CF</t>
        </is>
      </c>
    </row>
    <row r="12">
      <c r="A12" s="2" t="inlineStr">
        <is>
          <t>RÉU SOLTO</t>
        </is>
      </c>
    </row>
    <row r="13">
      <c r="A13" s="6" t="inlineStr">
        <is>
          <t>Ato</t>
        </is>
      </c>
      <c r="B13" s="6" t="inlineStr">
        <is>
          <t>Prazo</t>
        </is>
      </c>
      <c r="C13" s="6" t="inlineStr">
        <is>
          <t>Fundamento</t>
        </is>
      </c>
    </row>
    <row r="14">
      <c r="A14" s="7" t="inlineStr">
        <is>
          <t>Inquérito policial</t>
        </is>
      </c>
      <c r="B14" s="7" t="inlineStr">
        <is>
          <t>30 dias (prorrogável)</t>
        </is>
      </c>
      <c r="C14" s="7" t="inlineStr">
        <is>
          <t>Art. 10, CPP</t>
        </is>
      </c>
    </row>
    <row r="15">
      <c r="A15" s="7" t="inlineStr">
        <is>
          <t>Denúncia (MP)</t>
        </is>
      </c>
      <c r="B15" s="7" t="inlineStr">
        <is>
          <t>15 dias</t>
        </is>
      </c>
      <c r="C15" s="7" t="inlineStr">
        <is>
          <t>Art. 46, CPP</t>
        </is>
      </c>
    </row>
    <row r="16">
      <c r="A16" s="7" t="inlineStr">
        <is>
          <t>Defesa prévia</t>
        </is>
      </c>
      <c r="B16" s="7" t="inlineStr">
        <is>
          <t>10 dias</t>
        </is>
      </c>
      <c r="C16" s="7" t="inlineStr">
        <is>
          <t>Art. 396, CPP</t>
        </is>
      </c>
    </row>
    <row r="17">
      <c r="A17" s="7" t="inlineStr">
        <is>
          <t>Lei de Drogas — inquérito</t>
        </is>
      </c>
      <c r="B17" s="7" t="inlineStr">
        <is>
          <t>30 dias (prorrogável)</t>
        </is>
      </c>
      <c r="C17" s="7" t="inlineStr">
        <is>
          <t>Art. 51, Lei 11.343</t>
        </is>
      </c>
    </row>
    <row r="18">
      <c r="A18" s="7" t="inlineStr">
        <is>
          <t>Lei de Drogas — denúncia</t>
        </is>
      </c>
      <c r="B18" s="7" t="inlineStr">
        <is>
          <t>10 dias</t>
        </is>
      </c>
      <c r="C18" s="7" t="inlineStr">
        <is>
          <t>Art. 54, Lei 11.343</t>
        </is>
      </c>
    </row>
    <row r="20">
      <c r="A20" s="2" t="inlineStr">
        <is>
          <t>EXCESSO DE PRAZO (Súmula 21, STJ)</t>
        </is>
      </c>
    </row>
    <row r="21">
      <c r="A21" t="inlineStr">
        <is>
          <t>Data da prisão preventiva:</t>
        </is>
      </c>
      <c r="B21" s="4" t="n"/>
    </row>
    <row r="22">
      <c r="A22" t="inlineStr">
        <is>
          <t>Data atual / data da sentença:</t>
        </is>
      </c>
      <c r="B22" s="4" t="n"/>
    </row>
    <row r="23">
      <c r="A23" t="inlineStr">
        <is>
          <t>Dias de prisão preventiva:</t>
        </is>
      </c>
      <c r="B23" s="5">
        <f>IF(AND(B21&lt;&gt;"",B22&lt;&gt;""),B22-B21,"")</f>
        <v/>
      </c>
    </row>
    <row r="24">
      <c r="A24" t="inlineStr">
        <is>
          <t>Nota: Se ultrapassa 81 dias (soma dos prazos de réu preso), há fundamento</t>
        </is>
      </c>
    </row>
    <row r="25">
      <c r="A25" t="inlineStr">
        <is>
          <t>para HC por excesso de prazo (análise caso a caso — Súmula 52 STJ)</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40" customWidth="1" min="1" max="1"/>
    <col width="20" customWidth="1" min="2" max="2"/>
    <col width="25" customWidth="1" min="3" max="3"/>
  </cols>
  <sheetData>
    <row r="1">
      <c r="A1" s="1" t="inlineStr">
        <is>
          <t>CÁLCULO DA PENA DE MULTA (Art. 49, CP)</t>
        </is>
      </c>
    </row>
    <row r="3">
      <c r="A3" t="inlineStr">
        <is>
          <t>Dias-multa mínimo (do tipo penal):</t>
        </is>
      </c>
      <c r="B3" s="4" t="n"/>
    </row>
    <row r="4">
      <c r="A4" t="inlineStr">
        <is>
          <t>Dias-multa máximo (do tipo penal):</t>
        </is>
      </c>
      <c r="B4" s="4" t="n"/>
    </row>
    <row r="5">
      <c r="A5" t="inlineStr">
        <is>
          <t>Salário mínimo vigente (R$):</t>
        </is>
      </c>
      <c r="B5" s="4" t="n">
        <v>1518</v>
      </c>
    </row>
    <row r="7">
      <c r="A7" s="2" t="inlineStr">
        <is>
          <t>1ª FASE — Dias-multa (circunstâncias judiciais)</t>
        </is>
      </c>
    </row>
    <row r="8">
      <c r="A8" t="inlineStr">
        <is>
          <t>Nº de circunstâncias desfavoráveis (0 a 8):</t>
        </is>
      </c>
      <c r="B8" s="4" t="n"/>
    </row>
    <row r="9">
      <c r="A9" t="inlineStr">
        <is>
          <t>Dias-multa fixados:</t>
        </is>
      </c>
      <c r="B9" s="5">
        <f>IF(AND(B3&lt;&gt;"",B4&lt;&gt;""),ROUND(B3+((B4-B3)/8)*B8,0),"")</f>
        <v/>
      </c>
    </row>
    <row r="11">
      <c r="A11" s="2" t="inlineStr">
        <is>
          <t>2ª/3ª FASES — ajustes (agravantes, causas de aumento)</t>
        </is>
      </c>
    </row>
    <row r="12">
      <c r="A12" t="inlineStr">
        <is>
          <t>Dias-multa após 2ª e 3ª fases (ajuste manual):</t>
        </is>
      </c>
      <c r="B12" s="4" t="n"/>
    </row>
    <row r="14">
      <c r="A14" s="2" t="inlineStr">
        <is>
          <t>VALOR DO DIA-MULTA</t>
        </is>
      </c>
    </row>
    <row r="15">
      <c r="A15" t="inlineStr">
        <is>
          <t>Mínimo: 1/30 do salário mínimo (R$):</t>
        </is>
      </c>
      <c r="B15" s="5">
        <f>ROUND(B5/30,2)</f>
        <v/>
      </c>
    </row>
    <row r="16">
      <c r="A16" t="inlineStr">
        <is>
          <t>Máximo: 5× salário mínimo (R$):</t>
        </is>
      </c>
      <c r="B16" s="5">
        <f>B5*5</f>
        <v/>
      </c>
    </row>
    <row r="17">
      <c r="A17" t="inlineStr">
        <is>
          <t>Valor do dia-multa fixado (R$):</t>
        </is>
      </c>
      <c r="B17" s="4" t="n"/>
    </row>
    <row r="19">
      <c r="A19" s="9" t="inlineStr">
        <is>
          <t>═══ MULTA TOTAL (R$) ═══</t>
        </is>
      </c>
      <c r="B19" s="5">
        <f>IF(AND(B12&lt;&gt;"",B17&lt;&gt;""),B12*B17,"")</f>
        <v/>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50" customWidth="1" min="1" max="1"/>
    <col width="20" customWidth="1" min="2" max="2"/>
    <col width="30" customWidth="1" min="3" max="3"/>
  </cols>
  <sheetData>
    <row r="1">
      <c r="A1" s="1" t="inlineStr">
        <is>
          <t>BENEFÍCIOS DESPENALIZADORES</t>
        </is>
      </c>
    </row>
    <row r="3">
      <c r="A3" s="2" t="inlineStr">
        <is>
          <t>ACORDO DE NÃO PERSECUÇÃO PENAL (Art. 28-A, CPP)</t>
        </is>
      </c>
    </row>
    <row r="4">
      <c r="A4" s="6" t="inlineStr">
        <is>
          <t>Requisito</t>
        </is>
      </c>
      <c r="B4" s="6" t="inlineStr">
        <is>
          <t>Presente?</t>
        </is>
      </c>
      <c r="C4" s="6" t="inlineStr">
        <is>
          <t>Fundamento</t>
        </is>
      </c>
    </row>
    <row r="5">
      <c r="A5" s="7" t="inlineStr">
        <is>
          <t>Pena mínima do crime &lt; 4 anos</t>
        </is>
      </c>
      <c r="B5" s="4" t="n"/>
      <c r="C5" s="7" t="inlineStr">
        <is>
          <t>Art. 28-A, caput</t>
        </is>
      </c>
    </row>
    <row r="6">
      <c r="A6" s="7" t="inlineStr">
        <is>
          <t>Crime SEM violência ou grave ameaça</t>
        </is>
      </c>
      <c r="B6" s="4" t="n"/>
      <c r="C6" s="7" t="inlineStr">
        <is>
          <t>Art. 28-A, caput</t>
        </is>
      </c>
    </row>
    <row r="7">
      <c r="A7" s="7" t="inlineStr">
        <is>
          <t>Réu NÃO é reincidente (ou reincidência não é específica)</t>
        </is>
      </c>
      <c r="B7" s="4" t="n"/>
      <c r="C7" s="7" t="inlineStr">
        <is>
          <t>Art. 28-A, §2º, I</t>
        </is>
      </c>
    </row>
    <row r="8">
      <c r="A8" s="7" t="inlineStr">
        <is>
          <t>Não houve ANPP anterior nos últimos 5 anos</t>
        </is>
      </c>
      <c r="B8" s="4" t="n"/>
      <c r="C8" s="7" t="inlineStr">
        <is>
          <t>Art. 28-A, §2º, II</t>
        </is>
      </c>
    </row>
    <row r="9">
      <c r="A9" s="7" t="inlineStr">
        <is>
          <t>Não se trata de violência doméstica</t>
        </is>
      </c>
      <c r="B9" s="4" t="n"/>
      <c r="C9" s="7" t="inlineStr">
        <is>
          <t>Art. 28-A, §2º, IV</t>
        </is>
      </c>
    </row>
    <row r="10">
      <c r="A10" s="7" t="inlineStr">
        <is>
          <t>Confissão formal e circunstanciada</t>
        </is>
      </c>
      <c r="B10" s="4" t="n"/>
      <c r="C10" s="7" t="inlineStr">
        <is>
          <t>Art. 28-A, caput</t>
        </is>
      </c>
    </row>
    <row r="11">
      <c r="A11" s="7" t="inlineStr">
        <is>
          <t>Circunstâncias indicam necessidade e suficiência</t>
        </is>
      </c>
      <c r="B11" s="4" t="n"/>
      <c r="C11" s="7" t="inlineStr">
        <is>
          <t>Art. 28-A, caput</t>
        </is>
      </c>
    </row>
    <row r="12">
      <c r="A12" t="inlineStr">
        <is>
          <t>ANPP CABÍVEL?</t>
        </is>
      </c>
      <c r="B12" s="5">
        <f>IF(COUNTIF(B5:B11,"Não")&gt;0,"NÃO","SIM")</f>
        <v/>
      </c>
    </row>
    <row r="14">
      <c r="A14" s="2" t="inlineStr">
        <is>
          <t>SUSPENSÃO CONDICIONAL DO PROCESSO (Art. 89, Lei 9.099/95)</t>
        </is>
      </c>
    </row>
    <row r="15">
      <c r="A15" s="6" t="inlineStr">
        <is>
          <t>Requisito</t>
        </is>
      </c>
      <c r="B15" s="6" t="inlineStr">
        <is>
          <t>Presente?</t>
        </is>
      </c>
      <c r="C15" s="6" t="inlineStr">
        <is>
          <t>Fundamento</t>
        </is>
      </c>
    </row>
    <row r="16">
      <c r="A16" s="7" t="inlineStr">
        <is>
          <t>Pena MÍNIMA ≤ 1 ano</t>
        </is>
      </c>
      <c r="B16" s="4" t="n"/>
      <c r="C16" s="7" t="inlineStr">
        <is>
          <t>Art. 89, caput</t>
        </is>
      </c>
    </row>
    <row r="17">
      <c r="A17" s="7" t="inlineStr">
        <is>
          <t>Réu primário (não reincidente em crime doloso)</t>
        </is>
      </c>
      <c r="B17" s="4" t="n"/>
      <c r="C17" s="7" t="inlineStr">
        <is>
          <t>Art. 89, caput</t>
        </is>
      </c>
    </row>
    <row r="18">
      <c r="A18" s="7" t="inlineStr">
        <is>
          <t>Não está respondendo a outro processo criminal</t>
        </is>
      </c>
      <c r="B18" s="4" t="n"/>
      <c r="C18" s="7" t="inlineStr">
        <is>
          <t>Art. 89, caput</t>
        </is>
      </c>
    </row>
    <row r="19">
      <c r="A19" s="7" t="inlineStr">
        <is>
          <t>Culpabilidade, antecedentes e conduta social favoráveis</t>
        </is>
      </c>
      <c r="B19" s="4" t="n"/>
      <c r="C19" s="7" t="inlineStr">
        <is>
          <t>Art. 89, caput</t>
        </is>
      </c>
    </row>
    <row r="20">
      <c r="A20" t="inlineStr">
        <is>
          <t>SURSIS PROCESSUAL CABÍVEL?</t>
        </is>
      </c>
      <c r="B20" s="5">
        <f>IF(COUNTIF(B16:B19,"Não")&gt;0,"NÃO","SIM")</f>
        <v/>
      </c>
    </row>
    <row r="22">
      <c r="A22" s="2" t="inlineStr">
        <is>
          <t>SURSIS DA PENA (Art. 77, CP)</t>
        </is>
      </c>
    </row>
    <row r="23">
      <c r="A23" t="inlineStr">
        <is>
          <t>Pena aplicada (meses):</t>
        </is>
      </c>
      <c r="B23" s="4" t="n"/>
    </row>
    <row r="24">
      <c r="A24" t="inlineStr">
        <is>
          <t>Réu primário?</t>
        </is>
      </c>
      <c r="B24" s="4" t="n"/>
    </row>
    <row r="25">
      <c r="A25" t="inlineStr">
        <is>
          <t>Réu &gt; 70 anos ou doença grave?</t>
        </is>
      </c>
      <c r="B25" s="4" t="n"/>
    </row>
    <row r="27">
      <c r="A27" t="inlineStr">
        <is>
          <t>Sursis simples (pena ≤ 24 meses, primário):</t>
        </is>
      </c>
      <c r="B27" s="5">
        <f>IF(AND(B23&lt;=24,B24="Sim"),"CABÍVEL (2 a 4 anos de prova)","NÃO CABÍVEL")</f>
        <v/>
      </c>
    </row>
    <row r="28">
      <c r="A28" t="inlineStr">
        <is>
          <t>Sursis etário/humanitário (pena ≤ 48 meses, &gt;70 ou doente):</t>
        </is>
      </c>
      <c r="B28" s="5">
        <f>IF(AND(B23&lt;=48,B25="Sim"),"CABÍVEL (4 a 6 anos de prova)","NÃO CABÍVEL")</f>
        <v/>
      </c>
    </row>
  </sheetData>
  <mergeCells count="1">
    <mergeCell ref="A1:C1"/>
  </mergeCells>
  <dataValidations count="1">
    <dataValidation sqref="B5 B6 B7 B8 B9 B10 B11 B16 B17 B18 B19 B24 B25" showDropDown="0" showInputMessage="0" showErrorMessage="0" allowBlank="1" type="list">
      <formula1>"Sim,Não"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32"/>
  <sheetViews>
    <sheetView workbookViewId="0">
      <pane ySplit="3" topLeftCell="A4" activePane="bottomLeft" state="frozen"/>
      <selection pane="bottomLeft" activeCell="A1" sqref="A1"/>
    </sheetView>
  </sheetViews>
  <sheetFormatPr baseColWidth="8" defaultRowHeight="15"/>
  <cols>
    <col width="15" customWidth="1" min="1" max="1"/>
    <col width="20" customWidth="1" min="2" max="2"/>
    <col width="45" customWidth="1" min="3" max="3"/>
    <col width="15" customWidth="1" min="4" max="4"/>
    <col width="15" customWidth="1" min="5" max="5"/>
    <col width="15" customWidth="1" min="6" max="6"/>
    <col width="22" customWidth="1" min="7" max="7"/>
    <col width="12" customWidth="1" min="8" max="8"/>
    <col width="18" customWidth="1" min="9" max="9"/>
    <col width="12" customWidth="1" min="10" max="10"/>
    <col width="60" customWidth="1" min="11" max="11"/>
    <col width="55" customWidth="1" min="12" max="12"/>
    <col width="15" customWidth="1" min="13" max="13"/>
    <col width="15" customWidth="1" min="14" max="14"/>
  </cols>
  <sheetData>
    <row r="1">
      <c r="A1" s="1" t="inlineStr">
        <is>
          <t>CATÁLOGO COMPLETO DE CRIMES — LEGISLAÇÃO PENAL BRASILEIRA</t>
        </is>
      </c>
    </row>
    <row r="2">
      <c r="A2" s="14" t="inlineStr">
        <is>
          <t>Total: 529 tipos penais | 53 diplomas legislativos | Atualizado até 2025</t>
        </is>
      </c>
    </row>
    <row r="3">
      <c r="A3" s="15" t="inlineStr">
        <is>
          <t>Legislação</t>
        </is>
      </c>
      <c r="B3" s="15" t="inlineStr">
        <is>
          <t>Artigo</t>
        </is>
      </c>
      <c r="C3" s="15" t="inlineStr">
        <is>
          <t>Crime (nomen juris)</t>
        </is>
      </c>
      <c r="D3" s="15" t="inlineStr">
        <is>
          <t>Pena Mín. (meses)</t>
        </is>
      </c>
      <c r="E3" s="15" t="inlineStr">
        <is>
          <t>Pena Máx. (meses)</t>
        </is>
      </c>
      <c r="F3" s="15" t="inlineStr">
        <is>
          <t>Tipo de Pena</t>
        </is>
      </c>
      <c r="G3" s="15" t="inlineStr">
        <is>
          <t>Ação Penal</t>
        </is>
      </c>
      <c r="H3" s="15" t="inlineStr">
        <is>
          <t>Hediondo?</t>
        </is>
      </c>
      <c r="I3" s="15" t="inlineStr">
        <is>
          <t>Elemento Subjetivo</t>
        </is>
      </c>
      <c r="J3" s="15" t="inlineStr">
        <is>
          <t>Tentativa?</t>
        </is>
      </c>
      <c r="K3" s="15" t="inlineStr">
        <is>
          <t>Qualificadoras / Majorantes / Minorantes</t>
        </is>
      </c>
      <c r="L3" s="15" t="inlineStr">
        <is>
          <t>Observações (súmulas, jurisprudência, notas)</t>
        </is>
      </c>
      <c r="M3" s="15" t="inlineStr">
        <is>
          <t>Cabe ANPP? (pena mín &lt; 48m, s/ violência)</t>
        </is>
      </c>
      <c r="N3" s="15" t="inlineStr">
        <is>
          <t>Cabe Sursis Proc.? (pena mín ≤ 12m)</t>
        </is>
      </c>
    </row>
    <row r="4">
      <c r="A4" s="7" t="inlineStr">
        <is>
          <t>CP</t>
        </is>
      </c>
      <c r="B4" s="7" t="inlineStr">
        <is>
          <t>Art. 121, caput</t>
        </is>
      </c>
      <c r="C4" s="16" t="inlineStr">
        <is>
          <t>Homicídio simples</t>
        </is>
      </c>
      <c r="D4" s="7" t="n">
        <v>72</v>
      </c>
      <c r="E4" s="7" t="n">
        <v>240</v>
      </c>
      <c r="F4" s="7" t="inlineStr">
        <is>
          <t>Reclusão</t>
        </is>
      </c>
      <c r="G4" s="7" t="inlineStr">
        <is>
          <t>Pública Incondicionada</t>
        </is>
      </c>
      <c r="H4" s="7" t="inlineStr">
        <is>
          <t>Não</t>
        </is>
      </c>
      <c r="I4" s="7" t="inlineStr">
        <is>
          <t>Doloso</t>
        </is>
      </c>
      <c r="J4" s="7" t="inlineStr">
        <is>
          <t>Sim</t>
        </is>
      </c>
      <c r="K4" s="16" t="inlineStr">
        <is>
          <t>§1º: privilegiado (relevante valor moral/social, violenta emoção) — reduz 1/6 a 1/3</t>
        </is>
      </c>
      <c r="L4" s="16" t="inlineStr">
        <is>
          <t>Competência do Tribunal do Júri</t>
        </is>
      </c>
      <c r="M4" s="7" t="inlineStr">
        <is>
          <t>Verificar</t>
        </is>
      </c>
      <c r="N4" s="7" t="inlineStr">
        <is>
          <t>Não</t>
        </is>
      </c>
    </row>
    <row r="5">
      <c r="A5" s="17" t="inlineStr">
        <is>
          <t>CP</t>
        </is>
      </c>
      <c r="B5" s="17" t="inlineStr">
        <is>
          <t>Art. 121, §2º</t>
        </is>
      </c>
      <c r="C5" s="18" t="inlineStr">
        <is>
          <t>Homicídio qualificado</t>
        </is>
      </c>
      <c r="D5" s="17" t="n">
        <v>144</v>
      </c>
      <c r="E5" s="17" t="n">
        <v>360</v>
      </c>
      <c r="F5" s="17" t="inlineStr">
        <is>
          <t>Reclusão</t>
        </is>
      </c>
      <c r="G5" s="17" t="inlineStr">
        <is>
          <t>Pública Incondicionada</t>
        </is>
      </c>
      <c r="H5" s="17" t="inlineStr">
        <is>
          <t>Sim</t>
        </is>
      </c>
      <c r="I5" s="17" t="inlineStr">
        <is>
          <t>Doloso</t>
        </is>
      </c>
      <c r="J5" s="17" t="inlineStr">
        <is>
          <t>Sim</t>
        </is>
      </c>
      <c r="K5" s="18" t="inlineStr">
        <is>
          <t>I-motivo torpe; II-motivo fútil; III-veneno/fogo/explosivo/asfixia/tortura/meio insidioso/cruel; IV-traição/emboscada/dissimulação; V-para assegurar outro crime; VI-feminicídio; VII-arma de fogo de uso restrito/ilegal; VIII-milícia/grupo extermínio; §2º-B: menor de 14 ou PcD</t>
        </is>
      </c>
      <c r="L5" s="18" t="inlineStr">
        <is>
          <t>Hediondo (Lei 8.072). Júri. Pena 12-30 anos</t>
        </is>
      </c>
      <c r="M5" s="17" t="inlineStr">
        <is>
          <t>Verificar</t>
        </is>
      </c>
      <c r="N5" s="17" t="inlineStr">
        <is>
          <t>Não</t>
        </is>
      </c>
    </row>
    <row r="6">
      <c r="A6" s="17" t="inlineStr">
        <is>
          <t>CP</t>
        </is>
      </c>
      <c r="B6" s="17" t="inlineStr">
        <is>
          <t>Art. 121, §2º, VI</t>
        </is>
      </c>
      <c r="C6" s="18" t="inlineStr">
        <is>
          <t>Feminicídio</t>
        </is>
      </c>
      <c r="D6" s="17" t="n">
        <v>144</v>
      </c>
      <c r="E6" s="17" t="n">
        <v>360</v>
      </c>
      <c r="F6" s="17" t="inlineStr">
        <is>
          <t>Reclusão</t>
        </is>
      </c>
      <c r="G6" s="17" t="inlineStr">
        <is>
          <t>Pública Incondicionada</t>
        </is>
      </c>
      <c r="H6" s="17" t="inlineStr">
        <is>
          <t>Sim</t>
        </is>
      </c>
      <c r="I6" s="17" t="inlineStr">
        <is>
          <t>Doloso</t>
        </is>
      </c>
      <c r="J6" s="17" t="inlineStr">
        <is>
          <t>Sim</t>
        </is>
      </c>
      <c r="K6" s="18" t="inlineStr">
        <is>
          <t>§2º-A: violência doméstica/familiar ou menosprezo/discriminação à condição de mulher. §7º: +1/3 se gestante/3m pós-parto; &lt;14 ou &gt;60; PcD; presença de descendente/ascendente</t>
        </is>
      </c>
      <c r="L6" s="18" t="inlineStr">
        <is>
          <t>Lei 13.104/2015. Hediondo. Aumento 1/3 a 1/2 (§7º)</t>
        </is>
      </c>
      <c r="M6" s="17" t="inlineStr">
        <is>
          <t>Verificar</t>
        </is>
      </c>
      <c r="N6" s="17" t="inlineStr">
        <is>
          <t>Não</t>
        </is>
      </c>
    </row>
    <row r="7">
      <c r="A7" s="7" t="inlineStr">
        <is>
          <t>CP</t>
        </is>
      </c>
      <c r="B7" s="7" t="inlineStr">
        <is>
          <t>Art. 121, §3º</t>
        </is>
      </c>
      <c r="C7" s="16" t="inlineStr">
        <is>
          <t>Homicídio culposo</t>
        </is>
      </c>
      <c r="D7" s="7" t="n">
        <v>12</v>
      </c>
      <c r="E7" s="7" t="n">
        <v>36</v>
      </c>
      <c r="F7" s="7" t="inlineStr">
        <is>
          <t>Detenção</t>
        </is>
      </c>
      <c r="G7" s="7" t="inlineStr">
        <is>
          <t>Pública Incondicionada</t>
        </is>
      </c>
      <c r="H7" s="7" t="inlineStr">
        <is>
          <t>Não</t>
        </is>
      </c>
      <c r="I7" s="7" t="inlineStr">
        <is>
          <t>Culposo</t>
        </is>
      </c>
      <c r="J7" s="7" t="inlineStr">
        <is>
          <t>Não</t>
        </is>
      </c>
      <c r="K7" s="16" t="inlineStr">
        <is>
          <t>§4º: +1/3 se inobservância de regra técnica; se omissão de socorro; se não procura diminuir consequências; se fuga</t>
        </is>
      </c>
      <c r="L7" s="16" t="inlineStr">
        <is>
          <t>Não admite tentativa (crime culposo). §5º: perdão judicial se consequências atingem o agente</t>
        </is>
      </c>
      <c r="M7" s="7" t="inlineStr">
        <is>
          <t>Sim</t>
        </is>
      </c>
      <c r="N7" s="7" t="inlineStr">
        <is>
          <t>Sim</t>
        </is>
      </c>
    </row>
    <row r="8">
      <c r="A8" s="19" t="inlineStr">
        <is>
          <t>CP</t>
        </is>
      </c>
      <c r="B8" s="19" t="inlineStr">
        <is>
          <t>Art. 121, §4º (parte final)</t>
        </is>
      </c>
      <c r="C8" s="20" t="inlineStr">
        <is>
          <t>Homicídio doloso — aumento de pena</t>
        </is>
      </c>
      <c r="D8" s="19" t="inlineStr">
        <is>
          <t>—</t>
        </is>
      </c>
      <c r="E8" s="19" t="inlineStr">
        <is>
          <t>—</t>
        </is>
      </c>
      <c r="F8" s="19" t="inlineStr">
        <is>
          <t>—</t>
        </is>
      </c>
      <c r="G8" s="19" t="inlineStr">
        <is>
          <t>—</t>
        </is>
      </c>
      <c r="H8" s="19" t="inlineStr">
        <is>
          <t>—</t>
        </is>
      </c>
      <c r="I8" s="19" t="inlineStr">
        <is>
          <t>—</t>
        </is>
      </c>
      <c r="J8" s="19" t="inlineStr">
        <is>
          <t>—</t>
        </is>
      </c>
      <c r="K8" s="20" t="inlineStr">
        <is>
          <t>+1/3 se vítima &lt; 14 anos ou &gt; 60 anos</t>
        </is>
      </c>
      <c r="L8" s="20" t="inlineStr">
        <is>
          <t>Causa de aumento aplicável ao homicídio doloso simples ou qualificado</t>
        </is>
      </c>
      <c r="M8" s="19" t="inlineStr">
        <is>
          <t>—</t>
        </is>
      </c>
      <c r="N8" s="19" t="inlineStr">
        <is>
          <t>—</t>
        </is>
      </c>
    </row>
    <row r="9">
      <c r="A9" s="7" t="inlineStr">
        <is>
          <t>CP</t>
        </is>
      </c>
      <c r="B9" s="7" t="inlineStr">
        <is>
          <t>Art. 122</t>
        </is>
      </c>
      <c r="C9" s="16" t="inlineStr">
        <is>
          <t>Induzimento, instigação ou auxílio a suicídio ou automutilação</t>
        </is>
      </c>
      <c r="D9" s="7" t="n">
        <v>6</v>
      </c>
      <c r="E9" s="7" t="n">
        <v>24</v>
      </c>
      <c r="F9" s="7" t="inlineStr">
        <is>
          <t>Reclusão</t>
        </is>
      </c>
      <c r="G9" s="7" t="inlineStr">
        <is>
          <t>Pública Incondicionada</t>
        </is>
      </c>
      <c r="H9" s="7" t="inlineStr">
        <is>
          <t>Não</t>
        </is>
      </c>
      <c r="I9" s="7" t="inlineStr">
        <is>
          <t>Doloso</t>
        </is>
      </c>
      <c r="J9" s="7" t="inlineStr">
        <is>
          <t>Controverso</t>
        </is>
      </c>
      <c r="K9" s="16" t="inlineStr">
        <is>
          <t>§1º: lesão grave/gravíssima = 1-3 anos. §2º: morte = 2-6 anos. §3º: dobra pena se motivo egoístico, vítima menor ou capacidade reduzida. §4º: +metade se por meio internet/rede/aplicativo. §6º: se contra &lt;14 ou PcD = homicídio/lesão corporal conforme resultado</t>
        </is>
      </c>
      <c r="L9" s="16" t="inlineStr">
        <is>
          <t>Redação dada pela Lei 13.968/2019</t>
        </is>
      </c>
      <c r="M9" s="7" t="inlineStr">
        <is>
          <t>Sim</t>
        </is>
      </c>
      <c r="N9" s="7" t="inlineStr">
        <is>
          <t>Sim</t>
        </is>
      </c>
    </row>
    <row r="10">
      <c r="A10" s="7" t="inlineStr">
        <is>
          <t>CP</t>
        </is>
      </c>
      <c r="B10" s="7" t="inlineStr">
        <is>
          <t>Art. 123</t>
        </is>
      </c>
      <c r="C10" s="16" t="inlineStr">
        <is>
          <t>Infanticídio</t>
        </is>
      </c>
      <c r="D10" s="7" t="n">
        <v>24</v>
      </c>
      <c r="E10" s="7" t="n">
        <v>72</v>
      </c>
      <c r="F10" s="7" t="inlineStr">
        <is>
          <t>Detenção</t>
        </is>
      </c>
      <c r="G10" s="7" t="inlineStr">
        <is>
          <t>Pública Incondicionada</t>
        </is>
      </c>
      <c r="H10" s="7" t="inlineStr">
        <is>
          <t>Não</t>
        </is>
      </c>
      <c r="I10" s="7" t="inlineStr">
        <is>
          <t>Doloso</t>
        </is>
      </c>
      <c r="J10" s="7" t="inlineStr">
        <is>
          <t>Sim</t>
        </is>
      </c>
      <c r="K10" s="16" t="inlineStr">
        <is>
          <t>—</t>
        </is>
      </c>
      <c r="L10" s="16" t="inlineStr">
        <is>
          <t>Mãe mata próprio filho durante/logo após o parto, sob influência do estado puerperal. Júri</t>
        </is>
      </c>
      <c r="M10" s="7" t="inlineStr">
        <is>
          <t>Sim</t>
        </is>
      </c>
      <c r="N10" s="7" t="inlineStr">
        <is>
          <t>Não</t>
        </is>
      </c>
    </row>
    <row r="11">
      <c r="A11" s="7" t="inlineStr">
        <is>
          <t>CP</t>
        </is>
      </c>
      <c r="B11" s="7" t="inlineStr">
        <is>
          <t>Art. 124</t>
        </is>
      </c>
      <c r="C11" s="16" t="inlineStr">
        <is>
          <t>Aborto provocado pela gestante ou com seu consentimento</t>
        </is>
      </c>
      <c r="D11" s="7" t="n">
        <v>12</v>
      </c>
      <c r="E11" s="7" t="n">
        <v>36</v>
      </c>
      <c r="F11" s="7" t="inlineStr">
        <is>
          <t>Detenção</t>
        </is>
      </c>
      <c r="G11" s="7" t="inlineStr">
        <is>
          <t>Pública Incondicionada</t>
        </is>
      </c>
      <c r="H11" s="7" t="inlineStr">
        <is>
          <t>Não</t>
        </is>
      </c>
      <c r="I11" s="7" t="inlineStr">
        <is>
          <t>Doloso</t>
        </is>
      </c>
      <c r="J11" s="7" t="inlineStr">
        <is>
          <t>Sim</t>
        </is>
      </c>
      <c r="K11" s="16" t="inlineStr">
        <is>
          <t>—</t>
        </is>
      </c>
      <c r="L11" s="16" t="inlineStr">
        <is>
          <t>Autoaborto ou aborto consentido. ADPF 54 (STF): anencéfalo não é aborto</t>
        </is>
      </c>
      <c r="M11" s="7" t="inlineStr">
        <is>
          <t>Sim</t>
        </is>
      </c>
      <c r="N11" s="7" t="inlineStr">
        <is>
          <t>Sim</t>
        </is>
      </c>
    </row>
    <row r="12">
      <c r="A12" s="7" t="inlineStr">
        <is>
          <t>CP</t>
        </is>
      </c>
      <c r="B12" s="7" t="inlineStr">
        <is>
          <t>Art. 125</t>
        </is>
      </c>
      <c r="C12" s="16" t="inlineStr">
        <is>
          <t>Aborto provocado por terceiro sem consentimento</t>
        </is>
      </c>
      <c r="D12" s="7" t="n">
        <v>36</v>
      </c>
      <c r="E12" s="7" t="n">
        <v>120</v>
      </c>
      <c r="F12" s="7" t="inlineStr">
        <is>
          <t>Reclusão</t>
        </is>
      </c>
      <c r="G12" s="7" t="inlineStr">
        <is>
          <t>Pública Incondicionada</t>
        </is>
      </c>
      <c r="H12" s="7" t="inlineStr">
        <is>
          <t>Não</t>
        </is>
      </c>
      <c r="I12" s="7" t="inlineStr">
        <is>
          <t>Doloso</t>
        </is>
      </c>
      <c r="J12" s="7" t="inlineStr">
        <is>
          <t>Sim</t>
        </is>
      </c>
      <c r="K12" s="16" t="inlineStr">
        <is>
          <t>Art. 127: +1/3 se lesão grave; dobra se morte (preterdolo)</t>
        </is>
      </c>
      <c r="L12" s="16" t="inlineStr"/>
      <c r="M12" s="7" t="inlineStr">
        <is>
          <t>Sim</t>
        </is>
      </c>
      <c r="N12" s="7" t="inlineStr">
        <is>
          <t>Não</t>
        </is>
      </c>
    </row>
    <row r="13">
      <c r="A13" s="7" t="inlineStr">
        <is>
          <t>CP</t>
        </is>
      </c>
      <c r="B13" s="7" t="inlineStr">
        <is>
          <t>Art. 126</t>
        </is>
      </c>
      <c r="C13" s="16" t="inlineStr">
        <is>
          <t>Aborto provocado por terceiro com consentimento</t>
        </is>
      </c>
      <c r="D13" s="7" t="n">
        <v>12</v>
      </c>
      <c r="E13" s="7" t="n">
        <v>48</v>
      </c>
      <c r="F13" s="7" t="inlineStr">
        <is>
          <t>Reclusão</t>
        </is>
      </c>
      <c r="G13" s="7" t="inlineStr">
        <is>
          <t>Pública Incondicionada</t>
        </is>
      </c>
      <c r="H13" s="7" t="inlineStr">
        <is>
          <t>Não</t>
        </is>
      </c>
      <c r="I13" s="7" t="inlineStr">
        <is>
          <t>Doloso</t>
        </is>
      </c>
      <c r="J13" s="7" t="inlineStr">
        <is>
          <t>Sim</t>
        </is>
      </c>
      <c r="K13" s="16" t="inlineStr">
        <is>
          <t>Art. 127: +1/3 se lesão grave; dobra se morte. Parágrafo único do Art. 126: consentimento inválido se &lt;14, alienada, fraude, violência, grave ameaça</t>
        </is>
      </c>
      <c r="L13" s="16" t="inlineStr">
        <is>
          <t>Arts. 128: aborto legal (estupro, risco de vida da mãe)</t>
        </is>
      </c>
      <c r="M13" s="7" t="inlineStr">
        <is>
          <t>Sim</t>
        </is>
      </c>
      <c r="N13" s="7" t="inlineStr">
        <is>
          <t>Sim</t>
        </is>
      </c>
    </row>
    <row r="14">
      <c r="A14" s="7" t="inlineStr">
        <is>
          <t>CP</t>
        </is>
      </c>
      <c r="B14" s="7" t="inlineStr">
        <is>
          <t>Art. 129, caput</t>
        </is>
      </c>
      <c r="C14" s="16" t="inlineStr">
        <is>
          <t>Lesão corporal leve</t>
        </is>
      </c>
      <c r="D14" s="7" t="n">
        <v>3</v>
      </c>
      <c r="E14" s="7" t="n">
        <v>12</v>
      </c>
      <c r="F14" s="7" t="inlineStr">
        <is>
          <t>Detenção</t>
        </is>
      </c>
      <c r="G14" s="7" t="inlineStr">
        <is>
          <t>Pública Condicionada</t>
        </is>
      </c>
      <c r="H14" s="7" t="inlineStr">
        <is>
          <t>Não</t>
        </is>
      </c>
      <c r="I14" s="7" t="inlineStr">
        <is>
          <t>Doloso</t>
        </is>
      </c>
      <c r="J14" s="7" t="inlineStr">
        <is>
          <t>Sim</t>
        </is>
      </c>
      <c r="K14" s="16" t="inlineStr">
        <is>
          <t>—</t>
        </is>
      </c>
      <c r="L14" s="16" t="inlineStr">
        <is>
          <t>Ação condicionada à representação (Lei 9.099). Exceção: violência doméstica = incondicionada (Súmula 542 STJ)</t>
        </is>
      </c>
      <c r="M14" s="7" t="inlineStr">
        <is>
          <t>Sim</t>
        </is>
      </c>
      <c r="N14" s="7" t="inlineStr">
        <is>
          <t>Sim</t>
        </is>
      </c>
    </row>
    <row r="15">
      <c r="A15" s="7" t="inlineStr">
        <is>
          <t>CP</t>
        </is>
      </c>
      <c r="B15" s="7" t="inlineStr">
        <is>
          <t>Art. 129, §1º</t>
        </is>
      </c>
      <c r="C15" s="16" t="inlineStr">
        <is>
          <t>Lesão corporal grave</t>
        </is>
      </c>
      <c r="D15" s="7" t="n">
        <v>12</v>
      </c>
      <c r="E15" s="7" t="n">
        <v>60</v>
      </c>
      <c r="F15" s="7" t="inlineStr">
        <is>
          <t>Reclusão</t>
        </is>
      </c>
      <c r="G15" s="7" t="inlineStr">
        <is>
          <t>Pública Incondicionada</t>
        </is>
      </c>
      <c r="H15" s="7" t="inlineStr">
        <is>
          <t>Não</t>
        </is>
      </c>
      <c r="I15" s="7" t="inlineStr">
        <is>
          <t>Doloso/Preterdoloso</t>
        </is>
      </c>
      <c r="J15" s="7" t="inlineStr">
        <is>
          <t>Sim</t>
        </is>
      </c>
      <c r="K15" s="16" t="inlineStr">
        <is>
          <t>I-incapacidade para ocupações habituais &gt;30 dias; II-perigo de vida; III-debilidade permanente de membro/sentido/função; IV-aceleração de parto</t>
        </is>
      </c>
      <c r="L15" s="16" t="inlineStr">
        <is>
          <t>Resultado qualificador é preterdoloso</t>
        </is>
      </c>
      <c r="M15" s="7" t="inlineStr">
        <is>
          <t>Sim</t>
        </is>
      </c>
      <c r="N15" s="7" t="inlineStr">
        <is>
          <t>Sim</t>
        </is>
      </c>
    </row>
    <row r="16">
      <c r="A16" s="7" t="inlineStr">
        <is>
          <t>CP</t>
        </is>
      </c>
      <c r="B16" s="7" t="inlineStr">
        <is>
          <t>Art. 129, §2º</t>
        </is>
      </c>
      <c r="C16" s="16" t="inlineStr">
        <is>
          <t>Lesão corporal gravíssima</t>
        </is>
      </c>
      <c r="D16" s="7" t="n">
        <v>24</v>
      </c>
      <c r="E16" s="7" t="n">
        <v>96</v>
      </c>
      <c r="F16" s="7" t="inlineStr">
        <is>
          <t>Reclusão</t>
        </is>
      </c>
      <c r="G16" s="7" t="inlineStr">
        <is>
          <t>Pública Incondicionada</t>
        </is>
      </c>
      <c r="H16" s="7" t="inlineStr">
        <is>
          <t>Não</t>
        </is>
      </c>
      <c r="I16" s="7" t="inlineStr">
        <is>
          <t>Doloso/Preterdoloso</t>
        </is>
      </c>
      <c r="J16" s="7" t="inlineStr">
        <is>
          <t>Sim</t>
        </is>
      </c>
      <c r="K16" s="16" t="inlineStr">
        <is>
          <t>I-incapacidade permanente para trabalho; II-enfermidade incurável; III-perda ou inutilização de membro/sentido/função; IV-deformidade permanente; V-aborto</t>
        </is>
      </c>
      <c r="L16" s="16" t="inlineStr">
        <is>
          <t>Denominação doutrinária (CP diz 'grave')</t>
        </is>
      </c>
      <c r="M16" s="7" t="inlineStr">
        <is>
          <t>Sim</t>
        </is>
      </c>
      <c r="N16" s="7" t="inlineStr">
        <is>
          <t>Não</t>
        </is>
      </c>
    </row>
    <row r="17">
      <c r="A17" s="7" t="inlineStr">
        <is>
          <t>CP</t>
        </is>
      </c>
      <c r="B17" s="7" t="inlineStr">
        <is>
          <t>Art. 129, §3º</t>
        </is>
      </c>
      <c r="C17" s="16" t="inlineStr">
        <is>
          <t>Lesão corporal seguida de morte</t>
        </is>
      </c>
      <c r="D17" s="7" t="n">
        <v>48</v>
      </c>
      <c r="E17" s="7" t="n">
        <v>144</v>
      </c>
      <c r="F17" s="7" t="inlineStr">
        <is>
          <t>Reclusão</t>
        </is>
      </c>
      <c r="G17" s="7" t="inlineStr">
        <is>
          <t>Pública Incondicionada</t>
        </is>
      </c>
      <c r="H17" s="7" t="inlineStr">
        <is>
          <t>Não</t>
        </is>
      </c>
      <c r="I17" s="7" t="inlineStr">
        <is>
          <t>Preterdoloso</t>
        </is>
      </c>
      <c r="J17" s="7" t="inlineStr">
        <is>
          <t>Não</t>
        </is>
      </c>
      <c r="K17" s="16" t="inlineStr">
        <is>
          <t>—</t>
        </is>
      </c>
      <c r="L17" s="16" t="inlineStr">
        <is>
          <t>Crime preterdoloso: dolo na lesão + culpa na morte. Não admite tentativa</t>
        </is>
      </c>
      <c r="M17" s="7" t="inlineStr">
        <is>
          <t>Verificar</t>
        </is>
      </c>
      <c r="N17" s="7" t="inlineStr">
        <is>
          <t>Não</t>
        </is>
      </c>
    </row>
    <row r="18">
      <c r="A18" s="7" t="inlineStr">
        <is>
          <t>CP</t>
        </is>
      </c>
      <c r="B18" s="7" t="inlineStr">
        <is>
          <t>Art. 129, §6º</t>
        </is>
      </c>
      <c r="C18" s="16" t="inlineStr">
        <is>
          <t>Lesão corporal culposa</t>
        </is>
      </c>
      <c r="D18" s="7" t="n">
        <v>2</v>
      </c>
      <c r="E18" s="7" t="n">
        <v>12</v>
      </c>
      <c r="F18" s="7" t="inlineStr">
        <is>
          <t>Detenção</t>
        </is>
      </c>
      <c r="G18" s="7" t="inlineStr">
        <is>
          <t>Pública Condicionada</t>
        </is>
      </c>
      <c r="H18" s="7" t="inlineStr">
        <is>
          <t>Não</t>
        </is>
      </c>
      <c r="I18" s="7" t="inlineStr">
        <is>
          <t>Culposo</t>
        </is>
      </c>
      <c r="J18" s="7" t="inlineStr">
        <is>
          <t>Não</t>
        </is>
      </c>
      <c r="K18" s="16" t="inlineStr">
        <is>
          <t>§7º: +1/3 se inobservância de regra técnica</t>
        </is>
      </c>
      <c r="L18" s="16" t="inlineStr">
        <is>
          <t>Não admite tentativa</t>
        </is>
      </c>
      <c r="M18" s="7" t="inlineStr">
        <is>
          <t>Sim</t>
        </is>
      </c>
      <c r="N18" s="7" t="inlineStr">
        <is>
          <t>Sim</t>
        </is>
      </c>
    </row>
    <row r="19">
      <c r="A19" s="7" t="inlineStr">
        <is>
          <t>CP</t>
        </is>
      </c>
      <c r="B19" s="7" t="inlineStr">
        <is>
          <t>Art. 129, §9º</t>
        </is>
      </c>
      <c r="C19" s="16" t="inlineStr">
        <is>
          <t>Lesão corporal — violência doméstica</t>
        </is>
      </c>
      <c r="D19" s="7" t="n">
        <v>3</v>
      </c>
      <c r="E19" s="7" t="n">
        <v>36</v>
      </c>
      <c r="F19" s="7" t="inlineStr">
        <is>
          <t>Detenção</t>
        </is>
      </c>
      <c r="G19" s="7" t="inlineStr">
        <is>
          <t>Pública Incondicionada</t>
        </is>
      </c>
      <c r="H19" s="7" t="inlineStr">
        <is>
          <t>Não</t>
        </is>
      </c>
      <c r="I19" s="7" t="inlineStr">
        <is>
          <t>Doloso</t>
        </is>
      </c>
      <c r="J19" s="7" t="inlineStr">
        <is>
          <t>Sim</t>
        </is>
      </c>
      <c r="K19" s="16" t="inlineStr">
        <is>
          <t>§10: +1/3 se vítima PcD. §11: +1/3 contra ascendente/descendente/irmão/cônjuge/companheiro/quem conviva. §12: +1/3 contra mulher (Lei 14.188/2021). §13: se violência doméstica contra mulher por arma de fogo: 3-6 anos de reclusão</t>
        </is>
      </c>
      <c r="L19" s="16" t="inlineStr">
        <is>
          <t>Incondicionada (Súmula 542 STJ). Lei Maria da Penha</t>
        </is>
      </c>
      <c r="M19" s="7" t="inlineStr">
        <is>
          <t>Verificar</t>
        </is>
      </c>
      <c r="N19" s="7" t="inlineStr">
        <is>
          <t>Sim</t>
        </is>
      </c>
    </row>
    <row r="20">
      <c r="A20" s="7" t="inlineStr">
        <is>
          <t>CP</t>
        </is>
      </c>
      <c r="B20" s="7" t="inlineStr">
        <is>
          <t>Art. 130</t>
        </is>
      </c>
      <c r="C20" s="16" t="inlineStr">
        <is>
          <t>Perigo de contágio venéreo</t>
        </is>
      </c>
      <c r="D20" s="7" t="n">
        <v>3</v>
      </c>
      <c r="E20" s="7" t="n">
        <v>12</v>
      </c>
      <c r="F20" s="7" t="inlineStr">
        <is>
          <t>Detenção</t>
        </is>
      </c>
      <c r="G20" s="7" t="inlineStr">
        <is>
          <t>Pública Condicionada</t>
        </is>
      </c>
      <c r="H20" s="7" t="inlineStr">
        <is>
          <t>Não</t>
        </is>
      </c>
      <c r="I20" s="7" t="inlineStr">
        <is>
          <t>Doloso</t>
        </is>
      </c>
      <c r="J20" s="7" t="inlineStr">
        <is>
          <t>Sim</t>
        </is>
      </c>
      <c r="K20" s="16" t="inlineStr">
        <is>
          <t>§1º: +1/6 a +1/3 se intenção de transmitir. §2º: +1/3 a +1 se resultado lesão grave</t>
        </is>
      </c>
      <c r="L20" s="16" t="inlineStr"/>
      <c r="M20" s="7" t="inlineStr">
        <is>
          <t>Sim</t>
        </is>
      </c>
      <c r="N20" s="7" t="inlineStr">
        <is>
          <t>Sim</t>
        </is>
      </c>
    </row>
    <row r="21">
      <c r="A21" s="7" t="inlineStr">
        <is>
          <t>CP</t>
        </is>
      </c>
      <c r="B21" s="7" t="inlineStr">
        <is>
          <t>Art. 131</t>
        </is>
      </c>
      <c r="C21" s="16" t="inlineStr">
        <is>
          <t>Perigo de contágio de moléstia grave</t>
        </is>
      </c>
      <c r="D21" s="7" t="n">
        <v>12</v>
      </c>
      <c r="E21" s="7" t="n">
        <v>48</v>
      </c>
      <c r="F21" s="7" t="inlineStr">
        <is>
          <t>Reclusão</t>
        </is>
      </c>
      <c r="G21" s="7" t="inlineStr">
        <is>
          <t>Pública Condicionada</t>
        </is>
      </c>
      <c r="H21" s="7" t="inlineStr">
        <is>
          <t>Não</t>
        </is>
      </c>
      <c r="I21" s="7" t="inlineStr">
        <is>
          <t>Doloso</t>
        </is>
      </c>
      <c r="J21" s="7" t="inlineStr">
        <is>
          <t>Sim</t>
        </is>
      </c>
      <c r="K21" s="16" t="inlineStr">
        <is>
          <t>—</t>
        </is>
      </c>
      <c r="L21" s="16" t="inlineStr">
        <is>
          <t>Praticar ato capaz de produzir contágio</t>
        </is>
      </c>
      <c r="M21" s="7" t="inlineStr">
        <is>
          <t>Sim</t>
        </is>
      </c>
      <c r="N21" s="7" t="inlineStr">
        <is>
          <t>Sim</t>
        </is>
      </c>
    </row>
    <row r="22">
      <c r="A22" s="7" t="inlineStr">
        <is>
          <t>CP</t>
        </is>
      </c>
      <c r="B22" s="7" t="inlineStr">
        <is>
          <t>Art. 132</t>
        </is>
      </c>
      <c r="C22" s="16" t="inlineStr">
        <is>
          <t>Perigo para a vida ou saúde de outrem</t>
        </is>
      </c>
      <c r="D22" s="7" t="n">
        <v>3</v>
      </c>
      <c r="E22" s="7" t="n">
        <v>12</v>
      </c>
      <c r="F22" s="7" t="inlineStr">
        <is>
          <t>Detenção</t>
        </is>
      </c>
      <c r="G22" s="7" t="inlineStr">
        <is>
          <t>Pública Incondicionada</t>
        </is>
      </c>
      <c r="H22" s="7" t="inlineStr">
        <is>
          <t>Não</t>
        </is>
      </c>
      <c r="I22" s="7" t="inlineStr">
        <is>
          <t>Doloso</t>
        </is>
      </c>
      <c r="J22" s="7" t="inlineStr">
        <is>
          <t>Sim</t>
        </is>
      </c>
      <c r="K22" s="16" t="inlineStr">
        <is>
          <t>Parágrafo único: +1/6 a +1/3 se transporte de pessoas para trabalho</t>
        </is>
      </c>
      <c r="L22" s="16" t="inlineStr">
        <is>
          <t>Subsidiariedade expressa: 'se o fato não constitui crime mais grave'</t>
        </is>
      </c>
      <c r="M22" s="7" t="inlineStr">
        <is>
          <t>Sim</t>
        </is>
      </c>
      <c r="N22" s="7" t="inlineStr">
        <is>
          <t>Sim</t>
        </is>
      </c>
    </row>
    <row r="23">
      <c r="A23" s="7" t="inlineStr">
        <is>
          <t>CP</t>
        </is>
      </c>
      <c r="B23" s="7" t="inlineStr">
        <is>
          <t>Art. 133</t>
        </is>
      </c>
      <c r="C23" s="16" t="inlineStr">
        <is>
          <t>Abandono de incapaz</t>
        </is>
      </c>
      <c r="D23" s="7" t="n">
        <v>6</v>
      </c>
      <c r="E23" s="7" t="n">
        <v>36</v>
      </c>
      <c r="F23" s="7" t="inlineStr">
        <is>
          <t>Detenção</t>
        </is>
      </c>
      <c r="G23" s="7" t="inlineStr">
        <is>
          <t>Pública Incondicionada</t>
        </is>
      </c>
      <c r="H23" s="7" t="inlineStr">
        <is>
          <t>Não</t>
        </is>
      </c>
      <c r="I23" s="7" t="inlineStr">
        <is>
          <t>Doloso</t>
        </is>
      </c>
      <c r="J23" s="7" t="inlineStr">
        <is>
          <t>Sim</t>
        </is>
      </c>
      <c r="K23" s="16" t="inlineStr">
        <is>
          <t>§1º: lesão grave = 1-5 anos. §2º: morte = 4-12 anos. §3º: +1/3 se ascendente/descendente/cônjuge/irmão/tutor/curador</t>
        </is>
      </c>
      <c r="L23" s="16" t="inlineStr"/>
      <c r="M23" s="7" t="inlineStr">
        <is>
          <t>Sim</t>
        </is>
      </c>
      <c r="N23" s="7" t="inlineStr">
        <is>
          <t>Sim</t>
        </is>
      </c>
    </row>
    <row r="24">
      <c r="A24" s="7" t="inlineStr">
        <is>
          <t>CP</t>
        </is>
      </c>
      <c r="B24" s="7" t="inlineStr">
        <is>
          <t>Art. 134</t>
        </is>
      </c>
      <c r="C24" s="16" t="inlineStr">
        <is>
          <t>Exposição ou abandono de recém-nascido</t>
        </is>
      </c>
      <c r="D24" s="7" t="n">
        <v>6</v>
      </c>
      <c r="E24" s="7" t="n">
        <v>24</v>
      </c>
      <c r="F24" s="7" t="inlineStr">
        <is>
          <t>Detenção</t>
        </is>
      </c>
      <c r="G24" s="7" t="inlineStr">
        <is>
          <t>Pública Incondicionada</t>
        </is>
      </c>
      <c r="H24" s="7" t="inlineStr">
        <is>
          <t>Não</t>
        </is>
      </c>
      <c r="I24" s="7" t="inlineStr">
        <is>
          <t>Doloso</t>
        </is>
      </c>
      <c r="J24" s="7" t="inlineStr">
        <is>
          <t>Sim</t>
        </is>
      </c>
      <c r="K24" s="16" t="inlineStr">
        <is>
          <t>§1º: lesão grave = 1-3 anos. §2º: morte = 2-6 anos</t>
        </is>
      </c>
      <c r="L24" s="16" t="inlineStr">
        <is>
          <t>Crime próprio: mãe, para ocultar desonra própria</t>
        </is>
      </c>
      <c r="M24" s="7" t="inlineStr">
        <is>
          <t>Sim</t>
        </is>
      </c>
      <c r="N24" s="7" t="inlineStr">
        <is>
          <t>Sim</t>
        </is>
      </c>
    </row>
    <row r="25">
      <c r="A25" s="7" t="inlineStr">
        <is>
          <t>CP</t>
        </is>
      </c>
      <c r="B25" s="7" t="inlineStr">
        <is>
          <t>Art. 135</t>
        </is>
      </c>
      <c r="C25" s="16" t="inlineStr">
        <is>
          <t>Omissão de socorro</t>
        </is>
      </c>
      <c r="D25" s="7" t="n">
        <v>1</v>
      </c>
      <c r="E25" s="7" t="n">
        <v>6</v>
      </c>
      <c r="F25" s="7" t="inlineStr">
        <is>
          <t>Detenção</t>
        </is>
      </c>
      <c r="G25" s="7" t="inlineStr">
        <is>
          <t>Pública Incondicionada</t>
        </is>
      </c>
      <c r="H25" s="7" t="inlineStr">
        <is>
          <t>Não</t>
        </is>
      </c>
      <c r="I25" s="7" t="inlineStr">
        <is>
          <t>Doloso</t>
        </is>
      </c>
      <c r="J25" s="7" t="inlineStr">
        <is>
          <t>Não</t>
        </is>
      </c>
      <c r="K25" s="16" t="inlineStr">
        <is>
          <t>Parágrafo único: pena aumentada de metade se resulta lesão grave; triplicada se morte</t>
        </is>
      </c>
      <c r="L25" s="16" t="inlineStr">
        <is>
          <t>Crime omissivo próprio (não admite tentativa)</t>
        </is>
      </c>
      <c r="M25" s="7" t="inlineStr">
        <is>
          <t>Sim</t>
        </is>
      </c>
      <c r="N25" s="7" t="inlineStr">
        <is>
          <t>Sim</t>
        </is>
      </c>
    </row>
    <row r="26">
      <c r="A26" s="7" t="inlineStr">
        <is>
          <t>CP</t>
        </is>
      </c>
      <c r="B26" s="7" t="inlineStr">
        <is>
          <t>Art. 136</t>
        </is>
      </c>
      <c r="C26" s="16" t="inlineStr">
        <is>
          <t>Maus-tratos</t>
        </is>
      </c>
      <c r="D26" s="7" t="n">
        <v>2</v>
      </c>
      <c r="E26" s="7" t="n">
        <v>12</v>
      </c>
      <c r="F26" s="7" t="inlineStr">
        <is>
          <t>Detenção</t>
        </is>
      </c>
      <c r="G26" s="7" t="inlineStr">
        <is>
          <t>Pública Incondicionada</t>
        </is>
      </c>
      <c r="H26" s="7" t="inlineStr">
        <is>
          <t>Não</t>
        </is>
      </c>
      <c r="I26" s="7" t="inlineStr">
        <is>
          <t>Doloso</t>
        </is>
      </c>
      <c r="J26" s="7" t="inlineStr">
        <is>
          <t>Sim</t>
        </is>
      </c>
      <c r="K26" s="16" t="inlineStr">
        <is>
          <t>§1º: lesão grave = 1-4 anos. §2º: morte = 4-12 anos. §3º: +1/3 se vítima &lt; 14</t>
        </is>
      </c>
      <c r="L26" s="16" t="inlineStr">
        <is>
          <t>Sujeito ativo: autoridade, guarda ou vigilância para fins de educação/ensino/tratamento/custódia</t>
        </is>
      </c>
      <c r="M26" s="7" t="inlineStr">
        <is>
          <t>Sim</t>
        </is>
      </c>
      <c r="N26" s="7" t="inlineStr">
        <is>
          <t>Sim</t>
        </is>
      </c>
    </row>
    <row r="27">
      <c r="A27" s="7" t="inlineStr">
        <is>
          <t>CP</t>
        </is>
      </c>
      <c r="B27" s="7" t="inlineStr">
        <is>
          <t>Art. 137</t>
        </is>
      </c>
      <c r="C27" s="16" t="inlineStr">
        <is>
          <t>Rixa</t>
        </is>
      </c>
      <c r="D27" s="7" t="n">
        <v>0.5</v>
      </c>
      <c r="E27" s="7" t="n">
        <v>2</v>
      </c>
      <c r="F27" s="7" t="inlineStr">
        <is>
          <t>Detenção</t>
        </is>
      </c>
      <c r="G27" s="7" t="inlineStr">
        <is>
          <t>Pública Incondicionada</t>
        </is>
      </c>
      <c r="H27" s="7" t="inlineStr">
        <is>
          <t>Não</t>
        </is>
      </c>
      <c r="I27" s="7" t="inlineStr">
        <is>
          <t>Doloso</t>
        </is>
      </c>
      <c r="J27" s="7" t="inlineStr">
        <is>
          <t>Controverso</t>
        </is>
      </c>
      <c r="K27" s="16" t="inlineStr">
        <is>
          <t>Parágrafo único: se lesão grave ou morte, +metade para todos participantes</t>
        </is>
      </c>
      <c r="L27" s="16" t="inlineStr">
        <is>
          <t>15 dias a 2 meses (caput). Crime de concurso necessário (mín. 3 pessoas)</t>
        </is>
      </c>
      <c r="M27" s="7" t="inlineStr">
        <is>
          <t>Sim</t>
        </is>
      </c>
      <c r="N27" s="7" t="inlineStr">
        <is>
          <t>Sim</t>
        </is>
      </c>
    </row>
    <row r="28">
      <c r="A28" s="7" t="inlineStr">
        <is>
          <t>CP</t>
        </is>
      </c>
      <c r="B28" s="7" t="inlineStr">
        <is>
          <t>Art. 138</t>
        </is>
      </c>
      <c r="C28" s="16" t="inlineStr">
        <is>
          <t>Calúnia</t>
        </is>
      </c>
      <c r="D28" s="7" t="n">
        <v>6</v>
      </c>
      <c r="E28" s="7" t="n">
        <v>24</v>
      </c>
      <c r="F28" s="7" t="inlineStr">
        <is>
          <t>Detenção</t>
        </is>
      </c>
      <c r="G28" s="7" t="inlineStr">
        <is>
          <t>Privada</t>
        </is>
      </c>
      <c r="H28" s="7" t="inlineStr">
        <is>
          <t>Não</t>
        </is>
      </c>
      <c r="I28" s="7" t="inlineStr">
        <is>
          <t>Doloso</t>
        </is>
      </c>
      <c r="J28" s="7" t="inlineStr">
        <is>
          <t>Sim</t>
        </is>
      </c>
      <c r="K28" s="16" t="inlineStr">
        <is>
          <t>§1º: mesma pena para quem sabendo falsa propala. Art. 141: +1/3 se contra funcionário público; +1/3 contra idoso ou PcD; triplicada pela internet; dobra se paga (mercenária)</t>
        </is>
      </c>
      <c r="L28" s="16" t="inlineStr">
        <is>
          <t>Exceção da verdade admitida (§3º). Ação privada (regra)</t>
        </is>
      </c>
      <c r="M28" s="7" t="inlineStr">
        <is>
          <t>Sim</t>
        </is>
      </c>
      <c r="N28" s="7" t="inlineStr">
        <is>
          <t>Sim</t>
        </is>
      </c>
    </row>
    <row r="29">
      <c r="A29" s="7" t="inlineStr">
        <is>
          <t>CP</t>
        </is>
      </c>
      <c r="B29" s="7" t="inlineStr">
        <is>
          <t>Art. 139</t>
        </is>
      </c>
      <c r="C29" s="16" t="inlineStr">
        <is>
          <t>Difamação</t>
        </is>
      </c>
      <c r="D29" s="7" t="n">
        <v>3</v>
      </c>
      <c r="E29" s="7" t="n">
        <v>12</v>
      </c>
      <c r="F29" s="7" t="inlineStr">
        <is>
          <t>Detenção</t>
        </is>
      </c>
      <c r="G29" s="7" t="inlineStr">
        <is>
          <t>Privada</t>
        </is>
      </c>
      <c r="H29" s="7" t="inlineStr">
        <is>
          <t>Não</t>
        </is>
      </c>
      <c r="I29" s="7" t="inlineStr">
        <is>
          <t>Doloso</t>
        </is>
      </c>
      <c r="J29" s="7" t="inlineStr">
        <is>
          <t>Sim</t>
        </is>
      </c>
      <c r="K29" s="16" t="inlineStr">
        <is>
          <t>Art. 141: +1/3 se contra funcionário público; triplicada pela internet</t>
        </is>
      </c>
      <c r="L29" s="16" t="inlineStr">
        <is>
          <t>Exceção da verdade só se funcionário público (Parágrafo único)</t>
        </is>
      </c>
      <c r="M29" s="7" t="inlineStr">
        <is>
          <t>Sim</t>
        </is>
      </c>
      <c r="N29" s="7" t="inlineStr">
        <is>
          <t>Sim</t>
        </is>
      </c>
    </row>
    <row r="30">
      <c r="A30" s="7" t="inlineStr">
        <is>
          <t>CP</t>
        </is>
      </c>
      <c r="B30" s="7" t="inlineStr">
        <is>
          <t>Art. 140, caput</t>
        </is>
      </c>
      <c r="C30" s="16" t="inlineStr">
        <is>
          <t>Injúria simples</t>
        </is>
      </c>
      <c r="D30" s="7" t="n">
        <v>1</v>
      </c>
      <c r="E30" s="7" t="n">
        <v>6</v>
      </c>
      <c r="F30" s="7" t="inlineStr">
        <is>
          <t>Detenção</t>
        </is>
      </c>
      <c r="G30" s="7" t="inlineStr">
        <is>
          <t>Privada</t>
        </is>
      </c>
      <c r="H30" s="7" t="inlineStr">
        <is>
          <t>Não</t>
        </is>
      </c>
      <c r="I30" s="7" t="inlineStr">
        <is>
          <t>Doloso</t>
        </is>
      </c>
      <c r="J30" s="7" t="inlineStr">
        <is>
          <t>Sim</t>
        </is>
      </c>
      <c r="K30" s="16" t="inlineStr">
        <is>
          <t>§2º: injúria real (violência/vias de fato) = 3m-1a + pena do fato. Art. 141: triplicada pela internet</t>
        </is>
      </c>
      <c r="L30" s="16" t="inlineStr">
        <is>
          <t>§1º: perdão judicial se provocação</t>
        </is>
      </c>
      <c r="M30" s="7" t="inlineStr">
        <is>
          <t>Sim</t>
        </is>
      </c>
      <c r="N30" s="7" t="inlineStr">
        <is>
          <t>Sim</t>
        </is>
      </c>
    </row>
    <row r="31">
      <c r="A31" s="7" t="inlineStr">
        <is>
          <t>CP</t>
        </is>
      </c>
      <c r="B31" s="7" t="inlineStr">
        <is>
          <t>Art. 140, §3º</t>
        </is>
      </c>
      <c r="C31" s="16" t="inlineStr">
        <is>
          <t>Injúria racial</t>
        </is>
      </c>
      <c r="D31" s="7" t="n">
        <v>24</v>
      </c>
      <c r="E31" s="7" t="n">
        <v>60</v>
      </c>
      <c r="F31" s="7" t="inlineStr">
        <is>
          <t>Reclusão</t>
        </is>
      </c>
      <c r="G31" s="7" t="inlineStr">
        <is>
          <t>Pública Incondicionada</t>
        </is>
      </c>
      <c r="H31" s="7" t="inlineStr">
        <is>
          <t>Não</t>
        </is>
      </c>
      <c r="I31" s="7" t="inlineStr">
        <is>
          <t>Doloso</t>
        </is>
      </c>
      <c r="J31" s="7" t="inlineStr">
        <is>
          <t>Sim</t>
        </is>
      </c>
      <c r="K31" s="16" t="inlineStr">
        <is>
          <t>Raça, cor, etnia, religião, origem, condição de pessoa idosa ou PcD. Art. 141: triplicada pela internet</t>
        </is>
      </c>
      <c r="L31" s="16" t="inlineStr">
        <is>
          <t>Equiparada a racismo (Lei 14.532/2023). Inafiançável e imprescritível</t>
        </is>
      </c>
      <c r="M31" s="7" t="inlineStr">
        <is>
          <t>Sim</t>
        </is>
      </c>
      <c r="N31" s="7" t="inlineStr">
        <is>
          <t>Não</t>
        </is>
      </c>
    </row>
    <row r="32">
      <c r="A32" s="7" t="inlineStr">
        <is>
          <t>CP</t>
        </is>
      </c>
      <c r="B32" s="7" t="inlineStr">
        <is>
          <t>Art. 146</t>
        </is>
      </c>
      <c r="C32" s="16" t="inlineStr">
        <is>
          <t>Constrangimento ilegal</t>
        </is>
      </c>
      <c r="D32" s="7" t="n">
        <v>3</v>
      </c>
      <c r="E32" s="7" t="n">
        <v>12</v>
      </c>
      <c r="F32" s="7" t="inlineStr">
        <is>
          <t>Detenção</t>
        </is>
      </c>
      <c r="G32" s="7" t="inlineStr">
        <is>
          <t>Pública Incondicionada</t>
        </is>
      </c>
      <c r="H32" s="7" t="inlineStr">
        <is>
          <t>Não</t>
        </is>
      </c>
      <c r="I32" s="7" t="inlineStr">
        <is>
          <t>Doloso</t>
        </is>
      </c>
      <c r="J32" s="7" t="inlineStr">
        <is>
          <t>Sim</t>
        </is>
      </c>
      <c r="K32" s="16" t="inlineStr">
        <is>
          <t>§1º: +1/3 até metade se mais de 3 pessoas ou com armas</t>
        </is>
      </c>
      <c r="L32" s="16" t="inlineStr">
        <is>
          <t>Subsidiariedade expressa</t>
        </is>
      </c>
      <c r="M32" s="7" t="inlineStr">
        <is>
          <t>Sim</t>
        </is>
      </c>
      <c r="N32" s="7" t="inlineStr">
        <is>
          <t>Sim</t>
        </is>
      </c>
    </row>
    <row r="33">
      <c r="A33" s="19" t="inlineStr">
        <is>
          <t>CP</t>
        </is>
      </c>
      <c r="B33" s="19" t="inlineStr">
        <is>
          <t>Art. 146-A, §1º</t>
        </is>
      </c>
      <c r="C33" s="20" t="inlineStr">
        <is>
          <t>Bullying (intimidação sistemática)</t>
        </is>
      </c>
      <c r="D33" s="19" t="inlineStr">
        <is>
          <t>—</t>
        </is>
      </c>
      <c r="E33" s="19" t="inlineStr">
        <is>
          <t>—</t>
        </is>
      </c>
      <c r="F33" s="19" t="inlineStr">
        <is>
          <t>Multa</t>
        </is>
      </c>
      <c r="G33" s="19" t="inlineStr">
        <is>
          <t>Pública Incondicionada</t>
        </is>
      </c>
      <c r="H33" s="19" t="inlineStr">
        <is>
          <t>Não</t>
        </is>
      </c>
      <c r="I33" s="19" t="inlineStr">
        <is>
          <t>Doloso</t>
        </is>
      </c>
      <c r="J33" s="19" t="inlineStr">
        <is>
          <t>Controverso</t>
        </is>
      </c>
      <c r="K33" s="20" t="inlineStr">
        <is>
          <t>—</t>
        </is>
      </c>
      <c r="L33" s="20" t="inlineStr">
        <is>
          <t>Lei 14.811/2024. Multa, se não constituir crime mais grave</t>
        </is>
      </c>
      <c r="M33" s="19" t="inlineStr">
        <is>
          <t>—</t>
        </is>
      </c>
      <c r="N33" s="19" t="inlineStr">
        <is>
          <t>—</t>
        </is>
      </c>
    </row>
    <row r="34">
      <c r="A34" s="7" t="inlineStr">
        <is>
          <t>CP</t>
        </is>
      </c>
      <c r="B34" s="7" t="inlineStr">
        <is>
          <t>Art. 146-A, §2º</t>
        </is>
      </c>
      <c r="C34" s="16" t="inlineStr">
        <is>
          <t>Cyberbullying (intimidação sistemática virtual)</t>
        </is>
      </c>
      <c r="D34" s="7" t="n">
        <v>24</v>
      </c>
      <c r="E34" s="7" t="n">
        <v>48</v>
      </c>
      <c r="F34" s="7" t="inlineStr">
        <is>
          <t>Reclusão</t>
        </is>
      </c>
      <c r="G34" s="7" t="inlineStr">
        <is>
          <t>Pública Incondicionada</t>
        </is>
      </c>
      <c r="H34" s="7" t="inlineStr">
        <is>
          <t>Não</t>
        </is>
      </c>
      <c r="I34" s="7" t="inlineStr">
        <is>
          <t>Doloso</t>
        </is>
      </c>
      <c r="J34" s="7" t="inlineStr">
        <is>
          <t>Sim</t>
        </is>
      </c>
      <c r="K34" s="16" t="inlineStr">
        <is>
          <t>—</t>
        </is>
      </c>
      <c r="L34" s="16" t="inlineStr">
        <is>
          <t>Lei 14.811/2024. Reclusão 2-4 anos + multa</t>
        </is>
      </c>
      <c r="M34" s="7" t="inlineStr">
        <is>
          <t>Sim</t>
        </is>
      </c>
      <c r="N34" s="7" t="inlineStr">
        <is>
          <t>Não</t>
        </is>
      </c>
    </row>
    <row r="35">
      <c r="A35" s="7" t="inlineStr">
        <is>
          <t>CP</t>
        </is>
      </c>
      <c r="B35" s="7" t="inlineStr">
        <is>
          <t>Art. 147</t>
        </is>
      </c>
      <c r="C35" s="16" t="inlineStr">
        <is>
          <t>Ameaça</t>
        </is>
      </c>
      <c r="D35" s="7" t="n">
        <v>1</v>
      </c>
      <c r="E35" s="7" t="n">
        <v>6</v>
      </c>
      <c r="F35" s="7" t="inlineStr">
        <is>
          <t>Detenção</t>
        </is>
      </c>
      <c r="G35" s="7" t="inlineStr">
        <is>
          <t>Pública Condicionada</t>
        </is>
      </c>
      <c r="H35" s="7" t="inlineStr">
        <is>
          <t>Não</t>
        </is>
      </c>
      <c r="I35" s="7" t="inlineStr">
        <is>
          <t>Doloso</t>
        </is>
      </c>
      <c r="J35" s="7" t="inlineStr">
        <is>
          <t>Controverso</t>
        </is>
      </c>
      <c r="K35" s="16" t="inlineStr">
        <is>
          <t>—</t>
        </is>
      </c>
      <c r="L35" s="16" t="inlineStr">
        <is>
          <t>Condicionada à representação. Violência doméstica: incondicionada</t>
        </is>
      </c>
      <c r="M35" s="7" t="inlineStr">
        <is>
          <t>Sim</t>
        </is>
      </c>
      <c r="N35" s="7" t="inlineStr">
        <is>
          <t>Sim</t>
        </is>
      </c>
    </row>
    <row r="36">
      <c r="A36" s="7" t="inlineStr">
        <is>
          <t>CP</t>
        </is>
      </c>
      <c r="B36" s="7" t="inlineStr">
        <is>
          <t>Art. 147-A</t>
        </is>
      </c>
      <c r="C36" s="16" t="inlineStr">
        <is>
          <t>Perseguição / Stalking</t>
        </is>
      </c>
      <c r="D36" s="7" t="n">
        <v>6</v>
      </c>
      <c r="E36" s="7" t="n">
        <v>24</v>
      </c>
      <c r="F36" s="7" t="inlineStr">
        <is>
          <t>Reclusão</t>
        </is>
      </c>
      <c r="G36" s="7" t="inlineStr">
        <is>
          <t>Pública Condicionada</t>
        </is>
      </c>
      <c r="H36" s="7" t="inlineStr">
        <is>
          <t>Não</t>
        </is>
      </c>
      <c r="I36" s="7" t="inlineStr">
        <is>
          <t>Doloso</t>
        </is>
      </c>
      <c r="J36" s="7" t="inlineStr">
        <is>
          <t>Sim</t>
        </is>
      </c>
      <c r="K36" s="16" t="inlineStr">
        <is>
          <t>§1º: +1/2 se contra criança/adolescente/idoso/PcD; +1/2 se contra mulher por razão de gênero; +1/2 se concurso de 2+ pessoas; +1/2 com arma</t>
        </is>
      </c>
      <c r="L36" s="16" t="inlineStr">
        <is>
          <t>Lei 14.132/2021. Condicionada à representação</t>
        </is>
      </c>
      <c r="M36" s="7" t="inlineStr">
        <is>
          <t>Sim</t>
        </is>
      </c>
      <c r="N36" s="7" t="inlineStr">
        <is>
          <t>Sim</t>
        </is>
      </c>
    </row>
    <row r="37">
      <c r="A37" s="7" t="inlineStr">
        <is>
          <t>CP</t>
        </is>
      </c>
      <c r="B37" s="7" t="inlineStr">
        <is>
          <t>Art. 147-B</t>
        </is>
      </c>
      <c r="C37" s="16" t="inlineStr">
        <is>
          <t>Violência psicológica contra a mulher</t>
        </is>
      </c>
      <c r="D37" s="7" t="n">
        <v>6</v>
      </c>
      <c r="E37" s="7" t="n">
        <v>24</v>
      </c>
      <c r="F37" s="7" t="inlineStr">
        <is>
          <t>Reclusão</t>
        </is>
      </c>
      <c r="G37" s="7" t="inlineStr">
        <is>
          <t>Pública Incondicionada</t>
        </is>
      </c>
      <c r="H37" s="7" t="inlineStr">
        <is>
          <t>Não</t>
        </is>
      </c>
      <c r="I37" s="7" t="inlineStr">
        <is>
          <t>Doloso</t>
        </is>
      </c>
      <c r="J37" s="7" t="inlineStr">
        <is>
          <t>Sim</t>
        </is>
      </c>
      <c r="K37" s="16" t="inlineStr">
        <is>
          <t>—</t>
        </is>
      </c>
      <c r="L37" s="16" t="inlineStr">
        <is>
          <t>Lei 14.188/2021. Dano emocional que prejudique saúde psicológica ou autodeterminação</t>
        </is>
      </c>
      <c r="M37" s="7" t="inlineStr">
        <is>
          <t>Verificar</t>
        </is>
      </c>
      <c r="N37" s="7" t="inlineStr">
        <is>
          <t>Sim</t>
        </is>
      </c>
    </row>
    <row r="38">
      <c r="A38" s="7" t="inlineStr">
        <is>
          <t>CP</t>
        </is>
      </c>
      <c r="B38" s="7" t="inlineStr">
        <is>
          <t>Art. 148</t>
        </is>
      </c>
      <c r="C38" s="16" t="inlineStr">
        <is>
          <t>Sequestro e cárcere privado</t>
        </is>
      </c>
      <c r="D38" s="7" t="n">
        <v>12</v>
      </c>
      <c r="E38" s="7" t="n">
        <v>36</v>
      </c>
      <c r="F38" s="7" t="inlineStr">
        <is>
          <t>Reclusão</t>
        </is>
      </c>
      <c r="G38" s="7" t="inlineStr">
        <is>
          <t>Pública Incondicionada</t>
        </is>
      </c>
      <c r="H38" s="7" t="inlineStr">
        <is>
          <t>Não</t>
        </is>
      </c>
      <c r="I38" s="7" t="inlineStr">
        <is>
          <t>Doloso</t>
        </is>
      </c>
      <c r="J38" s="7" t="inlineStr">
        <is>
          <t>Sim</t>
        </is>
      </c>
      <c r="K38" s="16" t="inlineStr">
        <is>
          <t>§1º: 2-5 anos se vítima ascendente/descendente/cônjuge, &lt;18, &gt;60, com fins libidinosos/lucrativos, &gt;15 dias. §2º: 2-8 anos se maus-tratos ou grave sofrimento físico/moral</t>
        </is>
      </c>
      <c r="L38" s="16" t="inlineStr">
        <is>
          <t>Crime permanente</t>
        </is>
      </c>
      <c r="M38" s="7" t="inlineStr">
        <is>
          <t>Sim</t>
        </is>
      </c>
      <c r="N38" s="7" t="inlineStr">
        <is>
          <t>Sim</t>
        </is>
      </c>
    </row>
    <row r="39">
      <c r="A39" s="7" t="inlineStr">
        <is>
          <t>CP</t>
        </is>
      </c>
      <c r="B39" s="7" t="inlineStr">
        <is>
          <t>Art. 149</t>
        </is>
      </c>
      <c r="C39" s="16" t="inlineStr">
        <is>
          <t>Redução a condição análoga à de escravo</t>
        </is>
      </c>
      <c r="D39" s="7" t="n">
        <v>24</v>
      </c>
      <c r="E39" s="7" t="n">
        <v>96</v>
      </c>
      <c r="F39" s="7" t="inlineStr">
        <is>
          <t>Reclusão</t>
        </is>
      </c>
      <c r="G39" s="7" t="inlineStr">
        <is>
          <t>Pública Incondicionada</t>
        </is>
      </c>
      <c r="H39" s="7" t="inlineStr">
        <is>
          <t>Não</t>
        </is>
      </c>
      <c r="I39" s="7" t="inlineStr">
        <is>
          <t>Doloso</t>
        </is>
      </c>
      <c r="J39" s="7" t="inlineStr">
        <is>
          <t>Sim</t>
        </is>
      </c>
      <c r="K39" s="16" t="inlineStr">
        <is>
          <t>§1º: +metade se contra criança/adolescente, ou por preconceito. §2º: +metade se crime cometido por agente público</t>
        </is>
      </c>
      <c r="L39" s="16" t="inlineStr">
        <is>
          <t>Competência: Justiça Federal (RE 459.510 STF)</t>
        </is>
      </c>
      <c r="M39" s="7" t="inlineStr">
        <is>
          <t>Sim</t>
        </is>
      </c>
      <c r="N39" s="7" t="inlineStr">
        <is>
          <t>Não</t>
        </is>
      </c>
    </row>
    <row r="40">
      <c r="A40" s="7" t="inlineStr">
        <is>
          <t>CP</t>
        </is>
      </c>
      <c r="B40" s="7" t="inlineStr">
        <is>
          <t>Art. 149-A</t>
        </is>
      </c>
      <c r="C40" s="16" t="inlineStr">
        <is>
          <t>Tráfico de pessoas</t>
        </is>
      </c>
      <c r="D40" s="7" t="n">
        <v>48</v>
      </c>
      <c r="E40" s="7" t="n">
        <v>96</v>
      </c>
      <c r="F40" s="7" t="inlineStr">
        <is>
          <t>Reclusão</t>
        </is>
      </c>
      <c r="G40" s="7" t="inlineStr">
        <is>
          <t>Pública Incondicionada</t>
        </is>
      </c>
      <c r="H40" s="7" t="inlineStr">
        <is>
          <t>Não</t>
        </is>
      </c>
      <c r="I40" s="7" t="inlineStr">
        <is>
          <t>Doloso</t>
        </is>
      </c>
      <c r="J40" s="7" t="inlineStr">
        <is>
          <t>Sim</t>
        </is>
      </c>
      <c r="K40" s="16" t="inlineStr">
        <is>
          <t>§1º: +1/3 até metade se contra criança/adolescente/idoso/PcD; por funcionário público; &gt;3 pessoas; se transnacional</t>
        </is>
      </c>
      <c r="L40" s="16" t="inlineStr">
        <is>
          <t>Lei 13.344/2016</t>
        </is>
      </c>
      <c r="M40" s="7" t="inlineStr">
        <is>
          <t>Verificar</t>
        </is>
      </c>
      <c r="N40" s="7" t="inlineStr">
        <is>
          <t>Não</t>
        </is>
      </c>
    </row>
    <row r="41">
      <c r="A41" s="7" t="inlineStr">
        <is>
          <t>CP</t>
        </is>
      </c>
      <c r="B41" s="7" t="inlineStr">
        <is>
          <t>Art. 150</t>
        </is>
      </c>
      <c r="C41" s="16" t="inlineStr">
        <is>
          <t>Violação de domicílio</t>
        </is>
      </c>
      <c r="D41" s="7" t="n">
        <v>1</v>
      </c>
      <c r="E41" s="7" t="n">
        <v>3</v>
      </c>
      <c r="F41" s="7" t="inlineStr">
        <is>
          <t>Detenção</t>
        </is>
      </c>
      <c r="G41" s="7" t="inlineStr">
        <is>
          <t>Pública Incondicionada</t>
        </is>
      </c>
      <c r="H41" s="7" t="inlineStr">
        <is>
          <t>Não</t>
        </is>
      </c>
      <c r="I41" s="7" t="inlineStr">
        <is>
          <t>Doloso</t>
        </is>
      </c>
      <c r="J41" s="7" t="inlineStr">
        <is>
          <t>Sim</t>
        </is>
      </c>
      <c r="K41" s="16" t="inlineStr">
        <is>
          <t>§1º: 6m-2a se noite ou lugar ermo, arma, &gt;2 pessoas. §2º: +1/3 se funcionário público fora dos casos legais</t>
        </is>
      </c>
      <c r="L41" s="16" t="inlineStr">
        <is>
          <t>1-3 meses (caput). Art. 5º, XI CF: casa como asilo inviolável</t>
        </is>
      </c>
      <c r="M41" s="7" t="inlineStr">
        <is>
          <t>Sim</t>
        </is>
      </c>
      <c r="N41" s="7" t="inlineStr">
        <is>
          <t>Sim</t>
        </is>
      </c>
    </row>
    <row r="42">
      <c r="A42" s="7" t="inlineStr">
        <is>
          <t>CP</t>
        </is>
      </c>
      <c r="B42" s="7" t="inlineStr">
        <is>
          <t>Art. 151</t>
        </is>
      </c>
      <c r="C42" s="16" t="inlineStr">
        <is>
          <t>Violação de correspondência</t>
        </is>
      </c>
      <c r="D42" s="7" t="n">
        <v>1</v>
      </c>
      <c r="E42" s="7" t="n">
        <v>6</v>
      </c>
      <c r="F42" s="7" t="inlineStr">
        <is>
          <t>Detenção</t>
        </is>
      </c>
      <c r="G42" s="7" t="inlineStr">
        <is>
          <t>Pública Condicionada</t>
        </is>
      </c>
      <c r="H42" s="7" t="inlineStr">
        <is>
          <t>Não</t>
        </is>
      </c>
      <c r="I42" s="7" t="inlineStr">
        <is>
          <t>Doloso</t>
        </is>
      </c>
      <c r="J42" s="7" t="inlineStr">
        <is>
          <t>Sim</t>
        </is>
      </c>
      <c r="K42" s="16" t="inlineStr">
        <is>
          <t>§1º: sonegação/destruição = 1-6m. §2º: abuso de condição (carteiro) = 1-3a. §3º: divulgação de comunicação telegráfica/radioelétrica = 1-3a</t>
        </is>
      </c>
      <c r="L42" s="16" t="inlineStr"/>
      <c r="M42" s="7" t="inlineStr">
        <is>
          <t>Sim</t>
        </is>
      </c>
      <c r="N42" s="7" t="inlineStr">
        <is>
          <t>Sim</t>
        </is>
      </c>
    </row>
    <row r="43">
      <c r="A43" s="7" t="inlineStr">
        <is>
          <t>CP</t>
        </is>
      </c>
      <c r="B43" s="7" t="inlineStr">
        <is>
          <t>Art. 152</t>
        </is>
      </c>
      <c r="C43" s="16" t="inlineStr">
        <is>
          <t>Violação de comunicação telegráfica, radioelétrica ou telefônica</t>
        </is>
      </c>
      <c r="D43" s="7" t="n">
        <v>12</v>
      </c>
      <c r="E43" s="7" t="n">
        <v>36</v>
      </c>
      <c r="F43" s="7" t="inlineStr">
        <is>
          <t>Detenção</t>
        </is>
      </c>
      <c r="G43" s="7" t="inlineStr">
        <is>
          <t>Pública Condicionada</t>
        </is>
      </c>
      <c r="H43" s="7" t="inlineStr">
        <is>
          <t>Não</t>
        </is>
      </c>
      <c r="I43" s="7" t="inlineStr">
        <is>
          <t>Doloso</t>
        </is>
      </c>
      <c r="J43" s="7" t="inlineStr">
        <is>
          <t>Sim</t>
        </is>
      </c>
      <c r="K43" s="16" t="inlineStr">
        <is>
          <t>—</t>
        </is>
      </c>
      <c r="L43" s="16" t="inlineStr">
        <is>
          <t>Escuta telefônica sem autorização judicial (Lei 9.296/96 é norma especial)</t>
        </is>
      </c>
      <c r="M43" s="7" t="inlineStr">
        <is>
          <t>Sim</t>
        </is>
      </c>
      <c r="N43" s="7" t="inlineStr">
        <is>
          <t>Sim</t>
        </is>
      </c>
    </row>
    <row r="44">
      <c r="A44" s="7" t="inlineStr">
        <is>
          <t>CP</t>
        </is>
      </c>
      <c r="B44" s="7" t="inlineStr">
        <is>
          <t>Art. 153</t>
        </is>
      </c>
      <c r="C44" s="16" t="inlineStr">
        <is>
          <t>Divulgação de segredo</t>
        </is>
      </c>
      <c r="D44" s="7" t="n">
        <v>1</v>
      </c>
      <c r="E44" s="7" t="n">
        <v>6</v>
      </c>
      <c r="F44" s="7" t="inlineStr">
        <is>
          <t>Detenção</t>
        </is>
      </c>
      <c r="G44" s="7" t="inlineStr">
        <is>
          <t>Privada</t>
        </is>
      </c>
      <c r="H44" s="7" t="inlineStr">
        <is>
          <t>Não</t>
        </is>
      </c>
      <c r="I44" s="7" t="inlineStr">
        <is>
          <t>Doloso</t>
        </is>
      </c>
      <c r="J44" s="7" t="inlineStr">
        <is>
          <t>Sim</t>
        </is>
      </c>
      <c r="K44" s="16" t="inlineStr">
        <is>
          <t>§1º-A: divulgação de info sigilosa por funcionário público = 1-4 anos de detenção + multa</t>
        </is>
      </c>
      <c r="L44" s="16" t="inlineStr"/>
      <c r="M44" s="7" t="inlineStr">
        <is>
          <t>Sim</t>
        </is>
      </c>
      <c r="N44" s="7" t="inlineStr">
        <is>
          <t>Sim</t>
        </is>
      </c>
    </row>
    <row r="45">
      <c r="A45" s="7" t="inlineStr">
        <is>
          <t>CP</t>
        </is>
      </c>
      <c r="B45" s="7" t="inlineStr">
        <is>
          <t>Art. 154</t>
        </is>
      </c>
      <c r="C45" s="16" t="inlineStr">
        <is>
          <t>Violação de segredo profissional</t>
        </is>
      </c>
      <c r="D45" s="7" t="n">
        <v>3</v>
      </c>
      <c r="E45" s="7" t="n">
        <v>12</v>
      </c>
      <c r="F45" s="7" t="inlineStr">
        <is>
          <t>Detenção</t>
        </is>
      </c>
      <c r="G45" s="7" t="inlineStr">
        <is>
          <t>Privada</t>
        </is>
      </c>
      <c r="H45" s="7" t="inlineStr">
        <is>
          <t>Não</t>
        </is>
      </c>
      <c r="I45" s="7" t="inlineStr">
        <is>
          <t>Doloso</t>
        </is>
      </c>
      <c r="J45" s="7" t="inlineStr">
        <is>
          <t>Sim</t>
        </is>
      </c>
      <c r="K45" s="16" t="inlineStr">
        <is>
          <t>—</t>
        </is>
      </c>
      <c r="L45" s="16" t="inlineStr">
        <is>
          <t>Justa causa exclui o crime</t>
        </is>
      </c>
      <c r="M45" s="7" t="inlineStr">
        <is>
          <t>Sim</t>
        </is>
      </c>
      <c r="N45" s="7" t="inlineStr">
        <is>
          <t>Sim</t>
        </is>
      </c>
    </row>
    <row r="46">
      <c r="A46" s="7" t="inlineStr">
        <is>
          <t>CP</t>
        </is>
      </c>
      <c r="B46" s="7" t="inlineStr">
        <is>
          <t>Art. 154-A</t>
        </is>
      </c>
      <c r="C46" s="16" t="inlineStr">
        <is>
          <t>Invasão de dispositivo informático</t>
        </is>
      </c>
      <c r="D46" s="7" t="n">
        <v>12</v>
      </c>
      <c r="E46" s="7" t="n">
        <v>48</v>
      </c>
      <c r="F46" s="7" t="inlineStr">
        <is>
          <t>Reclusão</t>
        </is>
      </c>
      <c r="G46" s="7" t="inlineStr">
        <is>
          <t>Pública Condicionada</t>
        </is>
      </c>
      <c r="H46" s="7" t="inlineStr">
        <is>
          <t>Não</t>
        </is>
      </c>
      <c r="I46" s="7" t="inlineStr">
        <is>
          <t>Doloso</t>
        </is>
      </c>
      <c r="J46" s="7" t="inlineStr">
        <is>
          <t>Sim</t>
        </is>
      </c>
      <c r="K46" s="16" t="inlineStr">
        <is>
          <t>§2º: +1/3 a 2/3 se prejuízo econômico. §3º: conteúdo de comunicações privadas/sigilosas/dados = 2-5 anos. §4º: +1/3 a 2/3 se divulga/comercializa dados</t>
        </is>
      </c>
      <c r="L46" s="16" t="inlineStr">
        <is>
          <t>Lei Carolina Dieckmann (12.737/12), com penas atualizadas pela Lei 14.155/2021</t>
        </is>
      </c>
      <c r="M46" s="7" t="inlineStr">
        <is>
          <t>Sim</t>
        </is>
      </c>
      <c r="N46" s="7" t="inlineStr">
        <is>
          <t>Sim</t>
        </is>
      </c>
    </row>
    <row r="47">
      <c r="A47" s="19" t="inlineStr">
        <is>
          <t>CP</t>
        </is>
      </c>
      <c r="B47" s="19" t="inlineStr">
        <is>
          <t>Art. 154-B</t>
        </is>
      </c>
      <c r="C47" s="20" t="inlineStr">
        <is>
          <t>Invasão de dispositivo — ação penal</t>
        </is>
      </c>
      <c r="D47" s="19" t="inlineStr">
        <is>
          <t>—</t>
        </is>
      </c>
      <c r="E47" s="19" t="inlineStr">
        <is>
          <t>—</t>
        </is>
      </c>
      <c r="F47" s="19" t="inlineStr">
        <is>
          <t>—</t>
        </is>
      </c>
      <c r="G47" s="19" t="inlineStr">
        <is>
          <t>—</t>
        </is>
      </c>
      <c r="H47" s="19" t="inlineStr">
        <is>
          <t>—</t>
        </is>
      </c>
      <c r="I47" s="19" t="inlineStr">
        <is>
          <t>—</t>
        </is>
      </c>
      <c r="J47" s="19" t="inlineStr">
        <is>
          <t>—</t>
        </is>
      </c>
      <c r="K47" s="20" t="inlineStr">
        <is>
          <t>—</t>
        </is>
      </c>
      <c r="L47" s="20" t="inlineStr">
        <is>
          <t>Condicionada (regra); Incondicionada se contra administração pública</t>
        </is>
      </c>
      <c r="M47" s="19" t="inlineStr">
        <is>
          <t>—</t>
        </is>
      </c>
      <c r="N47" s="19" t="inlineStr">
        <is>
          <t>—</t>
        </is>
      </c>
    </row>
    <row r="48">
      <c r="A48" s="7" t="inlineStr">
        <is>
          <t>CP</t>
        </is>
      </c>
      <c r="B48" s="7" t="inlineStr">
        <is>
          <t>Art. 155, caput</t>
        </is>
      </c>
      <c r="C48" s="16" t="inlineStr">
        <is>
          <t>Furto simples</t>
        </is>
      </c>
      <c r="D48" s="7" t="n">
        <v>12</v>
      </c>
      <c r="E48" s="7" t="n">
        <v>48</v>
      </c>
      <c r="F48" s="7" t="inlineStr">
        <is>
          <t>Reclusão</t>
        </is>
      </c>
      <c r="G48" s="7" t="inlineStr">
        <is>
          <t>Pública Incondicionada</t>
        </is>
      </c>
      <c r="H48" s="7" t="inlineStr">
        <is>
          <t>Não</t>
        </is>
      </c>
      <c r="I48" s="7" t="inlineStr">
        <is>
          <t>Doloso</t>
        </is>
      </c>
      <c r="J48" s="7" t="inlineStr">
        <is>
          <t>Sim</t>
        </is>
      </c>
      <c r="K48" s="16" t="inlineStr">
        <is>
          <t>§1º: +1/3 se repouso noturno. §2º: furto privilegiado (primário + pequeno valor) = substituição por multa ou detenção</t>
        </is>
      </c>
      <c r="L48" s="16" t="inlineStr">
        <is>
          <t>Princípio da insignificância (STF/STJ: reincidência afasta)</t>
        </is>
      </c>
      <c r="M48" s="7" t="inlineStr">
        <is>
          <t>Sim</t>
        </is>
      </c>
      <c r="N48" s="7" t="inlineStr">
        <is>
          <t>Sim</t>
        </is>
      </c>
    </row>
    <row r="49">
      <c r="A49" s="7" t="inlineStr">
        <is>
          <t>CP</t>
        </is>
      </c>
      <c r="B49" s="7" t="inlineStr">
        <is>
          <t>Art. 155, §4º</t>
        </is>
      </c>
      <c r="C49" s="16" t="inlineStr">
        <is>
          <t>Furto qualificado</t>
        </is>
      </c>
      <c r="D49" s="7" t="n">
        <v>24</v>
      </c>
      <c r="E49" s="7" t="n">
        <v>96</v>
      </c>
      <c r="F49" s="7" t="inlineStr">
        <is>
          <t>Reclusão</t>
        </is>
      </c>
      <c r="G49" s="7" t="inlineStr">
        <is>
          <t>Pública Incondicionada</t>
        </is>
      </c>
      <c r="H49" s="7" t="inlineStr">
        <is>
          <t>Não</t>
        </is>
      </c>
      <c r="I49" s="7" t="inlineStr">
        <is>
          <t>Doloso</t>
        </is>
      </c>
      <c r="J49" s="7" t="inlineStr">
        <is>
          <t>Sim</t>
        </is>
      </c>
      <c r="K49" s="16" t="inlineStr">
        <is>
          <t>I-destruição/rompimento de obstáculo; II-abuso de confiança/fraude/escalada/destreza; III-chave falsa; IV-concurso de 2+ pessoas; §4º-A-dispositivo eletrônico/informático (fraude): 4-8a; §4º-B-fraude eletrônica (internet/telefone): 4-8a; §4º-C: +1/3 a 2/3 se servidor fora do país ou vítima idosa/vulnerável</t>
        </is>
      </c>
      <c r="L49" s="16" t="inlineStr">
        <is>
          <t>Furto eletrônico (§4º-B) introduzido pela Lei 14.155/2021</t>
        </is>
      </c>
      <c r="M49" s="7" t="inlineStr">
        <is>
          <t>Sim</t>
        </is>
      </c>
      <c r="N49" s="7" t="inlineStr">
        <is>
          <t>Não</t>
        </is>
      </c>
    </row>
    <row r="50">
      <c r="A50" s="7" t="inlineStr">
        <is>
          <t>CP</t>
        </is>
      </c>
      <c r="B50" s="7" t="inlineStr">
        <is>
          <t>Art. 156</t>
        </is>
      </c>
      <c r="C50" s="16" t="inlineStr">
        <is>
          <t>Furto de coisa comum</t>
        </is>
      </c>
      <c r="D50" s="7" t="n">
        <v>6</v>
      </c>
      <c r="E50" s="7" t="n">
        <v>24</v>
      </c>
      <c r="F50" s="7" t="inlineStr">
        <is>
          <t>Detenção</t>
        </is>
      </c>
      <c r="G50" s="7" t="inlineStr">
        <is>
          <t>Privada</t>
        </is>
      </c>
      <c r="H50" s="7" t="inlineStr">
        <is>
          <t>Não</t>
        </is>
      </c>
      <c r="I50" s="7" t="inlineStr">
        <is>
          <t>Doloso</t>
        </is>
      </c>
      <c r="J50" s="7" t="inlineStr">
        <is>
          <t>Sim</t>
        </is>
      </c>
      <c r="K50" s="16" t="inlineStr">
        <is>
          <t>—</t>
        </is>
      </c>
      <c r="L50" s="16" t="inlineStr">
        <is>
          <t>Condômino/co-herdeiro/sócio subtraindo coisa comum</t>
        </is>
      </c>
      <c r="M50" s="7" t="inlineStr">
        <is>
          <t>Sim</t>
        </is>
      </c>
      <c r="N50" s="7" t="inlineStr">
        <is>
          <t>Sim</t>
        </is>
      </c>
    </row>
    <row r="51">
      <c r="A51" s="7" t="inlineStr">
        <is>
          <t>CP</t>
        </is>
      </c>
      <c r="B51" s="7" t="inlineStr">
        <is>
          <t>Art. 157, caput</t>
        </is>
      </c>
      <c r="C51" s="16" t="inlineStr">
        <is>
          <t>Roubo simples</t>
        </is>
      </c>
      <c r="D51" s="7" t="n">
        <v>48</v>
      </c>
      <c r="E51" s="7" t="n">
        <v>120</v>
      </c>
      <c r="F51" s="7" t="inlineStr">
        <is>
          <t>Reclusão</t>
        </is>
      </c>
      <c r="G51" s="7" t="inlineStr">
        <is>
          <t>Pública Incondicionada</t>
        </is>
      </c>
      <c r="H51" s="7" t="inlineStr">
        <is>
          <t>Não</t>
        </is>
      </c>
      <c r="I51" s="7" t="inlineStr">
        <is>
          <t>Doloso</t>
        </is>
      </c>
      <c r="J51" s="7" t="inlineStr">
        <is>
          <t>Sim</t>
        </is>
      </c>
      <c r="K51" s="16" t="inlineStr">
        <is>
          <t>§2º: +1/3 até +1/2 se concurso de 2+ pessoas, se transporte de valores, vítima em serviço de transporte, restrição de liberdade, etc. §2º-A: +2/3 se arma de fogo ou destruição/rompimento de obstáculo mediante explosivo. §2º-B: se arma de fogo de uso restrito/ilegal = 2/3 ao dobro</t>
        </is>
      </c>
      <c r="L51" s="16" t="inlineStr"/>
      <c r="M51" s="7" t="inlineStr">
        <is>
          <t>Verificar</t>
        </is>
      </c>
      <c r="N51" s="7" t="inlineStr">
        <is>
          <t>Não</t>
        </is>
      </c>
    </row>
    <row r="52">
      <c r="A52" s="7" t="inlineStr">
        <is>
          <t>CP</t>
        </is>
      </c>
      <c r="B52" s="7" t="inlineStr">
        <is>
          <t>Art. 157, §3º, I</t>
        </is>
      </c>
      <c r="C52" s="16" t="inlineStr">
        <is>
          <t>Roubo qualificado — lesão corporal grave</t>
        </is>
      </c>
      <c r="D52" s="7" t="n">
        <v>84</v>
      </c>
      <c r="E52" s="7" t="n">
        <v>180</v>
      </c>
      <c r="F52" s="7" t="inlineStr">
        <is>
          <t>Reclusão</t>
        </is>
      </c>
      <c r="G52" s="7" t="inlineStr">
        <is>
          <t>Pública Incondicionada</t>
        </is>
      </c>
      <c r="H52" s="7" t="inlineStr">
        <is>
          <t>Não</t>
        </is>
      </c>
      <c r="I52" s="7" t="inlineStr">
        <is>
          <t>Preterdoloso</t>
        </is>
      </c>
      <c r="J52" s="7" t="inlineStr">
        <is>
          <t>Sim</t>
        </is>
      </c>
      <c r="K52" s="16" t="inlineStr">
        <is>
          <t>—</t>
        </is>
      </c>
      <c r="L52" s="16" t="inlineStr">
        <is>
          <t>7-15 anos</t>
        </is>
      </c>
      <c r="M52" s="7" t="inlineStr">
        <is>
          <t>Verificar</t>
        </is>
      </c>
      <c r="N52" s="7" t="inlineStr">
        <is>
          <t>Não</t>
        </is>
      </c>
    </row>
    <row r="53">
      <c r="A53" s="17" t="inlineStr">
        <is>
          <t>CP</t>
        </is>
      </c>
      <c r="B53" s="17" t="inlineStr">
        <is>
          <t>Art. 157, §3º, II</t>
        </is>
      </c>
      <c r="C53" s="18" t="inlineStr">
        <is>
          <t>Latrocínio (roubo seguido de morte)</t>
        </is>
      </c>
      <c r="D53" s="17" t="n">
        <v>240</v>
      </c>
      <c r="E53" s="17" t="n">
        <v>360</v>
      </c>
      <c r="F53" s="17" t="inlineStr">
        <is>
          <t>Reclusão</t>
        </is>
      </c>
      <c r="G53" s="17" t="inlineStr">
        <is>
          <t>Pública Incondicionada</t>
        </is>
      </c>
      <c r="H53" s="17" t="inlineStr">
        <is>
          <t>Sim</t>
        </is>
      </c>
      <c r="I53" s="17" t="inlineStr">
        <is>
          <t>Preterdoloso</t>
        </is>
      </c>
      <c r="J53" s="17" t="inlineStr">
        <is>
          <t>Sim</t>
        </is>
      </c>
      <c r="K53" s="18" t="inlineStr">
        <is>
          <t>—</t>
        </is>
      </c>
      <c r="L53" s="18" t="inlineStr">
        <is>
          <t>Hediondo. Súmula 610 STF: tentativa de latrocínio se morte consumada e subtração tentada. NÃO é competência do Júri (é crime contra patrimônio)</t>
        </is>
      </c>
      <c r="M53" s="17" t="inlineStr">
        <is>
          <t>Verificar</t>
        </is>
      </c>
      <c r="N53" s="17" t="inlineStr">
        <is>
          <t>Não</t>
        </is>
      </c>
    </row>
    <row r="54">
      <c r="A54" s="7" t="inlineStr">
        <is>
          <t>CP</t>
        </is>
      </c>
      <c r="B54" s="7" t="inlineStr">
        <is>
          <t>Art. 158, caput</t>
        </is>
      </c>
      <c r="C54" s="16" t="inlineStr">
        <is>
          <t>Extorsão</t>
        </is>
      </c>
      <c r="D54" s="7" t="n">
        <v>48</v>
      </c>
      <c r="E54" s="7" t="n">
        <v>120</v>
      </c>
      <c r="F54" s="7" t="inlineStr">
        <is>
          <t>Reclusão</t>
        </is>
      </c>
      <c r="G54" s="7" t="inlineStr">
        <is>
          <t>Pública Incondicionada</t>
        </is>
      </c>
      <c r="H54" s="7" t="inlineStr">
        <is>
          <t>Não</t>
        </is>
      </c>
      <c r="I54" s="7" t="inlineStr">
        <is>
          <t>Doloso</t>
        </is>
      </c>
      <c r="J54" s="7" t="inlineStr">
        <is>
          <t>Sim</t>
        </is>
      </c>
      <c r="K54" s="16" t="inlineStr">
        <is>
          <t>§1º: dobra se concurso de 2+, arma. §2º: lesão grave = 16-24 anos (hediondo quando resulta lesão grave). §3º: morte = 24-30 anos (hediondo). §3º-A: restrição de liberdade ('sequestro-relâmpago') = 6-12 anos</t>
        </is>
      </c>
      <c r="L54" s="16" t="inlineStr">
        <is>
          <t>Crime formal (Súmula 96 STJ: consumação dispensável obtenção da vantagem)</t>
        </is>
      </c>
      <c r="M54" s="7" t="inlineStr">
        <is>
          <t>Verificar</t>
        </is>
      </c>
      <c r="N54" s="7" t="inlineStr">
        <is>
          <t>Não</t>
        </is>
      </c>
    </row>
    <row r="55">
      <c r="A55" s="17" t="inlineStr">
        <is>
          <t>CP</t>
        </is>
      </c>
      <c r="B55" s="17" t="inlineStr">
        <is>
          <t>Art. 159</t>
        </is>
      </c>
      <c r="C55" s="18" t="inlineStr">
        <is>
          <t>Extorsão mediante sequestro</t>
        </is>
      </c>
      <c r="D55" s="17" t="n">
        <v>96</v>
      </c>
      <c r="E55" s="17" t="n">
        <v>180</v>
      </c>
      <c r="F55" s="17" t="inlineStr">
        <is>
          <t>Reclusão</t>
        </is>
      </c>
      <c r="G55" s="17" t="inlineStr">
        <is>
          <t>Pública Incondicionada</t>
        </is>
      </c>
      <c r="H55" s="17" t="inlineStr">
        <is>
          <t>Sim</t>
        </is>
      </c>
      <c r="I55" s="17" t="inlineStr">
        <is>
          <t>Doloso</t>
        </is>
      </c>
      <c r="J55" s="17" t="inlineStr">
        <is>
          <t>Sim</t>
        </is>
      </c>
      <c r="K55" s="18" t="inlineStr">
        <is>
          <t>§1º: &gt;24h, &lt;18 ou &gt;60, concurso de agentes = 12-20 anos. §2º: lesão grave = 16-24 anos. §3º: morte = 24-30 anos. §4º: delação premiada = reduz 1/3 a 2/3</t>
        </is>
      </c>
      <c r="L55" s="18" t="inlineStr">
        <is>
          <t>Hediondo em todas as formas</t>
        </is>
      </c>
      <c r="M55" s="17" t="inlineStr">
        <is>
          <t>Verificar</t>
        </is>
      </c>
      <c r="N55" s="17" t="inlineStr">
        <is>
          <t>Não</t>
        </is>
      </c>
    </row>
    <row r="56">
      <c r="A56" s="7" t="inlineStr">
        <is>
          <t>CP</t>
        </is>
      </c>
      <c r="B56" s="7" t="inlineStr">
        <is>
          <t>Art. 160</t>
        </is>
      </c>
      <c r="C56" s="16" t="inlineStr">
        <is>
          <t>Extorsão indireta</t>
        </is>
      </c>
      <c r="D56" s="7" t="n">
        <v>12</v>
      </c>
      <c r="E56" s="7" t="n">
        <v>36</v>
      </c>
      <c r="F56" s="7" t="inlineStr">
        <is>
          <t>Reclusão</t>
        </is>
      </c>
      <c r="G56" s="7" t="inlineStr">
        <is>
          <t>Pública Incondicionada</t>
        </is>
      </c>
      <c r="H56" s="7" t="inlineStr">
        <is>
          <t>Não</t>
        </is>
      </c>
      <c r="I56" s="7" t="inlineStr">
        <is>
          <t>Doloso</t>
        </is>
      </c>
      <c r="J56" s="7" t="inlineStr">
        <is>
          <t>Sim</t>
        </is>
      </c>
      <c r="K56" s="16" t="inlineStr">
        <is>
          <t>—</t>
        </is>
      </c>
      <c r="L56" s="16" t="inlineStr">
        <is>
          <t>Exigir/receber documento que pode dar causa a procedimento criminal</t>
        </is>
      </c>
      <c r="M56" s="7" t="inlineStr">
        <is>
          <t>Sim</t>
        </is>
      </c>
      <c r="N56" s="7" t="inlineStr">
        <is>
          <t>Sim</t>
        </is>
      </c>
    </row>
    <row r="57">
      <c r="A57" s="7" t="inlineStr">
        <is>
          <t>CP</t>
        </is>
      </c>
      <c r="B57" s="7" t="inlineStr">
        <is>
          <t>Art. 161</t>
        </is>
      </c>
      <c r="C57" s="16" t="inlineStr">
        <is>
          <t>Alteração de limites / usurpação</t>
        </is>
      </c>
      <c r="D57" s="7" t="n">
        <v>1</v>
      </c>
      <c r="E57" s="7" t="n">
        <v>6</v>
      </c>
      <c r="F57" s="7" t="inlineStr">
        <is>
          <t>Detenção</t>
        </is>
      </c>
      <c r="G57" s="7" t="inlineStr">
        <is>
          <t>Privada</t>
        </is>
      </c>
      <c r="H57" s="7" t="inlineStr">
        <is>
          <t>Não</t>
        </is>
      </c>
      <c r="I57" s="7" t="inlineStr">
        <is>
          <t>Doloso</t>
        </is>
      </c>
      <c r="J57" s="7" t="inlineStr">
        <is>
          <t>Sim</t>
        </is>
      </c>
      <c r="K57" s="16" t="inlineStr">
        <is>
          <t>§1º: usurpação de águas (mesma pena). §2º: esbulho possessório (1-6m + multa)</t>
        </is>
      </c>
      <c r="L57" s="16" t="inlineStr"/>
      <c r="M57" s="7" t="inlineStr">
        <is>
          <t>Sim</t>
        </is>
      </c>
      <c r="N57" s="7" t="inlineStr">
        <is>
          <t>Sim</t>
        </is>
      </c>
    </row>
    <row r="58">
      <c r="A58" s="7" t="inlineStr">
        <is>
          <t>CP</t>
        </is>
      </c>
      <c r="B58" s="7" t="inlineStr">
        <is>
          <t>Art. 162</t>
        </is>
      </c>
      <c r="C58" s="16" t="inlineStr">
        <is>
          <t>Supressão ou alteração de marca em animais</t>
        </is>
      </c>
      <c r="D58" s="7" t="n">
        <v>6</v>
      </c>
      <c r="E58" s="7" t="n">
        <v>36</v>
      </c>
      <c r="F58" s="7" t="inlineStr">
        <is>
          <t>Detenção</t>
        </is>
      </c>
      <c r="G58" s="7" t="inlineStr">
        <is>
          <t>Pública Incondicionada</t>
        </is>
      </c>
      <c r="H58" s="7" t="inlineStr">
        <is>
          <t>Não</t>
        </is>
      </c>
      <c r="I58" s="7" t="inlineStr">
        <is>
          <t>Doloso</t>
        </is>
      </c>
      <c r="J58" s="7" t="inlineStr">
        <is>
          <t>Sim</t>
        </is>
      </c>
      <c r="K58" s="16" t="inlineStr">
        <is>
          <t>—</t>
        </is>
      </c>
      <c r="L58" s="16" t="inlineStr">
        <is>
          <t>Abigeato (contexto rural)</t>
        </is>
      </c>
      <c r="M58" s="7" t="inlineStr">
        <is>
          <t>Sim</t>
        </is>
      </c>
      <c r="N58" s="7" t="inlineStr">
        <is>
          <t>Sim</t>
        </is>
      </c>
    </row>
    <row r="59">
      <c r="A59" s="7" t="inlineStr">
        <is>
          <t>CP</t>
        </is>
      </c>
      <c r="B59" s="7" t="inlineStr">
        <is>
          <t>Art. 163</t>
        </is>
      </c>
      <c r="C59" s="16" t="inlineStr">
        <is>
          <t>Dano</t>
        </is>
      </c>
      <c r="D59" s="7" t="n">
        <v>1</v>
      </c>
      <c r="E59" s="7" t="n">
        <v>6</v>
      </c>
      <c r="F59" s="7" t="inlineStr">
        <is>
          <t>Detenção</t>
        </is>
      </c>
      <c r="G59" s="7" t="inlineStr">
        <is>
          <t>Privada</t>
        </is>
      </c>
      <c r="H59" s="7" t="inlineStr">
        <is>
          <t>Não</t>
        </is>
      </c>
      <c r="I59" s="7" t="inlineStr">
        <is>
          <t>Doloso</t>
        </is>
      </c>
      <c r="J59" s="7" t="inlineStr">
        <is>
          <t>Sim</t>
        </is>
      </c>
      <c r="K59" s="16" t="inlineStr">
        <is>
          <t>Parágrafo único: 6m-3a se violência/grave ameaça; contra patrimônio público/SUS; motivo egoístico/prejuízo considerável (qualificado = incondicionada)</t>
        </is>
      </c>
      <c r="L59" s="16" t="inlineStr">
        <is>
          <t>Dano simples: ação privada. Dano qualificado: incondicionada</t>
        </is>
      </c>
      <c r="M59" s="7" t="inlineStr">
        <is>
          <t>Sim</t>
        </is>
      </c>
      <c r="N59" s="7" t="inlineStr">
        <is>
          <t>Sim</t>
        </is>
      </c>
    </row>
    <row r="60">
      <c r="A60" s="7" t="inlineStr">
        <is>
          <t>CP</t>
        </is>
      </c>
      <c r="B60" s="7" t="inlineStr">
        <is>
          <t>Art. 164</t>
        </is>
      </c>
      <c r="C60" s="16" t="inlineStr">
        <is>
          <t>Introdução ou abandono de animais em propriedade alheia</t>
        </is>
      </c>
      <c r="D60" s="7" t="n">
        <v>15</v>
      </c>
      <c r="E60" s="7" t="n">
        <v>6</v>
      </c>
      <c r="F60" s="7" t="inlineStr">
        <is>
          <t>Detenção</t>
        </is>
      </c>
      <c r="G60" s="7" t="inlineStr">
        <is>
          <t>Privada</t>
        </is>
      </c>
      <c r="H60" s="7" t="inlineStr">
        <is>
          <t>Não</t>
        </is>
      </c>
      <c r="I60" s="7" t="inlineStr">
        <is>
          <t>Doloso</t>
        </is>
      </c>
      <c r="J60" s="7" t="inlineStr">
        <is>
          <t>Sim</t>
        </is>
      </c>
      <c r="K60" s="16" t="inlineStr">
        <is>
          <t>—</t>
        </is>
      </c>
      <c r="L60" s="16" t="inlineStr">
        <is>
          <t>15 dias a 6 meses</t>
        </is>
      </c>
      <c r="M60" s="7" t="inlineStr">
        <is>
          <t>Sim</t>
        </is>
      </c>
      <c r="N60" s="7" t="inlineStr">
        <is>
          <t>Não</t>
        </is>
      </c>
    </row>
    <row r="61">
      <c r="A61" s="7" t="inlineStr">
        <is>
          <t>CP</t>
        </is>
      </c>
      <c r="B61" s="7" t="inlineStr">
        <is>
          <t>Art. 168, caput</t>
        </is>
      </c>
      <c r="C61" s="16" t="inlineStr">
        <is>
          <t>Apropriação indébita</t>
        </is>
      </c>
      <c r="D61" s="7" t="n">
        <v>12</v>
      </c>
      <c r="E61" s="7" t="n">
        <v>48</v>
      </c>
      <c r="F61" s="7" t="inlineStr">
        <is>
          <t>Reclusão</t>
        </is>
      </c>
      <c r="G61" s="7" t="inlineStr">
        <is>
          <t>Pública Incondicionada</t>
        </is>
      </c>
      <c r="H61" s="7" t="inlineStr">
        <is>
          <t>Não</t>
        </is>
      </c>
      <c r="I61" s="7" t="inlineStr">
        <is>
          <t>Doloso</t>
        </is>
      </c>
      <c r="J61" s="7" t="inlineStr">
        <is>
          <t>Sim</t>
        </is>
      </c>
      <c r="K61" s="16" t="inlineStr">
        <is>
          <t>§1º: +1/3 se depósito necessário, tutor/curador/advogado/funcionário público</t>
        </is>
      </c>
      <c r="L61" s="16" t="inlineStr">
        <is>
          <t>Diferente de furto: coisa já estava na posse legítima do agente</t>
        </is>
      </c>
      <c r="M61" s="7" t="inlineStr">
        <is>
          <t>Sim</t>
        </is>
      </c>
      <c r="N61" s="7" t="inlineStr">
        <is>
          <t>Sim</t>
        </is>
      </c>
    </row>
    <row r="62">
      <c r="A62" s="7" t="inlineStr">
        <is>
          <t>CP</t>
        </is>
      </c>
      <c r="B62" s="7" t="inlineStr">
        <is>
          <t>Art. 168-A</t>
        </is>
      </c>
      <c r="C62" s="16" t="inlineStr">
        <is>
          <t>Apropriação indébita previdenciária</t>
        </is>
      </c>
      <c r="D62" s="7" t="n">
        <v>24</v>
      </c>
      <c r="E62" s="7" t="n">
        <v>60</v>
      </c>
      <c r="F62" s="7" t="inlineStr">
        <is>
          <t>Reclusão</t>
        </is>
      </c>
      <c r="G62" s="7" t="inlineStr">
        <is>
          <t>Pública Incondicionada</t>
        </is>
      </c>
      <c r="H62" s="7" t="inlineStr">
        <is>
          <t>Não</t>
        </is>
      </c>
      <c r="I62" s="7" t="inlineStr">
        <is>
          <t>Doloso</t>
        </is>
      </c>
      <c r="J62" s="7" t="inlineStr">
        <is>
          <t>Sim</t>
        </is>
      </c>
      <c r="K62" s="16" t="inlineStr">
        <is>
          <t>§2º: extinção da punibilidade se pagar antes da ação fiscal. §3º: perdão/multa se primário + valor pequeno</t>
        </is>
      </c>
      <c r="L62" s="16" t="inlineStr">
        <is>
          <t>Deixar de recolher contribuição previdenciária descontada de empregado</t>
        </is>
      </c>
      <c r="M62" s="7" t="inlineStr">
        <is>
          <t>Sim</t>
        </is>
      </c>
      <c r="N62" s="7" t="inlineStr">
        <is>
          <t>Não</t>
        </is>
      </c>
    </row>
    <row r="63">
      <c r="A63" s="7" t="inlineStr">
        <is>
          <t>CP</t>
        </is>
      </c>
      <c r="B63" s="7" t="inlineStr">
        <is>
          <t>Art. 169</t>
        </is>
      </c>
      <c r="C63" s="16" t="inlineStr">
        <is>
          <t>Apropriação de coisa havida por erro, caso fortuito ou força da natureza</t>
        </is>
      </c>
      <c r="D63" s="7" t="n">
        <v>1</v>
      </c>
      <c r="E63" s="7" t="n">
        <v>12</v>
      </c>
      <c r="F63" s="7" t="inlineStr">
        <is>
          <t>Detenção</t>
        </is>
      </c>
      <c r="G63" s="7" t="inlineStr">
        <is>
          <t>Pública Incondicionada</t>
        </is>
      </c>
      <c r="H63" s="7" t="inlineStr">
        <is>
          <t>Não</t>
        </is>
      </c>
      <c r="I63" s="7" t="inlineStr">
        <is>
          <t>Doloso</t>
        </is>
      </c>
      <c r="J63" s="7" t="inlineStr">
        <is>
          <t>Sim</t>
        </is>
      </c>
      <c r="K63" s="16" t="inlineStr">
        <is>
          <t>Parágrafo único: mesma pena para apropriação de tesouro e coisa achada</t>
        </is>
      </c>
      <c r="L63" s="16" t="inlineStr">
        <is>
          <t>1 mês a 1 ano</t>
        </is>
      </c>
      <c r="M63" s="7" t="inlineStr">
        <is>
          <t>Sim</t>
        </is>
      </c>
      <c r="N63" s="7" t="inlineStr">
        <is>
          <t>Sim</t>
        </is>
      </c>
    </row>
    <row r="64">
      <c r="A64" s="7" t="inlineStr">
        <is>
          <t>CP</t>
        </is>
      </c>
      <c r="B64" s="7" t="inlineStr">
        <is>
          <t>Art. 171, caput</t>
        </is>
      </c>
      <c r="C64" s="16" t="inlineStr">
        <is>
          <t>Estelionato</t>
        </is>
      </c>
      <c r="D64" s="7" t="n">
        <v>12</v>
      </c>
      <c r="E64" s="7" t="n">
        <v>60</v>
      </c>
      <c r="F64" s="7" t="inlineStr">
        <is>
          <t>Reclusão</t>
        </is>
      </c>
      <c r="G64" s="7" t="inlineStr">
        <is>
          <t>Pública Condicionada</t>
        </is>
      </c>
      <c r="H64" s="7" t="inlineStr">
        <is>
          <t>Não</t>
        </is>
      </c>
      <c r="I64" s="7" t="inlineStr">
        <is>
          <t>Doloso</t>
        </is>
      </c>
      <c r="J64" s="7" t="inlineStr">
        <is>
          <t>Sim</t>
        </is>
      </c>
      <c r="K64" s="16" t="inlineStr">
        <is>
          <t>§2º: formas equiparadas (disposição de coisa alheia, alienação/hipoteca, defraudação de penhor, fraude de seguro, fraude de mercadoria, etc.)</t>
        </is>
      </c>
      <c r="L64" s="16" t="inlineStr">
        <is>
          <t>Lei 13.964/2019: ação condicionada (regra). Exceções (incondicionada): §5º: Administração Pública, criança/adolescente/idoso/PcD, ou se vítima não identificável</t>
        </is>
      </c>
      <c r="M64" s="7" t="inlineStr">
        <is>
          <t>Sim</t>
        </is>
      </c>
      <c r="N64" s="7" t="inlineStr">
        <is>
          <t>Sim</t>
        </is>
      </c>
    </row>
    <row r="65">
      <c r="A65" s="7" t="inlineStr">
        <is>
          <t>CP</t>
        </is>
      </c>
      <c r="B65" s="7" t="inlineStr">
        <is>
          <t>Art. 171, §2º-A</t>
        </is>
      </c>
      <c r="C65" s="16" t="inlineStr">
        <is>
          <t>Estelionato — fraude eletrônica</t>
        </is>
      </c>
      <c r="D65" s="7" t="n">
        <v>48</v>
      </c>
      <c r="E65" s="7" t="n">
        <v>96</v>
      </c>
      <c r="F65" s="7" t="inlineStr">
        <is>
          <t>Reclusão</t>
        </is>
      </c>
      <c r="G65" s="7" t="inlineStr">
        <is>
          <t>Pública Incondicionada</t>
        </is>
      </c>
      <c r="H65" s="7" t="inlineStr">
        <is>
          <t>Não</t>
        </is>
      </c>
      <c r="I65" s="7" t="inlineStr">
        <is>
          <t>Doloso</t>
        </is>
      </c>
      <c r="J65" s="7" t="inlineStr">
        <is>
          <t>Sim</t>
        </is>
      </c>
      <c r="K65" s="16" t="inlineStr">
        <is>
          <t>+1/3 a 2/3 se servidor fora do país. +dobro se contra idoso/vulnerável</t>
        </is>
      </c>
      <c r="L65" s="16" t="inlineStr">
        <is>
          <t>Lei 14.155/2021. Fraude por meio de dispositivo eletrônico/informático</t>
        </is>
      </c>
      <c r="M65" s="7" t="inlineStr">
        <is>
          <t>Verificar</t>
        </is>
      </c>
      <c r="N65" s="7" t="inlineStr">
        <is>
          <t>Não</t>
        </is>
      </c>
    </row>
    <row r="66">
      <c r="A66" s="7" t="inlineStr">
        <is>
          <t>CP</t>
        </is>
      </c>
      <c r="B66" s="7" t="inlineStr">
        <is>
          <t>Art. 171, §2º-B</t>
        </is>
      </c>
      <c r="C66" s="16" t="inlineStr">
        <is>
          <t>Estelionato contra idoso ou vulnerável</t>
        </is>
      </c>
      <c r="D66" s="7" t="n">
        <v>48</v>
      </c>
      <c r="E66" s="7" t="n">
        <v>96</v>
      </c>
      <c r="F66" s="7" t="inlineStr">
        <is>
          <t>Reclusão</t>
        </is>
      </c>
      <c r="G66" s="7" t="inlineStr">
        <is>
          <t>Pública Incondicionada</t>
        </is>
      </c>
      <c r="H66" s="7" t="inlineStr">
        <is>
          <t>Não</t>
        </is>
      </c>
      <c r="I66" s="7" t="inlineStr">
        <is>
          <t>Doloso</t>
        </is>
      </c>
      <c r="J66" s="7" t="inlineStr">
        <is>
          <t>Sim</t>
        </is>
      </c>
      <c r="K66" s="16" t="inlineStr">
        <is>
          <t>—</t>
        </is>
      </c>
      <c r="L66" s="16" t="inlineStr">
        <is>
          <t>Dobro da pena do estelionato simples (§4º do Art. 171)</t>
        </is>
      </c>
      <c r="M66" s="7" t="inlineStr">
        <is>
          <t>Verificar</t>
        </is>
      </c>
      <c r="N66" s="7" t="inlineStr">
        <is>
          <t>Não</t>
        </is>
      </c>
    </row>
    <row r="67">
      <c r="A67" s="7" t="inlineStr">
        <is>
          <t>CP</t>
        </is>
      </c>
      <c r="B67" s="7" t="inlineStr">
        <is>
          <t>Art. 172</t>
        </is>
      </c>
      <c r="C67" s="16" t="inlineStr">
        <is>
          <t>Duplicata simulada</t>
        </is>
      </c>
      <c r="D67" s="7" t="n">
        <v>24</v>
      </c>
      <c r="E67" s="7" t="n">
        <v>72</v>
      </c>
      <c r="F67" s="7" t="inlineStr">
        <is>
          <t>Detenção</t>
        </is>
      </c>
      <c r="G67" s="7" t="inlineStr">
        <is>
          <t>Pública Incondicionada</t>
        </is>
      </c>
      <c r="H67" s="7" t="inlineStr">
        <is>
          <t>Não</t>
        </is>
      </c>
      <c r="I67" s="7" t="inlineStr">
        <is>
          <t>Doloso</t>
        </is>
      </c>
      <c r="J67" s="7" t="inlineStr">
        <is>
          <t>Sim</t>
        </is>
      </c>
      <c r="K67" s="16" t="inlineStr">
        <is>
          <t>—</t>
        </is>
      </c>
      <c r="L67" s="16" t="inlineStr">
        <is>
          <t>Emitir duplicata sem correspondente venda/serviço</t>
        </is>
      </c>
      <c r="M67" s="7" t="inlineStr">
        <is>
          <t>Sim</t>
        </is>
      </c>
      <c r="N67" s="7" t="inlineStr">
        <is>
          <t>Não</t>
        </is>
      </c>
    </row>
    <row r="68">
      <c r="A68" s="7" t="inlineStr">
        <is>
          <t>CP</t>
        </is>
      </c>
      <c r="B68" s="7" t="inlineStr">
        <is>
          <t>Art. 175</t>
        </is>
      </c>
      <c r="C68" s="16" t="inlineStr">
        <is>
          <t>Fraude no comércio</t>
        </is>
      </c>
      <c r="D68" s="7" t="n">
        <v>6</v>
      </c>
      <c r="E68" s="7" t="n">
        <v>24</v>
      </c>
      <c r="F68" s="7" t="inlineStr">
        <is>
          <t>Detenção</t>
        </is>
      </c>
      <c r="G68" s="7" t="inlineStr">
        <is>
          <t>Pública Incondicionada</t>
        </is>
      </c>
      <c r="H68" s="7" t="inlineStr">
        <is>
          <t>Não</t>
        </is>
      </c>
      <c r="I68" s="7" t="inlineStr">
        <is>
          <t>Doloso</t>
        </is>
      </c>
      <c r="J68" s="7" t="inlineStr">
        <is>
          <t>Sim</t>
        </is>
      </c>
      <c r="K68" s="16" t="inlineStr">
        <is>
          <t>§1º: +1/3 se gênero alimentício/medicamento</t>
        </is>
      </c>
      <c r="L68" s="16" t="inlineStr">
        <is>
          <t>Entregar coisa diferente ou adulterada</t>
        </is>
      </c>
      <c r="M68" s="7" t="inlineStr">
        <is>
          <t>Sim</t>
        </is>
      </c>
      <c r="N68" s="7" t="inlineStr">
        <is>
          <t>Sim</t>
        </is>
      </c>
    </row>
    <row r="69">
      <c r="A69" s="7" t="inlineStr">
        <is>
          <t>CP</t>
        </is>
      </c>
      <c r="B69" s="7" t="inlineStr">
        <is>
          <t>Art. 176</t>
        </is>
      </c>
      <c r="C69" s="16" t="inlineStr">
        <is>
          <t>Outras fraudes (abuso de incapazes)</t>
        </is>
      </c>
      <c r="D69" s="7" t="n">
        <v>24</v>
      </c>
      <c r="E69" s="7" t="n">
        <v>72</v>
      </c>
      <c r="F69" s="7" t="inlineStr">
        <is>
          <t>Reclusão</t>
        </is>
      </c>
      <c r="G69" s="7" t="inlineStr">
        <is>
          <t>Pública Incondicionada</t>
        </is>
      </c>
      <c r="H69" s="7" t="inlineStr">
        <is>
          <t>Não</t>
        </is>
      </c>
      <c r="I69" s="7" t="inlineStr">
        <is>
          <t>Doloso</t>
        </is>
      </c>
      <c r="J69" s="7" t="inlineStr">
        <is>
          <t>Sim</t>
        </is>
      </c>
      <c r="K69" s="16" t="inlineStr">
        <is>
          <t>—</t>
        </is>
      </c>
      <c r="L69" s="16" t="inlineStr">
        <is>
          <t>Abusar de necessidade/paixão/inexperiência de menor ou alienado</t>
        </is>
      </c>
      <c r="M69" s="7" t="inlineStr">
        <is>
          <t>Sim</t>
        </is>
      </c>
      <c r="N69" s="7" t="inlineStr">
        <is>
          <t>Não</t>
        </is>
      </c>
    </row>
    <row r="70">
      <c r="A70" s="7" t="inlineStr">
        <is>
          <t>CP</t>
        </is>
      </c>
      <c r="B70" s="7" t="inlineStr">
        <is>
          <t>Art. 177</t>
        </is>
      </c>
      <c r="C70" s="16" t="inlineStr">
        <is>
          <t>Fraude e abusos na fundação ou administração de sociedade por ações</t>
        </is>
      </c>
      <c r="D70" s="7" t="n">
        <v>12</v>
      </c>
      <c r="E70" s="7" t="n">
        <v>48</v>
      </c>
      <c r="F70" s="7" t="inlineStr">
        <is>
          <t>Reclusão</t>
        </is>
      </c>
      <c r="G70" s="7" t="inlineStr">
        <is>
          <t>Pública Incondicionada</t>
        </is>
      </c>
      <c r="H70" s="7" t="inlineStr">
        <is>
          <t>Não</t>
        </is>
      </c>
      <c r="I70" s="7" t="inlineStr">
        <is>
          <t>Doloso</t>
        </is>
      </c>
      <c r="J70" s="7" t="inlineStr">
        <is>
          <t>Sim</t>
        </is>
      </c>
      <c r="K70" s="16" t="inlineStr">
        <is>
          <t>§1º: formas equiparadas para diretor/administrador</t>
        </is>
      </c>
      <c r="L70" s="16" t="inlineStr">
        <is>
          <t>Publicação falsa de balanço, prospecto, etc.</t>
        </is>
      </c>
      <c r="M70" s="7" t="inlineStr">
        <is>
          <t>Sim</t>
        </is>
      </c>
      <c r="N70" s="7" t="inlineStr">
        <is>
          <t>Sim</t>
        </is>
      </c>
    </row>
    <row r="71">
      <c r="A71" s="7" t="inlineStr">
        <is>
          <t>CP</t>
        </is>
      </c>
      <c r="B71" s="7" t="inlineStr">
        <is>
          <t>Art. 178</t>
        </is>
      </c>
      <c r="C71" s="16" t="inlineStr">
        <is>
          <t>Emissão irregular de conhecimento de depósito ou warrant</t>
        </is>
      </c>
      <c r="D71" s="7" t="n">
        <v>12</v>
      </c>
      <c r="E71" s="7" t="n">
        <v>36</v>
      </c>
      <c r="F71" s="7" t="inlineStr">
        <is>
          <t>Reclusão</t>
        </is>
      </c>
      <c r="G71" s="7" t="inlineStr">
        <is>
          <t>Pública Incondicionada</t>
        </is>
      </c>
      <c r="H71" s="7" t="inlineStr">
        <is>
          <t>Não</t>
        </is>
      </c>
      <c r="I71" s="7" t="inlineStr">
        <is>
          <t>Doloso</t>
        </is>
      </c>
      <c r="J71" s="7" t="inlineStr">
        <is>
          <t>Sim</t>
        </is>
      </c>
      <c r="K71" s="16" t="inlineStr">
        <is>
          <t>—</t>
        </is>
      </c>
      <c r="L71" s="16" t="inlineStr"/>
      <c r="M71" s="7" t="inlineStr">
        <is>
          <t>Sim</t>
        </is>
      </c>
      <c r="N71" s="7" t="inlineStr">
        <is>
          <t>Sim</t>
        </is>
      </c>
    </row>
    <row r="72">
      <c r="A72" s="7" t="inlineStr">
        <is>
          <t>CP</t>
        </is>
      </c>
      <c r="B72" s="7" t="inlineStr">
        <is>
          <t>Art. 180, caput</t>
        </is>
      </c>
      <c r="C72" s="16" t="inlineStr">
        <is>
          <t>Receptação simples</t>
        </is>
      </c>
      <c r="D72" s="7" t="n">
        <v>12</v>
      </c>
      <c r="E72" s="7" t="n">
        <v>48</v>
      </c>
      <c r="F72" s="7" t="inlineStr">
        <is>
          <t>Reclusão</t>
        </is>
      </c>
      <c r="G72" s="7" t="inlineStr">
        <is>
          <t>Pública Incondicionada</t>
        </is>
      </c>
      <c r="H72" s="7" t="inlineStr">
        <is>
          <t>Não</t>
        </is>
      </c>
      <c r="I72" s="7" t="inlineStr">
        <is>
          <t>Doloso</t>
        </is>
      </c>
      <c r="J72" s="7" t="inlineStr">
        <is>
          <t>Sim</t>
        </is>
      </c>
      <c r="K72" s="16" t="inlineStr">
        <is>
          <t>§1º: receptação qualificada (atividade comercial/industrial) = 3-8a. §6º: +1/3 se transporte, porte de arma</t>
        </is>
      </c>
      <c r="L72" s="16" t="inlineStr">
        <is>
          <t>Receptação culposa (§3º): 1m-1a + multa</t>
        </is>
      </c>
      <c r="M72" s="7" t="inlineStr">
        <is>
          <t>Sim</t>
        </is>
      </c>
      <c r="N72" s="7" t="inlineStr">
        <is>
          <t>Sim</t>
        </is>
      </c>
    </row>
    <row r="73">
      <c r="A73" s="7" t="inlineStr">
        <is>
          <t>CP</t>
        </is>
      </c>
      <c r="B73" s="7" t="inlineStr">
        <is>
          <t>Art. 180, §1º</t>
        </is>
      </c>
      <c r="C73" s="16" t="inlineStr">
        <is>
          <t>Receptação qualificada</t>
        </is>
      </c>
      <c r="D73" s="7" t="n">
        <v>36</v>
      </c>
      <c r="E73" s="7" t="n">
        <v>96</v>
      </c>
      <c r="F73" s="7" t="inlineStr">
        <is>
          <t>Reclusão</t>
        </is>
      </c>
      <c r="G73" s="7" t="inlineStr">
        <is>
          <t>Pública Incondicionada</t>
        </is>
      </c>
      <c r="H73" s="7" t="inlineStr">
        <is>
          <t>Não</t>
        </is>
      </c>
      <c r="I73" s="7" t="inlineStr">
        <is>
          <t>Doloso</t>
        </is>
      </c>
      <c r="J73" s="7" t="inlineStr">
        <is>
          <t>Sim</t>
        </is>
      </c>
      <c r="K73" s="16" t="inlineStr">
        <is>
          <t>—</t>
        </is>
      </c>
      <c r="L73" s="16" t="inlineStr">
        <is>
          <t>Exercício de atividade comercial ou industrial</t>
        </is>
      </c>
      <c r="M73" s="7" t="inlineStr">
        <is>
          <t>Sim</t>
        </is>
      </c>
      <c r="N73" s="7" t="inlineStr">
        <is>
          <t>Não</t>
        </is>
      </c>
    </row>
    <row r="74">
      <c r="A74" s="7" t="inlineStr">
        <is>
          <t>CP</t>
        </is>
      </c>
      <c r="B74" s="7" t="inlineStr">
        <is>
          <t>Art. 184, caput</t>
        </is>
      </c>
      <c r="C74" s="16" t="inlineStr">
        <is>
          <t>Violação de direito autoral</t>
        </is>
      </c>
      <c r="D74" s="7" t="n">
        <v>3</v>
      </c>
      <c r="E74" s="7" t="n">
        <v>12</v>
      </c>
      <c r="F74" s="7" t="inlineStr">
        <is>
          <t>Detenção</t>
        </is>
      </c>
      <c r="G74" s="7" t="inlineStr">
        <is>
          <t>Privada</t>
        </is>
      </c>
      <c r="H74" s="7" t="inlineStr">
        <is>
          <t>Não</t>
        </is>
      </c>
      <c r="I74" s="7" t="inlineStr">
        <is>
          <t>Doloso</t>
        </is>
      </c>
      <c r="J74" s="7" t="inlineStr">
        <is>
          <t>Sim</t>
        </is>
      </c>
      <c r="K74" s="16" t="inlineStr">
        <is>
          <t>§1º: reprodução com intuito de lucro = 2-4a reclusão. §2º: distribuição/venda = 2-4a reclusão. §3º: comunicação ao público = 2-4a reclusão</t>
        </is>
      </c>
      <c r="L74" s="16" t="inlineStr">
        <is>
          <t>Caput: ação privada. §§1º-3º: ação pública incondicionada</t>
        </is>
      </c>
      <c r="M74" s="7" t="inlineStr">
        <is>
          <t>Sim</t>
        </is>
      </c>
      <c r="N74" s="7" t="inlineStr">
        <is>
          <t>Sim</t>
        </is>
      </c>
    </row>
    <row r="75">
      <c r="A75" s="7" t="inlineStr">
        <is>
          <t>CP</t>
        </is>
      </c>
      <c r="B75" s="7" t="inlineStr">
        <is>
          <t>Art. 197</t>
        </is>
      </c>
      <c r="C75" s="16" t="inlineStr">
        <is>
          <t>Atentado contra a liberdade de trabalho</t>
        </is>
      </c>
      <c r="D75" s="7" t="n">
        <v>12</v>
      </c>
      <c r="E75" s="7" t="n">
        <v>24</v>
      </c>
      <c r="F75" s="7" t="inlineStr">
        <is>
          <t>Detenção</t>
        </is>
      </c>
      <c r="G75" s="7" t="inlineStr">
        <is>
          <t>Pública Incondicionada</t>
        </is>
      </c>
      <c r="H75" s="7" t="inlineStr">
        <is>
          <t>Não</t>
        </is>
      </c>
      <c r="I75" s="7" t="inlineStr">
        <is>
          <t>Doloso</t>
        </is>
      </c>
      <c r="J75" s="7" t="inlineStr">
        <is>
          <t>Sim</t>
        </is>
      </c>
      <c r="K75" s="16" t="inlineStr">
        <is>
          <t>—</t>
        </is>
      </c>
      <c r="L75" s="16" t="inlineStr">
        <is>
          <t>Constranger mediante violência/grave ameaça a trabalhar ou não</t>
        </is>
      </c>
      <c r="M75" s="7" t="inlineStr">
        <is>
          <t>Sim</t>
        </is>
      </c>
      <c r="N75" s="7" t="inlineStr">
        <is>
          <t>Sim</t>
        </is>
      </c>
    </row>
    <row r="76">
      <c r="A76" s="7" t="inlineStr">
        <is>
          <t>CP</t>
        </is>
      </c>
      <c r="B76" s="7" t="inlineStr">
        <is>
          <t>Art. 198</t>
        </is>
      </c>
      <c r="C76" s="16" t="inlineStr">
        <is>
          <t>Atentado contra a liberdade de contrato de trabalho e boicotagem violenta</t>
        </is>
      </c>
      <c r="D76" s="7" t="n">
        <v>1</v>
      </c>
      <c r="E76" s="7" t="n">
        <v>12</v>
      </c>
      <c r="F76" s="7" t="inlineStr">
        <is>
          <t>Detenção</t>
        </is>
      </c>
      <c r="G76" s="7" t="inlineStr">
        <is>
          <t>Pública Incondicionada</t>
        </is>
      </c>
      <c r="H76" s="7" t="inlineStr">
        <is>
          <t>Não</t>
        </is>
      </c>
      <c r="I76" s="7" t="inlineStr">
        <is>
          <t>Doloso</t>
        </is>
      </c>
      <c r="J76" s="7" t="inlineStr">
        <is>
          <t>Sim</t>
        </is>
      </c>
      <c r="K76" s="16" t="inlineStr">
        <is>
          <t>—</t>
        </is>
      </c>
      <c r="L76" s="16" t="inlineStr">
        <is>
          <t>1 mês a 1 ano</t>
        </is>
      </c>
      <c r="M76" s="7" t="inlineStr">
        <is>
          <t>Sim</t>
        </is>
      </c>
      <c r="N76" s="7" t="inlineStr">
        <is>
          <t>Sim</t>
        </is>
      </c>
    </row>
    <row r="77">
      <c r="A77" s="7" t="inlineStr">
        <is>
          <t>CP</t>
        </is>
      </c>
      <c r="B77" s="7" t="inlineStr">
        <is>
          <t>Art. 199</t>
        </is>
      </c>
      <c r="C77" s="16" t="inlineStr">
        <is>
          <t>Atentado contra a liberdade de associação</t>
        </is>
      </c>
      <c r="D77" s="7" t="n">
        <v>1</v>
      </c>
      <c r="E77" s="7" t="n">
        <v>12</v>
      </c>
      <c r="F77" s="7" t="inlineStr">
        <is>
          <t>Detenção</t>
        </is>
      </c>
      <c r="G77" s="7" t="inlineStr">
        <is>
          <t>Pública Incondicionada</t>
        </is>
      </c>
      <c r="H77" s="7" t="inlineStr">
        <is>
          <t>Não</t>
        </is>
      </c>
      <c r="I77" s="7" t="inlineStr">
        <is>
          <t>Doloso</t>
        </is>
      </c>
      <c r="J77" s="7" t="inlineStr">
        <is>
          <t>Sim</t>
        </is>
      </c>
      <c r="K77" s="16" t="inlineStr">
        <is>
          <t>—</t>
        </is>
      </c>
      <c r="L77" s="16" t="inlineStr"/>
      <c r="M77" s="7" t="inlineStr">
        <is>
          <t>Sim</t>
        </is>
      </c>
      <c r="N77" s="7" t="inlineStr">
        <is>
          <t>Sim</t>
        </is>
      </c>
    </row>
    <row r="78">
      <c r="A78" s="7" t="inlineStr">
        <is>
          <t>CP</t>
        </is>
      </c>
      <c r="B78" s="7" t="inlineStr">
        <is>
          <t>Art. 200</t>
        </is>
      </c>
      <c r="C78" s="16" t="inlineStr">
        <is>
          <t>Paralisação de trabalho seguida de violência ou perturbação da ordem</t>
        </is>
      </c>
      <c r="D78" s="7" t="n">
        <v>1</v>
      </c>
      <c r="E78" s="7" t="n">
        <v>6</v>
      </c>
      <c r="F78" s="7" t="inlineStr">
        <is>
          <t>Detenção</t>
        </is>
      </c>
      <c r="G78" s="7" t="inlineStr">
        <is>
          <t>Pública Incondicionada</t>
        </is>
      </c>
      <c r="H78" s="7" t="inlineStr">
        <is>
          <t>Não</t>
        </is>
      </c>
      <c r="I78" s="7" t="inlineStr">
        <is>
          <t>Doloso</t>
        </is>
      </c>
      <c r="J78" s="7" t="inlineStr">
        <is>
          <t>Sim</t>
        </is>
      </c>
      <c r="K78" s="16" t="inlineStr">
        <is>
          <t>—</t>
        </is>
      </c>
      <c r="L78" s="16" t="inlineStr"/>
      <c r="M78" s="7" t="inlineStr">
        <is>
          <t>Verificar</t>
        </is>
      </c>
      <c r="N78" s="7" t="inlineStr">
        <is>
          <t>Sim</t>
        </is>
      </c>
    </row>
    <row r="79">
      <c r="A79" s="7" t="inlineStr">
        <is>
          <t>CP</t>
        </is>
      </c>
      <c r="B79" s="7" t="inlineStr">
        <is>
          <t>Art. 203</t>
        </is>
      </c>
      <c r="C79" s="16" t="inlineStr">
        <is>
          <t>Frustração de direito assegurado por lei trabalhista</t>
        </is>
      </c>
      <c r="D79" s="7" t="n">
        <v>12</v>
      </c>
      <c r="E79" s="7" t="n">
        <v>24</v>
      </c>
      <c r="F79" s="7" t="inlineStr">
        <is>
          <t>Detenção</t>
        </is>
      </c>
      <c r="G79" s="7" t="inlineStr">
        <is>
          <t>Pública Incondicionada</t>
        </is>
      </c>
      <c r="H79" s="7" t="inlineStr">
        <is>
          <t>Não</t>
        </is>
      </c>
      <c r="I79" s="7" t="inlineStr">
        <is>
          <t>Doloso</t>
        </is>
      </c>
      <c r="J79" s="7" t="inlineStr">
        <is>
          <t>Sim</t>
        </is>
      </c>
      <c r="K79" s="16" t="inlineStr">
        <is>
          <t>§1º: +1/6 se fraude ou violência. §2º: mesma pena se impede trabalhador de se desligar do serviço</t>
        </is>
      </c>
      <c r="L79" s="16" t="inlineStr"/>
      <c r="M79" s="7" t="inlineStr">
        <is>
          <t>Sim</t>
        </is>
      </c>
      <c r="N79" s="7" t="inlineStr">
        <is>
          <t>Sim</t>
        </is>
      </c>
    </row>
    <row r="80">
      <c r="A80" s="7" t="inlineStr">
        <is>
          <t>CP</t>
        </is>
      </c>
      <c r="B80" s="7" t="inlineStr">
        <is>
          <t>Art. 207</t>
        </is>
      </c>
      <c r="C80" s="16" t="inlineStr">
        <is>
          <t>Aliciamento de trabalhadores</t>
        </is>
      </c>
      <c r="D80" s="7" t="n">
        <v>12</v>
      </c>
      <c r="E80" s="7" t="n">
        <v>36</v>
      </c>
      <c r="F80" s="7" t="inlineStr">
        <is>
          <t>Detenção</t>
        </is>
      </c>
      <c r="G80" s="7" t="inlineStr">
        <is>
          <t>Pública Incondicionada</t>
        </is>
      </c>
      <c r="H80" s="7" t="inlineStr">
        <is>
          <t>Não</t>
        </is>
      </c>
      <c r="I80" s="7" t="inlineStr">
        <is>
          <t>Doloso</t>
        </is>
      </c>
      <c r="J80" s="7" t="inlineStr">
        <is>
          <t>Sim</t>
        </is>
      </c>
      <c r="K80" s="16" t="inlineStr">
        <is>
          <t>§1º: +1/3 se trabalhadores levados para outra localidade do território nacional. §2º: +1/3 se trabalhadores recrutados fora da localidade de execução</t>
        </is>
      </c>
      <c r="L80" s="16" t="inlineStr">
        <is>
          <t>Aliciar trabalhadores para outra localidade</t>
        </is>
      </c>
      <c r="M80" s="7" t="inlineStr">
        <is>
          <t>Sim</t>
        </is>
      </c>
      <c r="N80" s="7" t="inlineStr">
        <is>
          <t>Sim</t>
        </is>
      </c>
    </row>
    <row r="81">
      <c r="A81" s="7" t="inlineStr">
        <is>
          <t>CP</t>
        </is>
      </c>
      <c r="B81" s="7" t="inlineStr">
        <is>
          <t>Art. 208</t>
        </is>
      </c>
      <c r="C81" s="16" t="inlineStr">
        <is>
          <t>Ultraje a culto e impedimento ou perturbação de ato a ele relativo</t>
        </is>
      </c>
      <c r="D81" s="7" t="n">
        <v>1</v>
      </c>
      <c r="E81" s="7" t="n">
        <v>12</v>
      </c>
      <c r="F81" s="7" t="inlineStr">
        <is>
          <t>Detenção</t>
        </is>
      </c>
      <c r="G81" s="7" t="inlineStr">
        <is>
          <t>Pública Incondicionada</t>
        </is>
      </c>
      <c r="H81" s="7" t="inlineStr">
        <is>
          <t>Não</t>
        </is>
      </c>
      <c r="I81" s="7" t="inlineStr">
        <is>
          <t>Doloso</t>
        </is>
      </c>
      <c r="J81" s="7" t="inlineStr">
        <is>
          <t>Sim</t>
        </is>
      </c>
      <c r="K81" s="16" t="inlineStr">
        <is>
          <t>+1/3 se violência</t>
        </is>
      </c>
      <c r="L81" s="16" t="inlineStr">
        <is>
          <t>1 mês a 1 ano</t>
        </is>
      </c>
      <c r="M81" s="7" t="inlineStr">
        <is>
          <t>Sim</t>
        </is>
      </c>
      <c r="N81" s="7" t="inlineStr">
        <is>
          <t>Sim</t>
        </is>
      </c>
    </row>
    <row r="82">
      <c r="A82" s="7" t="inlineStr">
        <is>
          <t>CP</t>
        </is>
      </c>
      <c r="B82" s="7" t="inlineStr">
        <is>
          <t>Art. 209</t>
        </is>
      </c>
      <c r="C82" s="16" t="inlineStr">
        <is>
          <t>Impedimento ou perturbação de cerimônia funerária</t>
        </is>
      </c>
      <c r="D82" s="7" t="n">
        <v>1</v>
      </c>
      <c r="E82" s="7" t="n">
        <v>12</v>
      </c>
      <c r="F82" s="7" t="inlineStr">
        <is>
          <t>Detenção</t>
        </is>
      </c>
      <c r="G82" s="7" t="inlineStr">
        <is>
          <t>Pública Incondicionada</t>
        </is>
      </c>
      <c r="H82" s="7" t="inlineStr">
        <is>
          <t>Não</t>
        </is>
      </c>
      <c r="I82" s="7" t="inlineStr">
        <is>
          <t>Doloso</t>
        </is>
      </c>
      <c r="J82" s="7" t="inlineStr">
        <is>
          <t>Sim</t>
        </is>
      </c>
      <c r="K82" s="16" t="inlineStr">
        <is>
          <t>+1/3 se violência</t>
        </is>
      </c>
      <c r="L82" s="16" t="inlineStr"/>
      <c r="M82" s="7" t="inlineStr">
        <is>
          <t>Sim</t>
        </is>
      </c>
      <c r="N82" s="7" t="inlineStr">
        <is>
          <t>Sim</t>
        </is>
      </c>
    </row>
    <row r="83">
      <c r="A83" s="7" t="inlineStr">
        <is>
          <t>CP</t>
        </is>
      </c>
      <c r="B83" s="7" t="inlineStr">
        <is>
          <t>Art. 210</t>
        </is>
      </c>
      <c r="C83" s="16" t="inlineStr">
        <is>
          <t>Violação de sepultura</t>
        </is>
      </c>
      <c r="D83" s="7" t="n">
        <v>12</v>
      </c>
      <c r="E83" s="7" t="n">
        <v>36</v>
      </c>
      <c r="F83" s="7" t="inlineStr">
        <is>
          <t>Reclusão</t>
        </is>
      </c>
      <c r="G83" s="7" t="inlineStr">
        <is>
          <t>Pública Incondicionada</t>
        </is>
      </c>
      <c r="H83" s="7" t="inlineStr">
        <is>
          <t>Não</t>
        </is>
      </c>
      <c r="I83" s="7" t="inlineStr">
        <is>
          <t>Doloso</t>
        </is>
      </c>
      <c r="J83" s="7" t="inlineStr">
        <is>
          <t>Sim</t>
        </is>
      </c>
      <c r="K83" s="16" t="inlineStr">
        <is>
          <t>—</t>
        </is>
      </c>
      <c r="L83" s="16" t="inlineStr"/>
      <c r="M83" s="7" t="inlineStr">
        <is>
          <t>Sim</t>
        </is>
      </c>
      <c r="N83" s="7" t="inlineStr">
        <is>
          <t>Sim</t>
        </is>
      </c>
    </row>
    <row r="84">
      <c r="A84" s="7" t="inlineStr">
        <is>
          <t>CP</t>
        </is>
      </c>
      <c r="B84" s="7" t="inlineStr">
        <is>
          <t>Art. 211</t>
        </is>
      </c>
      <c r="C84" s="16" t="inlineStr">
        <is>
          <t>Destruição, subtração ou ocultação de cadáver</t>
        </is>
      </c>
      <c r="D84" s="7" t="n">
        <v>12</v>
      </c>
      <c r="E84" s="7" t="n">
        <v>36</v>
      </c>
      <c r="F84" s="7" t="inlineStr">
        <is>
          <t>Reclusão</t>
        </is>
      </c>
      <c r="G84" s="7" t="inlineStr">
        <is>
          <t>Pública Incondicionada</t>
        </is>
      </c>
      <c r="H84" s="7" t="inlineStr">
        <is>
          <t>Não</t>
        </is>
      </c>
      <c r="I84" s="7" t="inlineStr">
        <is>
          <t>Doloso</t>
        </is>
      </c>
      <c r="J84" s="7" t="inlineStr">
        <is>
          <t>Sim</t>
        </is>
      </c>
      <c r="K84" s="16" t="inlineStr">
        <is>
          <t>—</t>
        </is>
      </c>
      <c r="L84" s="16" t="inlineStr"/>
      <c r="M84" s="7" t="inlineStr">
        <is>
          <t>Sim</t>
        </is>
      </c>
      <c r="N84" s="7" t="inlineStr">
        <is>
          <t>Sim</t>
        </is>
      </c>
    </row>
    <row r="85">
      <c r="A85" s="7" t="inlineStr">
        <is>
          <t>CP</t>
        </is>
      </c>
      <c r="B85" s="7" t="inlineStr">
        <is>
          <t>Art. 212</t>
        </is>
      </c>
      <c r="C85" s="16" t="inlineStr">
        <is>
          <t>Vilipêndio a cadáver</t>
        </is>
      </c>
      <c r="D85" s="7" t="n">
        <v>12</v>
      </c>
      <c r="E85" s="7" t="n">
        <v>36</v>
      </c>
      <c r="F85" s="7" t="inlineStr">
        <is>
          <t>Detenção</t>
        </is>
      </c>
      <c r="G85" s="7" t="inlineStr">
        <is>
          <t>Pública Incondicionada</t>
        </is>
      </c>
      <c r="H85" s="7" t="inlineStr">
        <is>
          <t>Não</t>
        </is>
      </c>
      <c r="I85" s="7" t="inlineStr">
        <is>
          <t>Doloso</t>
        </is>
      </c>
      <c r="J85" s="7" t="inlineStr">
        <is>
          <t>Sim</t>
        </is>
      </c>
      <c r="K85" s="16" t="inlineStr">
        <is>
          <t>—</t>
        </is>
      </c>
      <c r="L85" s="16" t="inlineStr"/>
      <c r="M85" s="7" t="inlineStr">
        <is>
          <t>Sim</t>
        </is>
      </c>
      <c r="N85" s="7" t="inlineStr">
        <is>
          <t>Sim</t>
        </is>
      </c>
    </row>
    <row r="86">
      <c r="A86" s="17" t="inlineStr">
        <is>
          <t>CP</t>
        </is>
      </c>
      <c r="B86" s="17" t="inlineStr">
        <is>
          <t>Art. 213, caput</t>
        </is>
      </c>
      <c r="C86" s="18" t="inlineStr">
        <is>
          <t>Estupro</t>
        </is>
      </c>
      <c r="D86" s="17" t="n">
        <v>72</v>
      </c>
      <c r="E86" s="17" t="n">
        <v>120</v>
      </c>
      <c r="F86" s="17" t="inlineStr">
        <is>
          <t>Reclusão</t>
        </is>
      </c>
      <c r="G86" s="17" t="inlineStr">
        <is>
          <t>Pública Incondicionada</t>
        </is>
      </c>
      <c r="H86" s="17" t="inlineStr">
        <is>
          <t>Sim</t>
        </is>
      </c>
      <c r="I86" s="17" t="inlineStr">
        <is>
          <t>Doloso</t>
        </is>
      </c>
      <c r="J86" s="17" t="inlineStr">
        <is>
          <t>Sim</t>
        </is>
      </c>
      <c r="K86" s="18" t="inlineStr">
        <is>
          <t>§1º: lesão grave ou vítima 14-17 anos = 8-12 anos. §2º: morte = 12-30 anos</t>
        </is>
      </c>
      <c r="L86" s="18" t="inlineStr">
        <is>
          <t>Hediondo em todas as formas. Ação incondicionada (Lei 13.718/2018). Conjunção carnal ou ato libidinoso</t>
        </is>
      </c>
      <c r="M86" s="17" t="inlineStr">
        <is>
          <t>Verificar</t>
        </is>
      </c>
      <c r="N86" s="17" t="inlineStr">
        <is>
          <t>Não</t>
        </is>
      </c>
    </row>
    <row r="87">
      <c r="A87" s="7" t="inlineStr">
        <is>
          <t>CP</t>
        </is>
      </c>
      <c r="B87" s="7" t="inlineStr">
        <is>
          <t>Art. 215</t>
        </is>
      </c>
      <c r="C87" s="16" t="inlineStr">
        <is>
          <t>Violação sexual mediante fraude</t>
        </is>
      </c>
      <c r="D87" s="7" t="n">
        <v>24</v>
      </c>
      <c r="E87" s="7" t="n">
        <v>72</v>
      </c>
      <c r="F87" s="7" t="inlineStr">
        <is>
          <t>Reclusão</t>
        </is>
      </c>
      <c r="G87" s="7" t="inlineStr">
        <is>
          <t>Pública Incondicionada</t>
        </is>
      </c>
      <c r="H87" s="7" t="inlineStr">
        <is>
          <t>Não</t>
        </is>
      </c>
      <c r="I87" s="7" t="inlineStr">
        <is>
          <t>Doloso</t>
        </is>
      </c>
      <c r="J87" s="7" t="inlineStr">
        <is>
          <t>Sim</t>
        </is>
      </c>
      <c r="K87" s="16" t="inlineStr">
        <is>
          <t>+1/3 a +1/2 se para obter vantagem econômica (§2º)</t>
        </is>
      </c>
      <c r="L87" s="16" t="inlineStr">
        <is>
          <t>Fraude, meio que impeça/dificulte livre manifestação de vontade</t>
        </is>
      </c>
      <c r="M87" s="7" t="inlineStr">
        <is>
          <t>Sim</t>
        </is>
      </c>
      <c r="N87" s="7" t="inlineStr">
        <is>
          <t>Não</t>
        </is>
      </c>
    </row>
    <row r="88">
      <c r="A88" s="7" t="inlineStr">
        <is>
          <t>CP</t>
        </is>
      </c>
      <c r="B88" s="7" t="inlineStr">
        <is>
          <t>Art. 215-A</t>
        </is>
      </c>
      <c r="C88" s="16" t="inlineStr">
        <is>
          <t>Importunação sexual</t>
        </is>
      </c>
      <c r="D88" s="7" t="n">
        <v>12</v>
      </c>
      <c r="E88" s="7" t="n">
        <v>60</v>
      </c>
      <c r="F88" s="7" t="inlineStr">
        <is>
          <t>Reclusão</t>
        </is>
      </c>
      <c r="G88" s="7" t="inlineStr">
        <is>
          <t>Pública Incondicionada</t>
        </is>
      </c>
      <c r="H88" s="7" t="inlineStr">
        <is>
          <t>Não</t>
        </is>
      </c>
      <c r="I88" s="7" t="inlineStr">
        <is>
          <t>Doloso</t>
        </is>
      </c>
      <c r="J88" s="7" t="inlineStr">
        <is>
          <t>Sim</t>
        </is>
      </c>
      <c r="K88" s="16" t="inlineStr">
        <is>
          <t>—</t>
        </is>
      </c>
      <c r="L88" s="16" t="inlineStr">
        <is>
          <t>Lei 13.718/2018. Ato libidinoso sem consentimento para satisfazer lascívia</t>
        </is>
      </c>
      <c r="M88" s="7" t="inlineStr">
        <is>
          <t>Sim</t>
        </is>
      </c>
      <c r="N88" s="7" t="inlineStr">
        <is>
          <t>Sim</t>
        </is>
      </c>
    </row>
    <row r="89">
      <c r="A89" s="7" t="inlineStr">
        <is>
          <t>CP</t>
        </is>
      </c>
      <c r="B89" s="7" t="inlineStr">
        <is>
          <t>Art. 216-A</t>
        </is>
      </c>
      <c r="C89" s="16" t="inlineStr">
        <is>
          <t>Assédio sexual</t>
        </is>
      </c>
      <c r="D89" s="7" t="n">
        <v>12</v>
      </c>
      <c r="E89" s="7" t="n">
        <v>24</v>
      </c>
      <c r="F89" s="7" t="inlineStr">
        <is>
          <t>Detenção</t>
        </is>
      </c>
      <c r="G89" s="7" t="inlineStr">
        <is>
          <t>Pública Incondicionada</t>
        </is>
      </c>
      <c r="H89" s="7" t="inlineStr">
        <is>
          <t>Não</t>
        </is>
      </c>
      <c r="I89" s="7" t="inlineStr">
        <is>
          <t>Doloso</t>
        </is>
      </c>
      <c r="J89" s="7" t="inlineStr">
        <is>
          <t>Sim</t>
        </is>
      </c>
      <c r="K89" s="16" t="inlineStr">
        <is>
          <t>§2º: +1/3 se vítima &lt; 18 anos</t>
        </is>
      </c>
      <c r="L89" s="16" t="inlineStr">
        <is>
          <t>Crime próprio: superior hierárquico/ascendência inerente ao cargo/função</t>
        </is>
      </c>
      <c r="M89" s="7" t="inlineStr">
        <is>
          <t>Sim</t>
        </is>
      </c>
      <c r="N89" s="7" t="inlineStr">
        <is>
          <t>Sim</t>
        </is>
      </c>
    </row>
    <row r="90">
      <c r="A90" s="17" t="inlineStr">
        <is>
          <t>CP</t>
        </is>
      </c>
      <c r="B90" s="17" t="inlineStr">
        <is>
          <t>Art. 217-A, caput</t>
        </is>
      </c>
      <c r="C90" s="18" t="inlineStr">
        <is>
          <t>Estupro de vulnerável</t>
        </is>
      </c>
      <c r="D90" s="17" t="n">
        <v>96</v>
      </c>
      <c r="E90" s="17" t="n">
        <v>180</v>
      </c>
      <c r="F90" s="17" t="inlineStr">
        <is>
          <t>Reclusão</t>
        </is>
      </c>
      <c r="G90" s="17" t="inlineStr">
        <is>
          <t>Pública Incondicionada</t>
        </is>
      </c>
      <c r="H90" s="17" t="inlineStr">
        <is>
          <t>Sim</t>
        </is>
      </c>
      <c r="I90" s="17" t="inlineStr">
        <is>
          <t>Doloso</t>
        </is>
      </c>
      <c r="J90" s="17" t="inlineStr">
        <is>
          <t>Sim</t>
        </is>
      </c>
      <c r="K90" s="18" t="inlineStr">
        <is>
          <t>§3º: lesão grave = 10-20 anos. §4º: morte = 12-30 anos. §5º: aplica-se também a quem mantém conjunção/ato libidinoso com alguém sem discernimento ou que não pode oferecer resistência</t>
        </is>
      </c>
      <c r="L90" s="18" t="inlineStr">
        <is>
          <t>Vítima &lt; 14 anos. Hediondo. Súmula 593 STJ: consentimento do menor é irrelevante</t>
        </is>
      </c>
      <c r="M90" s="17" t="inlineStr">
        <is>
          <t>Verificar</t>
        </is>
      </c>
      <c r="N90" s="17" t="inlineStr">
        <is>
          <t>Não</t>
        </is>
      </c>
    </row>
    <row r="91">
      <c r="A91" s="7" t="inlineStr">
        <is>
          <t>CP</t>
        </is>
      </c>
      <c r="B91" s="7" t="inlineStr">
        <is>
          <t>Art. 218</t>
        </is>
      </c>
      <c r="C91" s="16" t="inlineStr">
        <is>
          <t>Corrupção de menores (sexual)</t>
        </is>
      </c>
      <c r="D91" s="7" t="n">
        <v>24</v>
      </c>
      <c r="E91" s="7" t="n">
        <v>60</v>
      </c>
      <c r="F91" s="7" t="inlineStr">
        <is>
          <t>Reclusão</t>
        </is>
      </c>
      <c r="G91" s="7" t="inlineStr">
        <is>
          <t>Pública Incondicionada</t>
        </is>
      </c>
      <c r="H91" s="7" t="inlineStr">
        <is>
          <t>Não</t>
        </is>
      </c>
      <c r="I91" s="7" t="inlineStr">
        <is>
          <t>Doloso</t>
        </is>
      </c>
      <c r="J91" s="7" t="inlineStr">
        <is>
          <t>Sim</t>
        </is>
      </c>
      <c r="K91" s="16" t="inlineStr">
        <is>
          <t>—</t>
        </is>
      </c>
      <c r="L91" s="16" t="inlineStr">
        <is>
          <t>Induzir menor de 14 a satisfazer lascívia de outrem</t>
        </is>
      </c>
      <c r="M91" s="7" t="inlineStr">
        <is>
          <t>Sim</t>
        </is>
      </c>
      <c r="N91" s="7" t="inlineStr">
        <is>
          <t>Não</t>
        </is>
      </c>
    </row>
    <row r="92">
      <c r="A92" s="7" t="inlineStr">
        <is>
          <t>CP</t>
        </is>
      </c>
      <c r="B92" s="7" t="inlineStr">
        <is>
          <t>Art. 218-A</t>
        </is>
      </c>
      <c r="C92" s="16" t="inlineStr">
        <is>
          <t>Satisfação de lascívia mediante presença de criança ou adolescente</t>
        </is>
      </c>
      <c r="D92" s="7" t="n">
        <v>24</v>
      </c>
      <c r="E92" s="7" t="n">
        <v>48</v>
      </c>
      <c r="F92" s="7" t="inlineStr">
        <is>
          <t>Reclusão</t>
        </is>
      </c>
      <c r="G92" s="7" t="inlineStr">
        <is>
          <t>Pública Incondicionada</t>
        </is>
      </c>
      <c r="H92" s="7" t="inlineStr">
        <is>
          <t>Não</t>
        </is>
      </c>
      <c r="I92" s="7" t="inlineStr">
        <is>
          <t>Doloso</t>
        </is>
      </c>
      <c r="J92" s="7" t="inlineStr">
        <is>
          <t>Sim</t>
        </is>
      </c>
      <c r="K92" s="16" t="inlineStr">
        <is>
          <t>—</t>
        </is>
      </c>
      <c r="L92" s="16" t="inlineStr">
        <is>
          <t>Praticar ato de libidinagem na presença de &lt; 14 ou induzi-lo a presenciar</t>
        </is>
      </c>
      <c r="M92" s="7" t="inlineStr">
        <is>
          <t>Sim</t>
        </is>
      </c>
      <c r="N92" s="7" t="inlineStr">
        <is>
          <t>Não</t>
        </is>
      </c>
    </row>
    <row r="93">
      <c r="A93" s="17" t="inlineStr">
        <is>
          <t>CP</t>
        </is>
      </c>
      <c r="B93" s="17" t="inlineStr">
        <is>
          <t>Art. 218-B</t>
        </is>
      </c>
      <c r="C93" s="18" t="inlineStr">
        <is>
          <t>Favorecimento da prostituição ou exploração sexual de criança/adolescente/vulnerável</t>
        </is>
      </c>
      <c r="D93" s="17" t="n">
        <v>48</v>
      </c>
      <c r="E93" s="17" t="n">
        <v>120</v>
      </c>
      <c r="F93" s="17" t="inlineStr">
        <is>
          <t>Reclusão</t>
        </is>
      </c>
      <c r="G93" s="17" t="inlineStr">
        <is>
          <t>Pública Incondicionada</t>
        </is>
      </c>
      <c r="H93" s="17" t="inlineStr">
        <is>
          <t>Sim</t>
        </is>
      </c>
      <c r="I93" s="17" t="inlineStr">
        <is>
          <t>Doloso</t>
        </is>
      </c>
      <c r="J93" s="17" t="inlineStr">
        <is>
          <t>Sim</t>
        </is>
      </c>
      <c r="K93" s="18" t="inlineStr">
        <is>
          <t>§2º: +1/3 se parentesco/autoridade/dever de cuidado</t>
        </is>
      </c>
      <c r="L93" s="18" t="inlineStr">
        <is>
          <t>Hediondo (se &lt; 14). Inclui quem é cliente/frequentador (§2º, I)</t>
        </is>
      </c>
      <c r="M93" s="17" t="inlineStr">
        <is>
          <t>Verificar</t>
        </is>
      </c>
      <c r="N93" s="17" t="inlineStr">
        <is>
          <t>Não</t>
        </is>
      </c>
    </row>
    <row r="94">
      <c r="A94" s="7" t="inlineStr">
        <is>
          <t>CP</t>
        </is>
      </c>
      <c r="B94" s="7" t="inlineStr">
        <is>
          <t>Art. 218-C</t>
        </is>
      </c>
      <c r="C94" s="16" t="inlineStr">
        <is>
          <t>Divulgação de cena de estupro, sexo, nudez ou pornografia sem consentimento</t>
        </is>
      </c>
      <c r="D94" s="7" t="n">
        <v>12</v>
      </c>
      <c r="E94" s="7" t="n">
        <v>60</v>
      </c>
      <c r="F94" s="7" t="inlineStr">
        <is>
          <t>Reclusão</t>
        </is>
      </c>
      <c r="G94" s="7" t="inlineStr">
        <is>
          <t>Pública Incondicionada</t>
        </is>
      </c>
      <c r="H94" s="7" t="inlineStr">
        <is>
          <t>Não</t>
        </is>
      </c>
      <c r="I94" s="7" t="inlineStr">
        <is>
          <t>Doloso</t>
        </is>
      </c>
      <c r="J94" s="7" t="inlineStr">
        <is>
          <t>Sim</t>
        </is>
      </c>
      <c r="K94" s="16" t="inlineStr">
        <is>
          <t>§1º: +1/3 a 2/3 se agente mantinha/manteve relação íntima com vítima, ou se para vingança/humilhação. §2º: exclui ilicitude se participante anuncia/constringe</t>
        </is>
      </c>
      <c r="L94" s="16" t="inlineStr">
        <is>
          <t>Lei 13.718/2018. 'Revenge porn'. Incondicionada</t>
        </is>
      </c>
      <c r="M94" s="7" t="inlineStr">
        <is>
          <t>Verificar</t>
        </is>
      </c>
      <c r="N94" s="7" t="inlineStr">
        <is>
          <t>Sim</t>
        </is>
      </c>
    </row>
    <row r="95">
      <c r="A95" s="7" t="inlineStr">
        <is>
          <t>CP</t>
        </is>
      </c>
      <c r="B95" s="7" t="inlineStr">
        <is>
          <t>Art. 227</t>
        </is>
      </c>
      <c r="C95" s="16" t="inlineStr">
        <is>
          <t>Mediação para servir a lascívia de outrem</t>
        </is>
      </c>
      <c r="D95" s="7" t="n">
        <v>12</v>
      </c>
      <c r="E95" s="7" t="n">
        <v>36</v>
      </c>
      <c r="F95" s="7" t="inlineStr">
        <is>
          <t>Reclusão</t>
        </is>
      </c>
      <c r="G95" s="7" t="inlineStr">
        <is>
          <t>Pública Incondicionada</t>
        </is>
      </c>
      <c r="H95" s="7" t="inlineStr">
        <is>
          <t>Não</t>
        </is>
      </c>
      <c r="I95" s="7" t="inlineStr">
        <is>
          <t>Doloso</t>
        </is>
      </c>
      <c r="J95" s="7" t="inlineStr">
        <is>
          <t>Sim</t>
        </is>
      </c>
      <c r="K95" s="16" t="inlineStr">
        <is>
          <t>§1º: +1/3 se violência/grave ameaça/fraude. §2º: se vítima &lt;18 e agente ascendente/descendente/cônjuge/irmão/tutor/curador = 2-5 anos</t>
        </is>
      </c>
      <c r="L95" s="16" t="inlineStr"/>
      <c r="M95" s="7" t="inlineStr">
        <is>
          <t>Sim</t>
        </is>
      </c>
      <c r="N95" s="7" t="inlineStr">
        <is>
          <t>Sim</t>
        </is>
      </c>
    </row>
    <row r="96">
      <c r="A96" s="7" t="inlineStr">
        <is>
          <t>CP</t>
        </is>
      </c>
      <c r="B96" s="7" t="inlineStr">
        <is>
          <t>Art. 228</t>
        </is>
      </c>
      <c r="C96" s="16" t="inlineStr">
        <is>
          <t>Favorecimento da prostituição ou forma de exploração sexual</t>
        </is>
      </c>
      <c r="D96" s="7" t="n">
        <v>24</v>
      </c>
      <c r="E96" s="7" t="n">
        <v>60</v>
      </c>
      <c r="F96" s="7" t="inlineStr">
        <is>
          <t>Reclusão</t>
        </is>
      </c>
      <c r="G96" s="7" t="inlineStr">
        <is>
          <t>Pública Incondicionada</t>
        </is>
      </c>
      <c r="H96" s="7" t="inlineStr">
        <is>
          <t>Não</t>
        </is>
      </c>
      <c r="I96" s="7" t="inlineStr">
        <is>
          <t>Doloso</t>
        </is>
      </c>
      <c r="J96" s="7" t="inlineStr">
        <is>
          <t>Sim</t>
        </is>
      </c>
      <c r="K96" s="16" t="inlineStr">
        <is>
          <t>§1º: +violência/grave ameaça/fraude = 4-10 anos. §2º: se parentesco/autoridade/dever = 6-10 anos. §3º: se vítima &lt; 18 = hediondo</t>
        </is>
      </c>
      <c r="L96" s="16" t="inlineStr"/>
      <c r="M96" s="7" t="inlineStr">
        <is>
          <t>Sim</t>
        </is>
      </c>
      <c r="N96" s="7" t="inlineStr">
        <is>
          <t>Não</t>
        </is>
      </c>
    </row>
    <row r="97">
      <c r="A97" s="7" t="inlineStr">
        <is>
          <t>CP</t>
        </is>
      </c>
      <c r="B97" s="7" t="inlineStr">
        <is>
          <t>Art. 229</t>
        </is>
      </c>
      <c r="C97" s="16" t="inlineStr">
        <is>
          <t>Casa de prostituição / exploração sexual</t>
        </is>
      </c>
      <c r="D97" s="7" t="n">
        <v>24</v>
      </c>
      <c r="E97" s="7" t="n">
        <v>60</v>
      </c>
      <c r="F97" s="7" t="inlineStr">
        <is>
          <t>Reclusão</t>
        </is>
      </c>
      <c r="G97" s="7" t="inlineStr">
        <is>
          <t>Pública Incondicionada</t>
        </is>
      </c>
      <c r="H97" s="7" t="inlineStr">
        <is>
          <t>Não</t>
        </is>
      </c>
      <c r="I97" s="7" t="inlineStr">
        <is>
          <t>Doloso</t>
        </is>
      </c>
      <c r="J97" s="7" t="inlineStr">
        <is>
          <t>Sim</t>
        </is>
      </c>
      <c r="K97" s="16" t="inlineStr">
        <is>
          <t>—</t>
        </is>
      </c>
      <c r="L97" s="16" t="inlineStr">
        <is>
          <t>Manter casa/lugar de exploração sexual com participação de lucro</t>
        </is>
      </c>
      <c r="M97" s="7" t="inlineStr">
        <is>
          <t>Sim</t>
        </is>
      </c>
      <c r="N97" s="7" t="inlineStr">
        <is>
          <t>Não</t>
        </is>
      </c>
    </row>
    <row r="98">
      <c r="A98" s="7" t="inlineStr">
        <is>
          <t>CP</t>
        </is>
      </c>
      <c r="B98" s="7" t="inlineStr">
        <is>
          <t>Art. 230</t>
        </is>
      </c>
      <c r="C98" s="16" t="inlineStr">
        <is>
          <t>Rufianismo</t>
        </is>
      </c>
      <c r="D98" s="7" t="n">
        <v>12</v>
      </c>
      <c r="E98" s="7" t="n">
        <v>48</v>
      </c>
      <c r="F98" s="7" t="inlineStr">
        <is>
          <t>Reclusão</t>
        </is>
      </c>
      <c r="G98" s="7" t="inlineStr">
        <is>
          <t>Pública Incondicionada</t>
        </is>
      </c>
      <c r="H98" s="7" t="inlineStr">
        <is>
          <t>Não</t>
        </is>
      </c>
      <c r="I98" s="7" t="inlineStr">
        <is>
          <t>Doloso</t>
        </is>
      </c>
      <c r="J98" s="7" t="inlineStr">
        <is>
          <t>Sim</t>
        </is>
      </c>
      <c r="K98" s="16" t="inlineStr">
        <is>
          <t>§1º: violência/grave ameaça = 2-8 anos. §2º: se vítima &lt; 18: 3-6 anos</t>
        </is>
      </c>
      <c r="L98" s="16" t="inlineStr">
        <is>
          <t>Tirar proveito da prostituição alheia</t>
        </is>
      </c>
      <c r="M98" s="7" t="inlineStr">
        <is>
          <t>Sim</t>
        </is>
      </c>
      <c r="N98" s="7" t="inlineStr">
        <is>
          <t>Sim</t>
        </is>
      </c>
    </row>
    <row r="99">
      <c r="A99" s="7" t="inlineStr">
        <is>
          <t>CP</t>
        </is>
      </c>
      <c r="B99" s="7" t="inlineStr">
        <is>
          <t>Art. 231-A</t>
        </is>
      </c>
      <c r="C99" s="16" t="inlineStr">
        <is>
          <t>Promoção de migração ilegal</t>
        </is>
      </c>
      <c r="D99" s="7" t="n">
        <v>24</v>
      </c>
      <c r="E99" s="7" t="n">
        <v>60</v>
      </c>
      <c r="F99" s="7" t="inlineStr">
        <is>
          <t>Reclusão</t>
        </is>
      </c>
      <c r="G99" s="7" t="inlineStr">
        <is>
          <t>Pública Incondicionada</t>
        </is>
      </c>
      <c r="H99" s="7" t="inlineStr">
        <is>
          <t>Não</t>
        </is>
      </c>
      <c r="I99" s="7" t="inlineStr">
        <is>
          <t>Doloso</t>
        </is>
      </c>
      <c r="J99" s="7" t="inlineStr">
        <is>
          <t>Sim</t>
        </is>
      </c>
      <c r="K99" s="16" t="inlineStr">
        <is>
          <t>§1º: +1/6 a +1/3 se com fim de obter vantagem econômica. §2º: +1/3 a +1/2 se para exploração</t>
        </is>
      </c>
      <c r="L99" s="16" t="inlineStr">
        <is>
          <t>Art. 232-A (Lei 13.445/2017)</t>
        </is>
      </c>
      <c r="M99" s="7" t="inlineStr">
        <is>
          <t>Sim</t>
        </is>
      </c>
      <c r="N99" s="7" t="inlineStr">
        <is>
          <t>Não</t>
        </is>
      </c>
    </row>
    <row r="100">
      <c r="A100" s="7" t="inlineStr">
        <is>
          <t>CP</t>
        </is>
      </c>
      <c r="B100" s="7" t="inlineStr">
        <is>
          <t>Art. 235</t>
        </is>
      </c>
      <c r="C100" s="16" t="inlineStr">
        <is>
          <t>Bigamia</t>
        </is>
      </c>
      <c r="D100" s="7" t="n">
        <v>24</v>
      </c>
      <c r="E100" s="7" t="n">
        <v>72</v>
      </c>
      <c r="F100" s="7" t="inlineStr">
        <is>
          <t>Reclusão</t>
        </is>
      </c>
      <c r="G100" s="7" t="inlineStr">
        <is>
          <t>Pública Incondicionada</t>
        </is>
      </c>
      <c r="H100" s="7" t="inlineStr">
        <is>
          <t>Não</t>
        </is>
      </c>
      <c r="I100" s="7" t="inlineStr">
        <is>
          <t>Doloso</t>
        </is>
      </c>
      <c r="J100" s="7" t="inlineStr">
        <is>
          <t>Sim</t>
        </is>
      </c>
      <c r="K100" s="16" t="inlineStr">
        <is>
          <t>—</t>
        </is>
      </c>
      <c r="L100" s="16" t="inlineStr">
        <is>
          <t>Casar sendo já casado</t>
        </is>
      </c>
      <c r="M100" s="7" t="inlineStr">
        <is>
          <t>Sim</t>
        </is>
      </c>
      <c r="N100" s="7" t="inlineStr">
        <is>
          <t>Não</t>
        </is>
      </c>
    </row>
    <row r="101">
      <c r="A101" s="7" t="inlineStr">
        <is>
          <t>CP</t>
        </is>
      </c>
      <c r="B101" s="7" t="inlineStr">
        <is>
          <t>Art. 236</t>
        </is>
      </c>
      <c r="C101" s="16" t="inlineStr">
        <is>
          <t>Induzimento a erro essencial e ocultação de impedimento</t>
        </is>
      </c>
      <c r="D101" s="7" t="n">
        <v>6</v>
      </c>
      <c r="E101" s="7" t="n">
        <v>24</v>
      </c>
      <c r="F101" s="7" t="inlineStr">
        <is>
          <t>Detenção</t>
        </is>
      </c>
      <c r="G101" s="7" t="inlineStr">
        <is>
          <t>Privada</t>
        </is>
      </c>
      <c r="H101" s="7" t="inlineStr">
        <is>
          <t>Não</t>
        </is>
      </c>
      <c r="I101" s="7" t="inlineStr">
        <is>
          <t>Doloso</t>
        </is>
      </c>
      <c r="J101" s="7" t="inlineStr">
        <is>
          <t>Sim</t>
        </is>
      </c>
      <c r="K101" s="16" t="inlineStr">
        <is>
          <t>—</t>
        </is>
      </c>
      <c r="L101" s="16" t="inlineStr"/>
      <c r="M101" s="7" t="inlineStr">
        <is>
          <t>Sim</t>
        </is>
      </c>
      <c r="N101" s="7" t="inlineStr">
        <is>
          <t>Sim</t>
        </is>
      </c>
    </row>
    <row r="102">
      <c r="A102" s="7" t="inlineStr">
        <is>
          <t>CP</t>
        </is>
      </c>
      <c r="B102" s="7" t="inlineStr">
        <is>
          <t>Art. 237</t>
        </is>
      </c>
      <c r="C102" s="16" t="inlineStr">
        <is>
          <t>Conhecimento prévio de impedimento matrimonial</t>
        </is>
      </c>
      <c r="D102" s="7" t="n">
        <v>3</v>
      </c>
      <c r="E102" s="7" t="n">
        <v>12</v>
      </c>
      <c r="F102" s="7" t="inlineStr">
        <is>
          <t>Detenção</t>
        </is>
      </c>
      <c r="G102" s="7" t="inlineStr">
        <is>
          <t>Pública Incondicionada</t>
        </is>
      </c>
      <c r="H102" s="7" t="inlineStr">
        <is>
          <t>Não</t>
        </is>
      </c>
      <c r="I102" s="7" t="inlineStr">
        <is>
          <t>Doloso</t>
        </is>
      </c>
      <c r="J102" s="7" t="inlineStr">
        <is>
          <t>Sim</t>
        </is>
      </c>
      <c r="K102" s="16" t="inlineStr">
        <is>
          <t>—</t>
        </is>
      </c>
      <c r="L102" s="16" t="inlineStr"/>
      <c r="M102" s="7" t="inlineStr">
        <is>
          <t>Sim</t>
        </is>
      </c>
      <c r="N102" s="7" t="inlineStr">
        <is>
          <t>Sim</t>
        </is>
      </c>
    </row>
    <row r="103">
      <c r="A103" s="7" t="inlineStr">
        <is>
          <t>CP</t>
        </is>
      </c>
      <c r="B103" s="7" t="inlineStr">
        <is>
          <t>Art. 238</t>
        </is>
      </c>
      <c r="C103" s="16" t="inlineStr">
        <is>
          <t>Simulação de autoridade para celebração de casamento</t>
        </is>
      </c>
      <c r="D103" s="7" t="n">
        <v>12</v>
      </c>
      <c r="E103" s="7" t="n">
        <v>36</v>
      </c>
      <c r="F103" s="7" t="inlineStr">
        <is>
          <t>Detenção</t>
        </is>
      </c>
      <c r="G103" s="7" t="inlineStr">
        <is>
          <t>Pública Incondicionada</t>
        </is>
      </c>
      <c r="H103" s="7" t="inlineStr">
        <is>
          <t>Não</t>
        </is>
      </c>
      <c r="I103" s="7" t="inlineStr">
        <is>
          <t>Doloso</t>
        </is>
      </c>
      <c r="J103" s="7" t="inlineStr">
        <is>
          <t>Sim</t>
        </is>
      </c>
      <c r="K103" s="16" t="inlineStr">
        <is>
          <t>—</t>
        </is>
      </c>
      <c r="L103" s="16" t="inlineStr"/>
      <c r="M103" s="7" t="inlineStr">
        <is>
          <t>Sim</t>
        </is>
      </c>
      <c r="N103" s="7" t="inlineStr">
        <is>
          <t>Sim</t>
        </is>
      </c>
    </row>
    <row r="104">
      <c r="A104" s="7" t="inlineStr">
        <is>
          <t>CP</t>
        </is>
      </c>
      <c r="B104" s="7" t="inlineStr">
        <is>
          <t>Art. 239</t>
        </is>
      </c>
      <c r="C104" s="16" t="inlineStr">
        <is>
          <t>Simulação de casamento</t>
        </is>
      </c>
      <c r="D104" s="7" t="n">
        <v>12</v>
      </c>
      <c r="E104" s="7" t="n">
        <v>36</v>
      </c>
      <c r="F104" s="7" t="inlineStr">
        <is>
          <t>Detenção</t>
        </is>
      </c>
      <c r="G104" s="7" t="inlineStr">
        <is>
          <t>Pública Incondicionada</t>
        </is>
      </c>
      <c r="H104" s="7" t="inlineStr">
        <is>
          <t>Não</t>
        </is>
      </c>
      <c r="I104" s="7" t="inlineStr">
        <is>
          <t>Doloso</t>
        </is>
      </c>
      <c r="J104" s="7" t="inlineStr">
        <is>
          <t>Sim</t>
        </is>
      </c>
      <c r="K104" s="16" t="inlineStr">
        <is>
          <t>—</t>
        </is>
      </c>
      <c r="L104" s="16" t="inlineStr"/>
      <c r="M104" s="7" t="inlineStr">
        <is>
          <t>Sim</t>
        </is>
      </c>
      <c r="N104" s="7" t="inlineStr">
        <is>
          <t>Sim</t>
        </is>
      </c>
    </row>
    <row r="105">
      <c r="A105" s="7" t="inlineStr">
        <is>
          <t>CP</t>
        </is>
      </c>
      <c r="B105" s="7" t="inlineStr">
        <is>
          <t>Art. 242</t>
        </is>
      </c>
      <c r="C105" s="16" t="inlineStr">
        <is>
          <t>Registro falso de nascimento (parto suposto/supressão/alteração)</t>
        </is>
      </c>
      <c r="D105" s="7" t="n">
        <v>24</v>
      </c>
      <c r="E105" s="7" t="n">
        <v>72</v>
      </c>
      <c r="F105" s="7" t="inlineStr">
        <is>
          <t>Reclusão</t>
        </is>
      </c>
      <c r="G105" s="7" t="inlineStr">
        <is>
          <t>Pública Incondicionada</t>
        </is>
      </c>
      <c r="H105" s="7" t="inlineStr">
        <is>
          <t>Não</t>
        </is>
      </c>
      <c r="I105" s="7" t="inlineStr">
        <is>
          <t>Doloso</t>
        </is>
      </c>
      <c r="J105" s="7" t="inlineStr">
        <is>
          <t>Sim</t>
        </is>
      </c>
      <c r="K105" s="16" t="inlineStr">
        <is>
          <t>—</t>
        </is>
      </c>
      <c r="L105" s="16" t="inlineStr">
        <is>
          <t>Parágrafo único: perdão judicial se motivo de reconhecida nobreza</t>
        </is>
      </c>
      <c r="M105" s="7" t="inlineStr">
        <is>
          <t>Sim</t>
        </is>
      </c>
      <c r="N105" s="7" t="inlineStr">
        <is>
          <t>Não</t>
        </is>
      </c>
    </row>
    <row r="106">
      <c r="A106" s="7" t="inlineStr">
        <is>
          <t>CP</t>
        </is>
      </c>
      <c r="B106" s="7" t="inlineStr">
        <is>
          <t>Art. 244</t>
        </is>
      </c>
      <c r="C106" s="16" t="inlineStr">
        <is>
          <t>Abandono material</t>
        </is>
      </c>
      <c r="D106" s="7" t="n">
        <v>12</v>
      </c>
      <c r="E106" s="7" t="n">
        <v>48</v>
      </c>
      <c r="F106" s="7" t="inlineStr">
        <is>
          <t>Detenção</t>
        </is>
      </c>
      <c r="G106" s="7" t="inlineStr">
        <is>
          <t>Pública Incondicionada</t>
        </is>
      </c>
      <c r="H106" s="7" t="inlineStr">
        <is>
          <t>Não</t>
        </is>
      </c>
      <c r="I106" s="7" t="inlineStr">
        <is>
          <t>Doloso</t>
        </is>
      </c>
      <c r="J106" s="7" t="inlineStr">
        <is>
          <t>Controverso</t>
        </is>
      </c>
      <c r="K106" s="16" t="inlineStr">
        <is>
          <t>—</t>
        </is>
      </c>
      <c r="L106" s="16" t="inlineStr">
        <is>
          <t>Deixar de prover sustento de filho &lt; 18 ou inválido</t>
        </is>
      </c>
      <c r="M106" s="7" t="inlineStr">
        <is>
          <t>Sim</t>
        </is>
      </c>
      <c r="N106" s="7" t="inlineStr">
        <is>
          <t>Sim</t>
        </is>
      </c>
    </row>
    <row r="107">
      <c r="A107" s="7" t="inlineStr">
        <is>
          <t>CP</t>
        </is>
      </c>
      <c r="B107" s="7" t="inlineStr">
        <is>
          <t>Art. 245</t>
        </is>
      </c>
      <c r="C107" s="16" t="inlineStr">
        <is>
          <t>Entrega de filho menor a pessoa inidônea</t>
        </is>
      </c>
      <c r="D107" s="7" t="n">
        <v>12</v>
      </c>
      <c r="E107" s="7" t="n">
        <v>24</v>
      </c>
      <c r="F107" s="7" t="inlineStr">
        <is>
          <t>Detenção</t>
        </is>
      </c>
      <c r="G107" s="7" t="inlineStr">
        <is>
          <t>Pública Incondicionada</t>
        </is>
      </c>
      <c r="H107" s="7" t="inlineStr">
        <is>
          <t>Não</t>
        </is>
      </c>
      <c r="I107" s="7" t="inlineStr">
        <is>
          <t>Doloso</t>
        </is>
      </c>
      <c r="J107" s="7" t="inlineStr">
        <is>
          <t>Sim</t>
        </is>
      </c>
      <c r="K107" s="16" t="inlineStr">
        <is>
          <t>§1º: 1-4a se com fim de lucro ou vítima em situação irregular. §2º: +1/3 se &lt;18</t>
        </is>
      </c>
      <c r="L107" s="16" t="inlineStr"/>
      <c r="M107" s="7" t="inlineStr">
        <is>
          <t>Sim</t>
        </is>
      </c>
      <c r="N107" s="7" t="inlineStr">
        <is>
          <t>Sim</t>
        </is>
      </c>
    </row>
    <row r="108">
      <c r="A108" s="7" t="inlineStr">
        <is>
          <t>CP</t>
        </is>
      </c>
      <c r="B108" s="7" t="inlineStr">
        <is>
          <t>Art. 246</t>
        </is>
      </c>
      <c r="C108" s="16" t="inlineStr">
        <is>
          <t>Abandono intelectual</t>
        </is>
      </c>
      <c r="D108" s="7" t="n">
        <v>15</v>
      </c>
      <c r="E108" s="7" t="n">
        <v>1</v>
      </c>
      <c r="F108" s="7" t="inlineStr">
        <is>
          <t>Detenção</t>
        </is>
      </c>
      <c r="G108" s="7" t="inlineStr">
        <is>
          <t>Pública Incondicionada</t>
        </is>
      </c>
      <c r="H108" s="7" t="inlineStr">
        <is>
          <t>Não</t>
        </is>
      </c>
      <c r="I108" s="7" t="inlineStr">
        <is>
          <t>Doloso</t>
        </is>
      </c>
      <c r="J108" s="7" t="inlineStr">
        <is>
          <t>Controverso</t>
        </is>
      </c>
      <c r="K108" s="16" t="inlineStr">
        <is>
          <t>—</t>
        </is>
      </c>
      <c r="L108" s="16" t="inlineStr">
        <is>
          <t>15 dias a 1 mês. Deixar de prover instrução primária de filho em idade escolar</t>
        </is>
      </c>
      <c r="M108" s="7" t="inlineStr">
        <is>
          <t>Sim</t>
        </is>
      </c>
      <c r="N108" s="7" t="inlineStr">
        <is>
          <t>Não</t>
        </is>
      </c>
    </row>
    <row r="109">
      <c r="A109" s="7" t="inlineStr">
        <is>
          <t>CP</t>
        </is>
      </c>
      <c r="B109" s="7" t="inlineStr">
        <is>
          <t>Art. 247</t>
        </is>
      </c>
      <c r="C109" s="16" t="inlineStr">
        <is>
          <t>Permissão de permanência de menor em determinados locais</t>
        </is>
      </c>
      <c r="D109" s="7" t="n">
        <v>1</v>
      </c>
      <c r="E109" s="7" t="n">
        <v>3</v>
      </c>
      <c r="F109" s="7" t="inlineStr">
        <is>
          <t>Detenção</t>
        </is>
      </c>
      <c r="G109" s="7" t="inlineStr">
        <is>
          <t>Pública Incondicionada</t>
        </is>
      </c>
      <c r="H109" s="7" t="inlineStr">
        <is>
          <t>Não</t>
        </is>
      </c>
      <c r="I109" s="7" t="inlineStr">
        <is>
          <t>Doloso</t>
        </is>
      </c>
      <c r="J109" s="7" t="inlineStr">
        <is>
          <t>Controverso</t>
        </is>
      </c>
      <c r="K109" s="16" t="inlineStr">
        <is>
          <t>—</t>
        </is>
      </c>
      <c r="L109" s="16" t="inlineStr">
        <is>
          <t>1 a 3 meses</t>
        </is>
      </c>
      <c r="M109" s="7" t="inlineStr">
        <is>
          <t>Sim</t>
        </is>
      </c>
      <c r="N109" s="7" t="inlineStr">
        <is>
          <t>Sim</t>
        </is>
      </c>
    </row>
    <row r="110">
      <c r="A110" s="7" t="inlineStr">
        <is>
          <t>CP</t>
        </is>
      </c>
      <c r="B110" s="7" t="inlineStr">
        <is>
          <t>Art. 250</t>
        </is>
      </c>
      <c r="C110" s="16" t="inlineStr">
        <is>
          <t>Incêndio</t>
        </is>
      </c>
      <c r="D110" s="7" t="n">
        <v>36</v>
      </c>
      <c r="E110" s="7" t="n">
        <v>72</v>
      </c>
      <c r="F110" s="7" t="inlineStr">
        <is>
          <t>Reclusão</t>
        </is>
      </c>
      <c r="G110" s="7" t="inlineStr">
        <is>
          <t>Pública Incondicionada</t>
        </is>
      </c>
      <c r="H110" s="7" t="inlineStr">
        <is>
          <t>Não</t>
        </is>
      </c>
      <c r="I110" s="7" t="inlineStr">
        <is>
          <t>Doloso e Culposo</t>
        </is>
      </c>
      <c r="J110" s="7" t="inlineStr">
        <is>
          <t>Sim</t>
        </is>
      </c>
      <c r="K110" s="16" t="inlineStr">
        <is>
          <t>§1º: +1/3 se em casa habitada, edifício público, meio de transporte, etc. §2º: culposo = 6m-2a</t>
        </is>
      </c>
      <c r="L110" s="16" t="inlineStr"/>
      <c r="M110" s="7" t="inlineStr">
        <is>
          <t>Sim</t>
        </is>
      </c>
      <c r="N110" s="7" t="inlineStr">
        <is>
          <t>Não</t>
        </is>
      </c>
    </row>
    <row r="111">
      <c r="A111" s="7" t="inlineStr">
        <is>
          <t>CP</t>
        </is>
      </c>
      <c r="B111" s="7" t="inlineStr">
        <is>
          <t>Art. 251</t>
        </is>
      </c>
      <c r="C111" s="16" t="inlineStr">
        <is>
          <t>Explosão</t>
        </is>
      </c>
      <c r="D111" s="7" t="n">
        <v>36</v>
      </c>
      <c r="E111" s="7" t="n">
        <v>72</v>
      </c>
      <c r="F111" s="7" t="inlineStr">
        <is>
          <t>Reclusão</t>
        </is>
      </c>
      <c r="G111" s="7" t="inlineStr">
        <is>
          <t>Pública Incondicionada</t>
        </is>
      </c>
      <c r="H111" s="7" t="inlineStr">
        <is>
          <t>Não</t>
        </is>
      </c>
      <c r="I111" s="7" t="inlineStr">
        <is>
          <t>Doloso e Culposo</t>
        </is>
      </c>
      <c r="J111" s="7" t="inlineStr">
        <is>
          <t>Sim</t>
        </is>
      </c>
      <c r="K111" s="16" t="inlineStr">
        <is>
          <t>§1º: +1/3 se para destruir construção. §2º: lesão grave = 6-16 anos. §3º: culposo = 6m-2a</t>
        </is>
      </c>
      <c r="L111" s="16" t="inlineStr"/>
      <c r="M111" s="7" t="inlineStr">
        <is>
          <t>Sim</t>
        </is>
      </c>
      <c r="N111" s="7" t="inlineStr">
        <is>
          <t>Não</t>
        </is>
      </c>
    </row>
    <row r="112">
      <c r="A112" s="7" t="inlineStr">
        <is>
          <t>CP</t>
        </is>
      </c>
      <c r="B112" s="7" t="inlineStr">
        <is>
          <t>Art. 252</t>
        </is>
      </c>
      <c r="C112" s="16" t="inlineStr">
        <is>
          <t>Uso de gás tóxico ou asfixiante</t>
        </is>
      </c>
      <c r="D112" s="7" t="n">
        <v>12</v>
      </c>
      <c r="E112" s="7" t="n">
        <v>36</v>
      </c>
      <c r="F112" s="7" t="inlineStr">
        <is>
          <t>Reclusão</t>
        </is>
      </c>
      <c r="G112" s="7" t="inlineStr">
        <is>
          <t>Pública Incondicionada</t>
        </is>
      </c>
      <c r="H112" s="7" t="inlineStr">
        <is>
          <t>Não</t>
        </is>
      </c>
      <c r="I112" s="7" t="inlineStr">
        <is>
          <t>Doloso e Culposo</t>
        </is>
      </c>
      <c r="J112" s="7" t="inlineStr">
        <is>
          <t>Sim</t>
        </is>
      </c>
      <c r="K112" s="16" t="inlineStr">
        <is>
          <t>Culposo: 3m-1a</t>
        </is>
      </c>
      <c r="L112" s="16" t="inlineStr"/>
      <c r="M112" s="7" t="inlineStr">
        <is>
          <t>Sim</t>
        </is>
      </c>
      <c r="N112" s="7" t="inlineStr">
        <is>
          <t>Sim</t>
        </is>
      </c>
    </row>
    <row r="113">
      <c r="A113" s="7" t="inlineStr">
        <is>
          <t>CP</t>
        </is>
      </c>
      <c r="B113" s="7" t="inlineStr">
        <is>
          <t>Art. 254</t>
        </is>
      </c>
      <c r="C113" s="16" t="inlineStr">
        <is>
          <t>Inundação</t>
        </is>
      </c>
      <c r="D113" s="7" t="n">
        <v>36</v>
      </c>
      <c r="E113" s="7" t="n">
        <v>72</v>
      </c>
      <c r="F113" s="7" t="inlineStr">
        <is>
          <t>Reclusão</t>
        </is>
      </c>
      <c r="G113" s="7" t="inlineStr">
        <is>
          <t>Pública Incondicionada</t>
        </is>
      </c>
      <c r="H113" s="7" t="inlineStr">
        <is>
          <t>Não</t>
        </is>
      </c>
      <c r="I113" s="7" t="inlineStr">
        <is>
          <t>Doloso e Culposo</t>
        </is>
      </c>
      <c r="J113" s="7" t="inlineStr">
        <is>
          <t>Sim</t>
        </is>
      </c>
      <c r="K113" s="16" t="inlineStr">
        <is>
          <t>—</t>
        </is>
      </c>
      <c r="L113" s="16" t="inlineStr">
        <is>
          <t>Causar inundação expondo a perigo</t>
        </is>
      </c>
      <c r="M113" s="7" t="inlineStr">
        <is>
          <t>Sim</t>
        </is>
      </c>
      <c r="N113" s="7" t="inlineStr">
        <is>
          <t>Não</t>
        </is>
      </c>
    </row>
    <row r="114">
      <c r="A114" s="7" t="inlineStr">
        <is>
          <t>CP</t>
        </is>
      </c>
      <c r="B114" s="7" t="inlineStr">
        <is>
          <t>Art. 256</t>
        </is>
      </c>
      <c r="C114" s="16" t="inlineStr">
        <is>
          <t>Desabamento ou desmoronamento</t>
        </is>
      </c>
      <c r="D114" s="7" t="n">
        <v>12</v>
      </c>
      <c r="E114" s="7" t="n">
        <v>48</v>
      </c>
      <c r="F114" s="7" t="inlineStr">
        <is>
          <t>Reclusão</t>
        </is>
      </c>
      <c r="G114" s="7" t="inlineStr">
        <is>
          <t>Pública Incondicionada</t>
        </is>
      </c>
      <c r="H114" s="7" t="inlineStr">
        <is>
          <t>Não</t>
        </is>
      </c>
      <c r="I114" s="7" t="inlineStr">
        <is>
          <t>Doloso e Culposo</t>
        </is>
      </c>
      <c r="J114" s="7" t="inlineStr">
        <is>
          <t>Sim</t>
        </is>
      </c>
      <c r="K114" s="16" t="inlineStr">
        <is>
          <t>Culposo: 6m-1a</t>
        </is>
      </c>
      <c r="L114" s="16" t="inlineStr"/>
      <c r="M114" s="7" t="inlineStr">
        <is>
          <t>Sim</t>
        </is>
      </c>
      <c r="N114" s="7" t="inlineStr">
        <is>
          <t>Sim</t>
        </is>
      </c>
    </row>
    <row r="115">
      <c r="A115" s="7" t="inlineStr">
        <is>
          <t>CP</t>
        </is>
      </c>
      <c r="B115" s="7" t="inlineStr">
        <is>
          <t>Art. 261</t>
        </is>
      </c>
      <c r="C115" s="16" t="inlineStr">
        <is>
          <t>Atentado contra transporte (navio/aeronave/trem)</t>
        </is>
      </c>
      <c r="D115" s="7" t="n">
        <v>24</v>
      </c>
      <c r="E115" s="7" t="n">
        <v>60</v>
      </c>
      <c r="F115" s="7" t="inlineStr">
        <is>
          <t>Reclusão</t>
        </is>
      </c>
      <c r="G115" s="7" t="inlineStr">
        <is>
          <t>Pública Incondicionada</t>
        </is>
      </c>
      <c r="H115" s="7" t="inlineStr">
        <is>
          <t>Não</t>
        </is>
      </c>
      <c r="I115" s="7" t="inlineStr">
        <is>
          <t>Doloso e Culposo</t>
        </is>
      </c>
      <c r="J115" s="7" t="inlineStr">
        <is>
          <t>Sim</t>
        </is>
      </c>
      <c r="K115" s="16" t="inlineStr">
        <is>
          <t>§1º: naufrágio/submersão/encalhe = 4-12a. §2º: lesão grave = 6-16a. §3º: morte = 12-30a. Culposo: 6m-2a</t>
        </is>
      </c>
      <c r="L115" s="16" t="inlineStr"/>
      <c r="M115" s="7" t="inlineStr">
        <is>
          <t>Sim</t>
        </is>
      </c>
      <c r="N115" s="7" t="inlineStr">
        <is>
          <t>Não</t>
        </is>
      </c>
    </row>
    <row r="116">
      <c r="A116" s="7" t="inlineStr">
        <is>
          <t>CP</t>
        </is>
      </c>
      <c r="B116" s="7" t="inlineStr">
        <is>
          <t>Art. 267</t>
        </is>
      </c>
      <c r="C116" s="16" t="inlineStr">
        <is>
          <t>Epidemia</t>
        </is>
      </c>
      <c r="D116" s="7" t="n">
        <v>120</v>
      </c>
      <c r="E116" s="7" t="n">
        <v>180</v>
      </c>
      <c r="F116" s="7" t="inlineStr">
        <is>
          <t>Reclusão</t>
        </is>
      </c>
      <c r="G116" s="7" t="inlineStr">
        <is>
          <t>Pública Incondicionada</t>
        </is>
      </c>
      <c r="H116" s="7" t="inlineStr">
        <is>
          <t>Não</t>
        </is>
      </c>
      <c r="I116" s="7" t="inlineStr">
        <is>
          <t>Doloso e Culposo</t>
        </is>
      </c>
      <c r="J116" s="7" t="inlineStr">
        <is>
          <t>Sim</t>
        </is>
      </c>
      <c r="K116" s="16" t="inlineStr">
        <is>
          <t>§1º: morte = hediondo. §2º: culposo = 1-2a</t>
        </is>
      </c>
      <c r="L116" s="16" t="inlineStr">
        <is>
          <t>Causar epidemia mediante propagação de germes patogênicos. Forma dolosa com resultado morte = HEDIONDO</t>
        </is>
      </c>
      <c r="M116" s="7" t="inlineStr">
        <is>
          <t>Verificar</t>
        </is>
      </c>
      <c r="N116" s="7" t="inlineStr">
        <is>
          <t>Não</t>
        </is>
      </c>
    </row>
    <row r="117">
      <c r="A117" s="7" t="inlineStr">
        <is>
          <t>CP</t>
        </is>
      </c>
      <c r="B117" s="7" t="inlineStr">
        <is>
          <t>Art. 268</t>
        </is>
      </c>
      <c r="C117" s="16" t="inlineStr">
        <is>
          <t>Infração de medida sanitária preventiva</t>
        </is>
      </c>
      <c r="D117" s="7" t="n">
        <v>1</v>
      </c>
      <c r="E117" s="7" t="n">
        <v>12</v>
      </c>
      <c r="F117" s="7" t="inlineStr">
        <is>
          <t>Detenção</t>
        </is>
      </c>
      <c r="G117" s="7" t="inlineStr">
        <is>
          <t>Pública Incondicionada</t>
        </is>
      </c>
      <c r="H117" s="7" t="inlineStr">
        <is>
          <t>Não</t>
        </is>
      </c>
      <c r="I117" s="7" t="inlineStr">
        <is>
          <t>Doloso</t>
        </is>
      </c>
      <c r="J117" s="7" t="inlineStr">
        <is>
          <t>Sim</t>
        </is>
      </c>
      <c r="K117" s="16" t="inlineStr">
        <is>
          <t>+1/3 se funcionário público/médico/farmacêutico/dentista/enfermeiro</t>
        </is>
      </c>
      <c r="L117" s="16" t="inlineStr">
        <is>
          <t>1 mês a 1 ano</t>
        </is>
      </c>
      <c r="M117" s="7" t="inlineStr">
        <is>
          <t>Sim</t>
        </is>
      </c>
      <c r="N117" s="7" t="inlineStr">
        <is>
          <t>Sim</t>
        </is>
      </c>
    </row>
    <row r="118">
      <c r="A118" s="7" t="inlineStr">
        <is>
          <t>CP</t>
        </is>
      </c>
      <c r="B118" s="7" t="inlineStr">
        <is>
          <t>Art. 270</t>
        </is>
      </c>
      <c r="C118" s="16" t="inlineStr">
        <is>
          <t>Envenenamento de água/substância alimentícia ou medicinal</t>
        </is>
      </c>
      <c r="D118" s="7" t="n">
        <v>120</v>
      </c>
      <c r="E118" s="7" t="n">
        <v>180</v>
      </c>
      <c r="F118" s="7" t="inlineStr">
        <is>
          <t>Reclusão</t>
        </is>
      </c>
      <c r="G118" s="7" t="inlineStr">
        <is>
          <t>Pública Incondicionada</t>
        </is>
      </c>
      <c r="H118" s="7" t="inlineStr">
        <is>
          <t>Não</t>
        </is>
      </c>
      <c r="I118" s="7" t="inlineStr">
        <is>
          <t>Doloso e Culposo</t>
        </is>
      </c>
      <c r="J118" s="7" t="inlineStr">
        <is>
          <t>Sim</t>
        </is>
      </c>
      <c r="K118" s="16" t="inlineStr">
        <is>
          <t>Culposo: 6m-2a</t>
        </is>
      </c>
      <c r="L118" s="16" t="inlineStr">
        <is>
          <t>10-15 anos se doloso. Hediondo se forma qualificada com resultado morte</t>
        </is>
      </c>
      <c r="M118" s="7" t="inlineStr">
        <is>
          <t>Verificar</t>
        </is>
      </c>
      <c r="N118" s="7" t="inlineStr">
        <is>
          <t>Não</t>
        </is>
      </c>
    </row>
    <row r="119">
      <c r="A119" s="7" t="inlineStr">
        <is>
          <t>CP</t>
        </is>
      </c>
      <c r="B119" s="7" t="inlineStr">
        <is>
          <t>Art. 272</t>
        </is>
      </c>
      <c r="C119" s="16" t="inlineStr">
        <is>
          <t>Falsificação, corrupção, adulteração ou alteração de substância/produto alimentício</t>
        </is>
      </c>
      <c r="D119" s="7" t="n">
        <v>48</v>
      </c>
      <c r="E119" s="7" t="n">
        <v>96</v>
      </c>
      <c r="F119" s="7" t="inlineStr">
        <is>
          <t>Reclusão</t>
        </is>
      </c>
      <c r="G119" s="7" t="inlineStr">
        <is>
          <t>Pública Incondicionada</t>
        </is>
      </c>
      <c r="H119" s="7" t="inlineStr">
        <is>
          <t>Não</t>
        </is>
      </c>
      <c r="I119" s="7" t="inlineStr">
        <is>
          <t>Doloso e Culposo</t>
        </is>
      </c>
      <c r="J119" s="7" t="inlineStr">
        <is>
          <t>Sim</t>
        </is>
      </c>
      <c r="K119" s="16" t="inlineStr">
        <is>
          <t>§1º-A: culposo = 1-2a. §1º: inclui importação/venda/entrega</t>
        </is>
      </c>
      <c r="L119" s="16" t="inlineStr">
        <is>
          <t>Tornar nociva à saúde</t>
        </is>
      </c>
      <c r="M119" s="7" t="inlineStr">
        <is>
          <t>Verificar</t>
        </is>
      </c>
      <c r="N119" s="7" t="inlineStr">
        <is>
          <t>Não</t>
        </is>
      </c>
    </row>
    <row r="120">
      <c r="A120" s="17" t="inlineStr">
        <is>
          <t>CP</t>
        </is>
      </c>
      <c r="B120" s="17" t="inlineStr">
        <is>
          <t>Art. 273</t>
        </is>
      </c>
      <c r="C120" s="18" t="inlineStr">
        <is>
          <t>Falsificação/adulteração de produto terapêutico ou medicinal</t>
        </is>
      </c>
      <c r="D120" s="17" t="n">
        <v>120</v>
      </c>
      <c r="E120" s="17" t="n">
        <v>180</v>
      </c>
      <c r="F120" s="17" t="inlineStr">
        <is>
          <t>Reclusão</t>
        </is>
      </c>
      <c r="G120" s="17" t="inlineStr">
        <is>
          <t>Pública Incondicionada</t>
        </is>
      </c>
      <c r="H120" s="17" t="inlineStr">
        <is>
          <t>Sim</t>
        </is>
      </c>
      <c r="I120" s="17" t="inlineStr">
        <is>
          <t>Doloso e Culposo</t>
        </is>
      </c>
      <c r="J120" s="17" t="inlineStr">
        <is>
          <t>Sim</t>
        </is>
      </c>
      <c r="K120" s="18" t="inlineStr">
        <is>
          <t>§1º: inclui importar/vender/expor à venda. §1º-A: inclui matéria-prima, cosméticos, saneantes. §1º-B: inclui sem registro na ANVISA</t>
        </is>
      </c>
      <c r="L120" s="18" t="inlineStr">
        <is>
          <t>HEDIONDO. STJ: desproporcionalidade da pena (10-15a) discutida</t>
        </is>
      </c>
      <c r="M120" s="17" t="inlineStr">
        <is>
          <t>Verificar</t>
        </is>
      </c>
      <c r="N120" s="17" t="inlineStr">
        <is>
          <t>Não</t>
        </is>
      </c>
    </row>
    <row r="121">
      <c r="A121" s="7" t="inlineStr">
        <is>
          <t>CP</t>
        </is>
      </c>
      <c r="B121" s="7" t="inlineStr">
        <is>
          <t>Art. 278</t>
        </is>
      </c>
      <c r="C121" s="16" t="inlineStr">
        <is>
          <t>Outras substâncias nocivas à saúde pública</t>
        </is>
      </c>
      <c r="D121" s="7" t="n">
        <v>12</v>
      </c>
      <c r="E121" s="7" t="n">
        <v>36</v>
      </c>
      <c r="F121" s="7" t="inlineStr">
        <is>
          <t>Detenção</t>
        </is>
      </c>
      <c r="G121" s="7" t="inlineStr">
        <is>
          <t>Pública Incondicionada</t>
        </is>
      </c>
      <c r="H121" s="7" t="inlineStr">
        <is>
          <t>Não</t>
        </is>
      </c>
      <c r="I121" s="7" t="inlineStr">
        <is>
          <t>Doloso e Culposo</t>
        </is>
      </c>
      <c r="J121" s="7" t="inlineStr">
        <is>
          <t>Sim</t>
        </is>
      </c>
      <c r="K121" s="16" t="inlineStr">
        <is>
          <t>Culposo: 2m-6m</t>
        </is>
      </c>
      <c r="L121" s="16" t="inlineStr">
        <is>
          <t>Fabricar/vender/fornecer substância nociva à saúde</t>
        </is>
      </c>
      <c r="M121" s="7" t="inlineStr">
        <is>
          <t>Sim</t>
        </is>
      </c>
      <c r="N121" s="7" t="inlineStr">
        <is>
          <t>Sim</t>
        </is>
      </c>
    </row>
    <row r="122">
      <c r="A122" s="7" t="inlineStr">
        <is>
          <t>CP</t>
        </is>
      </c>
      <c r="B122" s="7" t="inlineStr">
        <is>
          <t>Art. 286</t>
        </is>
      </c>
      <c r="C122" s="16" t="inlineStr">
        <is>
          <t>Incitação ao crime</t>
        </is>
      </c>
      <c r="D122" s="7" t="n">
        <v>3</v>
      </c>
      <c r="E122" s="7" t="n">
        <v>6</v>
      </c>
      <c r="F122" s="7" t="inlineStr">
        <is>
          <t>Detenção</t>
        </is>
      </c>
      <c r="G122" s="7" t="inlineStr">
        <is>
          <t>Pública Incondicionada</t>
        </is>
      </c>
      <c r="H122" s="7" t="inlineStr">
        <is>
          <t>Não</t>
        </is>
      </c>
      <c r="I122" s="7" t="inlineStr">
        <is>
          <t>Doloso</t>
        </is>
      </c>
      <c r="J122" s="7" t="inlineStr">
        <is>
          <t>Controverso</t>
        </is>
      </c>
      <c r="K122" s="16" t="inlineStr">
        <is>
          <t>Parágrafo único: +1/3 se internet</t>
        </is>
      </c>
      <c r="L122" s="16" t="inlineStr"/>
      <c r="M122" s="7" t="inlineStr">
        <is>
          <t>Sim</t>
        </is>
      </c>
      <c r="N122" s="7" t="inlineStr">
        <is>
          <t>Sim</t>
        </is>
      </c>
    </row>
    <row r="123">
      <c r="A123" s="7" t="inlineStr">
        <is>
          <t>CP</t>
        </is>
      </c>
      <c r="B123" s="7" t="inlineStr">
        <is>
          <t>Art. 287</t>
        </is>
      </c>
      <c r="C123" s="16" t="inlineStr">
        <is>
          <t>Apologia de crime ou criminoso</t>
        </is>
      </c>
      <c r="D123" s="7" t="n">
        <v>3</v>
      </c>
      <c r="E123" s="7" t="n">
        <v>6</v>
      </c>
      <c r="F123" s="7" t="inlineStr">
        <is>
          <t>Detenção</t>
        </is>
      </c>
      <c r="G123" s="7" t="inlineStr">
        <is>
          <t>Pública Incondicionada</t>
        </is>
      </c>
      <c r="H123" s="7" t="inlineStr">
        <is>
          <t>Não</t>
        </is>
      </c>
      <c r="I123" s="7" t="inlineStr">
        <is>
          <t>Doloso</t>
        </is>
      </c>
      <c r="J123" s="7" t="inlineStr">
        <is>
          <t>Controverso</t>
        </is>
      </c>
      <c r="K123" s="16" t="inlineStr">
        <is>
          <t>Parágrafo único: +1/3 se internet</t>
        </is>
      </c>
      <c r="L123" s="16" t="inlineStr"/>
      <c r="M123" s="7" t="inlineStr">
        <is>
          <t>Sim</t>
        </is>
      </c>
      <c r="N123" s="7" t="inlineStr">
        <is>
          <t>Sim</t>
        </is>
      </c>
    </row>
    <row r="124">
      <c r="A124" s="7" t="inlineStr">
        <is>
          <t>CP</t>
        </is>
      </c>
      <c r="B124" s="7" t="inlineStr">
        <is>
          <t>Art. 288</t>
        </is>
      </c>
      <c r="C124" s="16" t="inlineStr">
        <is>
          <t>Associação criminosa</t>
        </is>
      </c>
      <c r="D124" s="7" t="n">
        <v>12</v>
      </c>
      <c r="E124" s="7" t="n">
        <v>36</v>
      </c>
      <c r="F124" s="7" t="inlineStr">
        <is>
          <t>Reclusão</t>
        </is>
      </c>
      <c r="G124" s="7" t="inlineStr">
        <is>
          <t>Pública Incondicionada</t>
        </is>
      </c>
      <c r="H124" s="7" t="inlineStr">
        <is>
          <t>Não</t>
        </is>
      </c>
      <c r="I124" s="7" t="inlineStr">
        <is>
          <t>Doloso</t>
        </is>
      </c>
      <c r="J124" s="7" t="inlineStr">
        <is>
          <t>Não</t>
        </is>
      </c>
      <c r="K124" s="16" t="inlineStr">
        <is>
          <t>Parágrafo único: +1/2 se armada ou com participação de criança/adolescente</t>
        </is>
      </c>
      <c r="L124" s="16" t="inlineStr">
        <is>
          <t>Mínimo 3 pessoas. Crime autônomo (não se confunde com os crimes praticados)</t>
        </is>
      </c>
      <c r="M124" s="7" t="inlineStr">
        <is>
          <t>Sim</t>
        </is>
      </c>
      <c r="N124" s="7" t="inlineStr">
        <is>
          <t>Sim</t>
        </is>
      </c>
    </row>
    <row r="125">
      <c r="A125" s="7" t="inlineStr">
        <is>
          <t>CP</t>
        </is>
      </c>
      <c r="B125" s="7" t="inlineStr">
        <is>
          <t>Art. 288-A</t>
        </is>
      </c>
      <c r="C125" s="16" t="inlineStr">
        <is>
          <t>Constituição de milícia privada</t>
        </is>
      </c>
      <c r="D125" s="7" t="n">
        <v>48</v>
      </c>
      <c r="E125" s="7" t="n">
        <v>96</v>
      </c>
      <c r="F125" s="7" t="inlineStr">
        <is>
          <t>Reclusão</t>
        </is>
      </c>
      <c r="G125" s="7" t="inlineStr">
        <is>
          <t>Pública Incondicionada</t>
        </is>
      </c>
      <c r="H125" s="7" t="inlineStr">
        <is>
          <t>Não</t>
        </is>
      </c>
      <c r="I125" s="7" t="inlineStr">
        <is>
          <t>Doloso</t>
        </is>
      </c>
      <c r="J125" s="7" t="inlineStr">
        <is>
          <t>Não</t>
        </is>
      </c>
      <c r="K125" s="16" t="inlineStr">
        <is>
          <t>—</t>
        </is>
      </c>
      <c r="L125" s="16" t="inlineStr">
        <is>
          <t>Constituir/organizar/integrar/manter grupo/associação/milícia armada de natureza paramilitar</t>
        </is>
      </c>
      <c r="M125" s="7" t="inlineStr">
        <is>
          <t>Verificar</t>
        </is>
      </c>
      <c r="N125" s="7" t="inlineStr">
        <is>
          <t>Não</t>
        </is>
      </c>
    </row>
    <row r="126">
      <c r="A126" s="7" t="inlineStr">
        <is>
          <t>CP</t>
        </is>
      </c>
      <c r="B126" s="7" t="inlineStr">
        <is>
          <t>Art. 289</t>
        </is>
      </c>
      <c r="C126" s="16" t="inlineStr">
        <is>
          <t>Moeda falsa</t>
        </is>
      </c>
      <c r="D126" s="7" t="n">
        <v>36</v>
      </c>
      <c r="E126" s="7" t="n">
        <v>144</v>
      </c>
      <c r="F126" s="7" t="inlineStr">
        <is>
          <t>Reclusão</t>
        </is>
      </c>
      <c r="G126" s="7" t="inlineStr">
        <is>
          <t>Pública Incondicionada</t>
        </is>
      </c>
      <c r="H126" s="7" t="inlineStr">
        <is>
          <t>Não</t>
        </is>
      </c>
      <c r="I126" s="7" t="inlineStr">
        <is>
          <t>Doloso</t>
        </is>
      </c>
      <c r="J126" s="7" t="inlineStr">
        <is>
          <t>Sim</t>
        </is>
      </c>
      <c r="K126" s="16" t="inlineStr">
        <is>
          <t>§1º: mesma pena se introduzir ou restituir à circulação. §2º: quem recebeu de boa-fé e reintroduz = 6m-2a (detenção). §3º: fabricar/possuir máquinas = 2-6a. §4º: moeda metálica falsa = 1-3a</t>
        </is>
      </c>
      <c r="L126" s="16" t="inlineStr">
        <is>
          <t>Competência: Justiça Federal</t>
        </is>
      </c>
      <c r="M126" s="7" t="inlineStr">
        <is>
          <t>Sim</t>
        </is>
      </c>
      <c r="N126" s="7" t="inlineStr">
        <is>
          <t>Não</t>
        </is>
      </c>
    </row>
    <row r="127">
      <c r="A127" s="7" t="inlineStr">
        <is>
          <t>CP</t>
        </is>
      </c>
      <c r="B127" s="7" t="inlineStr">
        <is>
          <t>Art. 297</t>
        </is>
      </c>
      <c r="C127" s="16" t="inlineStr">
        <is>
          <t>Falsificação de documento público</t>
        </is>
      </c>
      <c r="D127" s="7" t="n">
        <v>24</v>
      </c>
      <c r="E127" s="7" t="n">
        <v>72</v>
      </c>
      <c r="F127" s="7" t="inlineStr">
        <is>
          <t>Reclusão</t>
        </is>
      </c>
      <c r="G127" s="7" t="inlineStr">
        <is>
          <t>Pública Incondicionada</t>
        </is>
      </c>
      <c r="H127" s="7" t="inlineStr">
        <is>
          <t>Não</t>
        </is>
      </c>
      <c r="I127" s="7" t="inlineStr">
        <is>
          <t>Doloso</t>
        </is>
      </c>
      <c r="J127" s="7" t="inlineStr">
        <is>
          <t>Sim</t>
        </is>
      </c>
      <c r="K127" s="16" t="inlineStr">
        <is>
          <t>§1º: mesma pena se falsificar CTPS, título de eleitor. §3º: inserção de dados falsos em sistema de info = 2-12a. §4º: modificação não autorizada em sistema = 2-12a</t>
        </is>
      </c>
      <c r="L127" s="16" t="inlineStr">
        <is>
          <t>Inclui falsificação total ou parcial (alteração)</t>
        </is>
      </c>
      <c r="M127" s="7" t="inlineStr">
        <is>
          <t>Sim</t>
        </is>
      </c>
      <c r="N127" s="7" t="inlineStr">
        <is>
          <t>Não</t>
        </is>
      </c>
    </row>
    <row r="128">
      <c r="A128" s="7" t="inlineStr">
        <is>
          <t>CP</t>
        </is>
      </c>
      <c r="B128" s="7" t="inlineStr">
        <is>
          <t>Art. 298</t>
        </is>
      </c>
      <c r="C128" s="16" t="inlineStr">
        <is>
          <t>Falsificação de documento particular</t>
        </is>
      </c>
      <c r="D128" s="7" t="n">
        <v>12</v>
      </c>
      <c r="E128" s="7" t="n">
        <v>60</v>
      </c>
      <c r="F128" s="7" t="inlineStr">
        <is>
          <t>Reclusão</t>
        </is>
      </c>
      <c r="G128" s="7" t="inlineStr">
        <is>
          <t>Pública Incondicionada</t>
        </is>
      </c>
      <c r="H128" s="7" t="inlineStr">
        <is>
          <t>Não</t>
        </is>
      </c>
      <c r="I128" s="7" t="inlineStr">
        <is>
          <t>Doloso</t>
        </is>
      </c>
      <c r="J128" s="7" t="inlineStr">
        <is>
          <t>Sim</t>
        </is>
      </c>
      <c r="K128" s="16" t="inlineStr">
        <is>
          <t>Parágrafo único: equipara-se cartão de crédito/débito</t>
        </is>
      </c>
      <c r="L128" s="16" t="inlineStr"/>
      <c r="M128" s="7" t="inlineStr">
        <is>
          <t>Sim</t>
        </is>
      </c>
      <c r="N128" s="7" t="inlineStr">
        <is>
          <t>Sim</t>
        </is>
      </c>
    </row>
    <row r="129">
      <c r="A129" s="7" t="inlineStr">
        <is>
          <t>CP</t>
        </is>
      </c>
      <c r="B129" s="7" t="inlineStr">
        <is>
          <t>Art. 299</t>
        </is>
      </c>
      <c r="C129" s="16" t="inlineStr">
        <is>
          <t>Falsidade ideológica</t>
        </is>
      </c>
      <c r="D129" s="7" t="n">
        <v>12</v>
      </c>
      <c r="E129" s="7" t="n">
        <v>36</v>
      </c>
      <c r="F129" s="7" t="inlineStr">
        <is>
          <t>Reclusão</t>
        </is>
      </c>
      <c r="G129" s="7" t="inlineStr">
        <is>
          <t>Pública Incondicionada</t>
        </is>
      </c>
      <c r="H129" s="7" t="inlineStr">
        <is>
          <t>Não</t>
        </is>
      </c>
      <c r="I129" s="7" t="inlineStr">
        <is>
          <t>Doloso</t>
        </is>
      </c>
      <c r="J129" s="7" t="inlineStr">
        <is>
          <t>Sim</t>
        </is>
      </c>
      <c r="K129" s="16" t="inlineStr">
        <is>
          <t>Parágrafo único: +1/6 se documento público; +1/2 se alterar assentamento de registro civil</t>
        </is>
      </c>
      <c r="L129" s="16" t="inlineStr">
        <is>
          <t>Diferença: documento é verdadeiro, conteúdo é falso</t>
        </is>
      </c>
      <c r="M129" s="7" t="inlineStr">
        <is>
          <t>Sim</t>
        </is>
      </c>
      <c r="N129" s="7" t="inlineStr">
        <is>
          <t>Sim</t>
        </is>
      </c>
    </row>
    <row r="130">
      <c r="A130" s="7" t="inlineStr">
        <is>
          <t>CP</t>
        </is>
      </c>
      <c r="B130" s="7" t="inlineStr">
        <is>
          <t>Art. 302</t>
        </is>
      </c>
      <c r="C130" s="16" t="inlineStr">
        <is>
          <t>Falsidade de atestado médico</t>
        </is>
      </c>
      <c r="D130" s="7" t="n">
        <v>1</v>
      </c>
      <c r="E130" s="7" t="n">
        <v>12</v>
      </c>
      <c r="F130" s="7" t="inlineStr">
        <is>
          <t>Detenção</t>
        </is>
      </c>
      <c r="G130" s="7" t="inlineStr">
        <is>
          <t>Pública Incondicionada</t>
        </is>
      </c>
      <c r="H130" s="7" t="inlineStr">
        <is>
          <t>Não</t>
        </is>
      </c>
      <c r="I130" s="7" t="inlineStr">
        <is>
          <t>Doloso</t>
        </is>
      </c>
      <c r="J130" s="7" t="inlineStr">
        <is>
          <t>Sim</t>
        </is>
      </c>
      <c r="K130" s="16" t="inlineStr">
        <is>
          <t>—</t>
        </is>
      </c>
      <c r="L130" s="16" t="inlineStr">
        <is>
          <t>Crime próprio: médico</t>
        </is>
      </c>
      <c r="M130" s="7" t="inlineStr">
        <is>
          <t>Sim</t>
        </is>
      </c>
      <c r="N130" s="7" t="inlineStr">
        <is>
          <t>Sim</t>
        </is>
      </c>
    </row>
    <row r="131">
      <c r="A131" s="19" t="inlineStr">
        <is>
          <t>CP</t>
        </is>
      </c>
      <c r="B131" s="19" t="inlineStr">
        <is>
          <t>Art. 304</t>
        </is>
      </c>
      <c r="C131" s="20" t="inlineStr">
        <is>
          <t>Uso de documento falso</t>
        </is>
      </c>
      <c r="D131" s="19" t="inlineStr">
        <is>
          <t>—</t>
        </is>
      </c>
      <c r="E131" s="19" t="inlineStr">
        <is>
          <t>—</t>
        </is>
      </c>
      <c r="F131" s="19" t="inlineStr">
        <is>
          <t>—</t>
        </is>
      </c>
      <c r="G131" s="19" t="inlineStr">
        <is>
          <t>Pública Incondicionada</t>
        </is>
      </c>
      <c r="H131" s="19" t="inlineStr">
        <is>
          <t>Não</t>
        </is>
      </c>
      <c r="I131" s="19" t="inlineStr">
        <is>
          <t>Doloso</t>
        </is>
      </c>
      <c r="J131" s="19" t="inlineStr">
        <is>
          <t>Sim</t>
        </is>
      </c>
      <c r="K131" s="20" t="inlineStr">
        <is>
          <t>—</t>
        </is>
      </c>
      <c r="L131" s="20" t="inlineStr">
        <is>
          <t>Pena cominada à falsificação (Arts. 297-302). Súmula 17 STJ: afasta uso se mesmo agente falsificou</t>
        </is>
      </c>
      <c r="M131" s="19" t="inlineStr">
        <is>
          <t>—</t>
        </is>
      </c>
      <c r="N131" s="19" t="inlineStr">
        <is>
          <t>—</t>
        </is>
      </c>
    </row>
    <row r="132">
      <c r="A132" s="7" t="inlineStr">
        <is>
          <t>CP</t>
        </is>
      </c>
      <c r="B132" s="7" t="inlineStr">
        <is>
          <t>Art. 307</t>
        </is>
      </c>
      <c r="C132" s="16" t="inlineStr">
        <is>
          <t>Falsa identidade</t>
        </is>
      </c>
      <c r="D132" s="7" t="n">
        <v>3</v>
      </c>
      <c r="E132" s="7" t="n">
        <v>12</v>
      </c>
      <c r="F132" s="7" t="inlineStr">
        <is>
          <t>Detenção</t>
        </is>
      </c>
      <c r="G132" s="7" t="inlineStr">
        <is>
          <t>Pública Incondicionada</t>
        </is>
      </c>
      <c r="H132" s="7" t="inlineStr">
        <is>
          <t>Não</t>
        </is>
      </c>
      <c r="I132" s="7" t="inlineStr">
        <is>
          <t>Doloso</t>
        </is>
      </c>
      <c r="J132" s="7" t="inlineStr">
        <is>
          <t>Sim</t>
        </is>
      </c>
      <c r="K132" s="16" t="inlineStr">
        <is>
          <t>—</t>
        </is>
      </c>
      <c r="L132" s="16" t="inlineStr">
        <is>
          <t>Atribuir-se ou atribuir a terceiro falsa identidade para obter vantagem</t>
        </is>
      </c>
      <c r="M132" s="7" t="inlineStr">
        <is>
          <t>Sim</t>
        </is>
      </c>
      <c r="N132" s="7" t="inlineStr">
        <is>
          <t>Sim</t>
        </is>
      </c>
    </row>
    <row r="133">
      <c r="A133" s="7" t="inlineStr">
        <is>
          <t>CP</t>
        </is>
      </c>
      <c r="B133" s="7" t="inlineStr">
        <is>
          <t>Art. 308</t>
        </is>
      </c>
      <c r="C133" s="16" t="inlineStr">
        <is>
          <t>Uso de identidade alheia</t>
        </is>
      </c>
      <c r="D133" s="7" t="n">
        <v>3</v>
      </c>
      <c r="E133" s="7" t="n">
        <v>12</v>
      </c>
      <c r="F133" s="7" t="inlineStr">
        <is>
          <t>Detenção</t>
        </is>
      </c>
      <c r="G133" s="7" t="inlineStr">
        <is>
          <t>Pública Incondicionada</t>
        </is>
      </c>
      <c r="H133" s="7" t="inlineStr">
        <is>
          <t>Não</t>
        </is>
      </c>
      <c r="I133" s="7" t="inlineStr">
        <is>
          <t>Doloso</t>
        </is>
      </c>
      <c r="J133" s="7" t="inlineStr">
        <is>
          <t>Sim</t>
        </is>
      </c>
      <c r="K133" s="16" t="inlineStr">
        <is>
          <t>—</t>
        </is>
      </c>
      <c r="L133" s="16" t="inlineStr">
        <is>
          <t>Usar, como própria, identidade alheia para proveito ou dano</t>
        </is>
      </c>
      <c r="M133" s="7" t="inlineStr">
        <is>
          <t>Sim</t>
        </is>
      </c>
      <c r="N133" s="7" t="inlineStr">
        <is>
          <t>Sim</t>
        </is>
      </c>
    </row>
    <row r="134">
      <c r="A134" s="7" t="inlineStr">
        <is>
          <t>CP</t>
        </is>
      </c>
      <c r="B134" s="7" t="inlineStr">
        <is>
          <t>Art. 311-A</t>
        </is>
      </c>
      <c r="C134" s="16" t="inlineStr">
        <is>
          <t>Fraude em certames de interesse público (fraude em concurso)</t>
        </is>
      </c>
      <c r="D134" s="7" t="n">
        <v>12</v>
      </c>
      <c r="E134" s="7" t="n">
        <v>48</v>
      </c>
      <c r="F134" s="7" t="inlineStr">
        <is>
          <t>Reclusão</t>
        </is>
      </c>
      <c r="G134" s="7" t="inlineStr">
        <is>
          <t>Pública Incondicionada</t>
        </is>
      </c>
      <c r="H134" s="7" t="inlineStr">
        <is>
          <t>Não</t>
        </is>
      </c>
      <c r="I134" s="7" t="inlineStr">
        <is>
          <t>Doloso</t>
        </is>
      </c>
      <c r="J134" s="7" t="inlineStr">
        <is>
          <t>Sim</t>
        </is>
      </c>
      <c r="K134" s="16" t="inlineStr">
        <is>
          <t>§2º: +1/3 se funcionário público. §3º: +2/3 se resultado inutilização</t>
        </is>
      </c>
      <c r="L134" s="16" t="inlineStr">
        <is>
          <t>Utilizar/divulgar conteúdo sigiloso de concurso antes da prova</t>
        </is>
      </c>
      <c r="M134" s="7" t="inlineStr">
        <is>
          <t>Sim</t>
        </is>
      </c>
      <c r="N134" s="7" t="inlineStr">
        <is>
          <t>Sim</t>
        </is>
      </c>
    </row>
    <row r="135">
      <c r="A135" s="7" t="inlineStr">
        <is>
          <t>CP</t>
        </is>
      </c>
      <c r="B135" s="7" t="inlineStr">
        <is>
          <t>Art. 312</t>
        </is>
      </c>
      <c r="C135" s="16" t="inlineStr">
        <is>
          <t>Peculato (apropriação)</t>
        </is>
      </c>
      <c r="D135" s="7" t="n">
        <v>24</v>
      </c>
      <c r="E135" s="7" t="n">
        <v>144</v>
      </c>
      <c r="F135" s="7" t="inlineStr">
        <is>
          <t>Reclusão</t>
        </is>
      </c>
      <c r="G135" s="7" t="inlineStr">
        <is>
          <t>Pública Incondicionada</t>
        </is>
      </c>
      <c r="H135" s="7" t="inlineStr">
        <is>
          <t>Não</t>
        </is>
      </c>
      <c r="I135" s="7" t="inlineStr">
        <is>
          <t>Doloso</t>
        </is>
      </c>
      <c r="J135" s="7" t="inlineStr">
        <is>
          <t>Sim</t>
        </is>
      </c>
      <c r="K135" s="16" t="inlineStr">
        <is>
          <t>§1º: peculato-furto (mesma pena). §2º: peculato culposo = 3m-1a detenção (reparação extingue, se antes da sentença; reduz metade após)</t>
        </is>
      </c>
      <c r="L135" s="16" t="inlineStr">
        <is>
          <t>Crime próprio: funcionário público</t>
        </is>
      </c>
      <c r="M135" s="7" t="inlineStr">
        <is>
          <t>Sim</t>
        </is>
      </c>
      <c r="N135" s="7" t="inlineStr">
        <is>
          <t>Não</t>
        </is>
      </c>
    </row>
    <row r="136">
      <c r="A136" s="7" t="inlineStr">
        <is>
          <t>CP</t>
        </is>
      </c>
      <c r="B136" s="7" t="inlineStr">
        <is>
          <t>Art. 312-A</t>
        </is>
      </c>
      <c r="C136" s="16" t="inlineStr">
        <is>
          <t>Peculato mediante erro de outrem</t>
        </is>
      </c>
      <c r="D136" s="7" t="n">
        <v>12</v>
      </c>
      <c r="E136" s="7" t="n">
        <v>48</v>
      </c>
      <c r="F136" s="7" t="inlineStr">
        <is>
          <t>Reclusão</t>
        </is>
      </c>
      <c r="G136" s="7" t="inlineStr">
        <is>
          <t>Pública Incondicionada</t>
        </is>
      </c>
      <c r="H136" s="7" t="inlineStr">
        <is>
          <t>Não</t>
        </is>
      </c>
      <c r="I136" s="7" t="inlineStr">
        <is>
          <t>Doloso</t>
        </is>
      </c>
      <c r="J136" s="7" t="inlineStr">
        <is>
          <t>Sim</t>
        </is>
      </c>
      <c r="K136" s="16" t="inlineStr">
        <is>
          <t>—</t>
        </is>
      </c>
      <c r="L136" s="16" t="inlineStr">
        <is>
          <t>Apropriar-se de valor recebido por erro de outrem no exercício do cargo</t>
        </is>
      </c>
      <c r="M136" s="7" t="inlineStr">
        <is>
          <t>Sim</t>
        </is>
      </c>
      <c r="N136" s="7" t="inlineStr">
        <is>
          <t>Sim</t>
        </is>
      </c>
    </row>
    <row r="137">
      <c r="A137" s="7" t="inlineStr">
        <is>
          <t>CP</t>
        </is>
      </c>
      <c r="B137" s="7" t="inlineStr">
        <is>
          <t>Art. 313</t>
        </is>
      </c>
      <c r="C137" s="16" t="inlineStr">
        <is>
          <t>Peculato mediante erro de outrem (antigo)</t>
        </is>
      </c>
      <c r="D137" s="7" t="n">
        <v>12</v>
      </c>
      <c r="E137" s="7" t="n">
        <v>48</v>
      </c>
      <c r="F137" s="7" t="inlineStr">
        <is>
          <t>Reclusão</t>
        </is>
      </c>
      <c r="G137" s="7" t="inlineStr">
        <is>
          <t>Pública Incondicionada</t>
        </is>
      </c>
      <c r="H137" s="7" t="inlineStr">
        <is>
          <t>Não</t>
        </is>
      </c>
      <c r="I137" s="7" t="inlineStr">
        <is>
          <t>Doloso</t>
        </is>
      </c>
      <c r="J137" s="7" t="inlineStr">
        <is>
          <t>Sim</t>
        </is>
      </c>
      <c r="K137" s="16" t="inlineStr">
        <is>
          <t>—</t>
        </is>
      </c>
      <c r="L137" s="16" t="inlineStr">
        <is>
          <t>Valores recebidos por erro de terceiro, no exercício de cargo</t>
        </is>
      </c>
      <c r="M137" s="7" t="inlineStr">
        <is>
          <t>Sim</t>
        </is>
      </c>
      <c r="N137" s="7" t="inlineStr">
        <is>
          <t>Sim</t>
        </is>
      </c>
    </row>
    <row r="138">
      <c r="A138" s="7" t="inlineStr">
        <is>
          <t>CP</t>
        </is>
      </c>
      <c r="B138" s="7" t="inlineStr">
        <is>
          <t>Art. 313-A</t>
        </is>
      </c>
      <c r="C138" s="16" t="inlineStr">
        <is>
          <t>Inserção de dados falsos em sistema de informações</t>
        </is>
      </c>
      <c r="D138" s="7" t="n">
        <v>24</v>
      </c>
      <c r="E138" s="7" t="n">
        <v>144</v>
      </c>
      <c r="F138" s="7" t="inlineStr">
        <is>
          <t>Reclusão</t>
        </is>
      </c>
      <c r="G138" s="7" t="inlineStr">
        <is>
          <t>Pública Incondicionada</t>
        </is>
      </c>
      <c r="H138" s="7" t="inlineStr">
        <is>
          <t>Não</t>
        </is>
      </c>
      <c r="I138" s="7" t="inlineStr">
        <is>
          <t>Doloso</t>
        </is>
      </c>
      <c r="J138" s="7" t="inlineStr">
        <is>
          <t>Sim</t>
        </is>
      </c>
      <c r="K138" s="16" t="inlineStr">
        <is>
          <t>—</t>
        </is>
      </c>
      <c r="L138" s="16" t="inlineStr">
        <is>
          <t>Crime próprio: funcionário público autorizado</t>
        </is>
      </c>
      <c r="M138" s="7" t="inlineStr">
        <is>
          <t>Sim</t>
        </is>
      </c>
      <c r="N138" s="7" t="inlineStr">
        <is>
          <t>Não</t>
        </is>
      </c>
    </row>
    <row r="139">
      <c r="A139" s="7" t="inlineStr">
        <is>
          <t>CP</t>
        </is>
      </c>
      <c r="B139" s="7" t="inlineStr">
        <is>
          <t>Art. 313-B</t>
        </is>
      </c>
      <c r="C139" s="16" t="inlineStr">
        <is>
          <t>Modificação ou alteração não autorizada de sistema de informações</t>
        </is>
      </c>
      <c r="D139" s="7" t="n">
        <v>3</v>
      </c>
      <c r="E139" s="7" t="n">
        <v>24</v>
      </c>
      <c r="F139" s="7" t="inlineStr">
        <is>
          <t>Detenção</t>
        </is>
      </c>
      <c r="G139" s="7" t="inlineStr">
        <is>
          <t>Pública Incondicionada</t>
        </is>
      </c>
      <c r="H139" s="7" t="inlineStr">
        <is>
          <t>Não</t>
        </is>
      </c>
      <c r="I139" s="7" t="inlineStr">
        <is>
          <t>Doloso</t>
        </is>
      </c>
      <c r="J139" s="7" t="inlineStr">
        <is>
          <t>Sim</t>
        </is>
      </c>
      <c r="K139" s="16" t="inlineStr">
        <is>
          <t>Parágrafo único: +1/3 a +1/2 se resulta dano à AP ou terceiro</t>
        </is>
      </c>
      <c r="L139" s="16" t="inlineStr"/>
      <c r="M139" s="7" t="inlineStr">
        <is>
          <t>Sim</t>
        </is>
      </c>
      <c r="N139" s="7" t="inlineStr">
        <is>
          <t>Sim</t>
        </is>
      </c>
    </row>
    <row r="140">
      <c r="A140" s="7" t="inlineStr">
        <is>
          <t>CP</t>
        </is>
      </c>
      <c r="B140" s="7" t="inlineStr">
        <is>
          <t>Art. 314</t>
        </is>
      </c>
      <c r="C140" s="16" t="inlineStr">
        <is>
          <t>Extravio, sonegação ou inutilização de livro ou documento</t>
        </is>
      </c>
      <c r="D140" s="7" t="n">
        <v>12</v>
      </c>
      <c r="E140" s="7" t="n">
        <v>48</v>
      </c>
      <c r="F140" s="7" t="inlineStr">
        <is>
          <t>Reclusão</t>
        </is>
      </c>
      <c r="G140" s="7" t="inlineStr">
        <is>
          <t>Pública Incondicionada</t>
        </is>
      </c>
      <c r="H140" s="7" t="inlineStr">
        <is>
          <t>Não</t>
        </is>
      </c>
      <c r="I140" s="7" t="inlineStr">
        <is>
          <t>Doloso</t>
        </is>
      </c>
      <c r="J140" s="7" t="inlineStr">
        <is>
          <t>Sim</t>
        </is>
      </c>
      <c r="K140" s="16" t="inlineStr">
        <is>
          <t>—</t>
        </is>
      </c>
      <c r="L140" s="16" t="inlineStr"/>
      <c r="M140" s="7" t="inlineStr">
        <is>
          <t>Sim</t>
        </is>
      </c>
      <c r="N140" s="7" t="inlineStr">
        <is>
          <t>Sim</t>
        </is>
      </c>
    </row>
    <row r="141">
      <c r="A141" s="7" t="inlineStr">
        <is>
          <t>CP</t>
        </is>
      </c>
      <c r="B141" s="7" t="inlineStr">
        <is>
          <t>Art. 315</t>
        </is>
      </c>
      <c r="C141" s="16" t="inlineStr">
        <is>
          <t>Emprego irregular de verbas ou rendas públicas</t>
        </is>
      </c>
      <c r="D141" s="7" t="n">
        <v>1</v>
      </c>
      <c r="E141" s="7" t="n">
        <v>3</v>
      </c>
      <c r="F141" s="7" t="inlineStr">
        <is>
          <t>Detenção</t>
        </is>
      </c>
      <c r="G141" s="7" t="inlineStr">
        <is>
          <t>Pública Incondicionada</t>
        </is>
      </c>
      <c r="H141" s="7" t="inlineStr">
        <is>
          <t>Não</t>
        </is>
      </c>
      <c r="I141" s="7" t="inlineStr">
        <is>
          <t>Doloso</t>
        </is>
      </c>
      <c r="J141" s="7" t="inlineStr">
        <is>
          <t>Sim</t>
        </is>
      </c>
      <c r="K141" s="16" t="inlineStr">
        <is>
          <t>—</t>
        </is>
      </c>
      <c r="L141" s="16" t="inlineStr">
        <is>
          <t>1-3 meses. Dar destinação diversa da prevista em lei</t>
        </is>
      </c>
      <c r="M141" s="7" t="inlineStr">
        <is>
          <t>Sim</t>
        </is>
      </c>
      <c r="N141" s="7" t="inlineStr">
        <is>
          <t>Sim</t>
        </is>
      </c>
    </row>
    <row r="142">
      <c r="A142" s="7" t="inlineStr">
        <is>
          <t>CP</t>
        </is>
      </c>
      <c r="B142" s="7" t="inlineStr">
        <is>
          <t>Art. 316, caput</t>
        </is>
      </c>
      <c r="C142" s="16" t="inlineStr">
        <is>
          <t>Concussão</t>
        </is>
      </c>
      <c r="D142" s="7" t="n">
        <v>24</v>
      </c>
      <c r="E142" s="7" t="n">
        <v>96</v>
      </c>
      <c r="F142" s="7" t="inlineStr">
        <is>
          <t>Reclusão</t>
        </is>
      </c>
      <c r="G142" s="7" t="inlineStr">
        <is>
          <t>Pública Incondicionada</t>
        </is>
      </c>
      <c r="H142" s="7" t="inlineStr">
        <is>
          <t>Não</t>
        </is>
      </c>
      <c r="I142" s="7" t="inlineStr">
        <is>
          <t>Doloso</t>
        </is>
      </c>
      <c r="J142" s="7" t="inlineStr">
        <is>
          <t>Sim</t>
        </is>
      </c>
      <c r="K142" s="16" t="inlineStr">
        <is>
          <t>§1º: excesso de exação = 3-8a. §2º: se desvia valor recebido indevidamente: 2-12a</t>
        </is>
      </c>
      <c r="L142" s="16" t="inlineStr">
        <is>
          <t>EXIGIR vantagem indevida (diferença para corrupção, que é SOLICITAR/RECEBER/ACEITAR)</t>
        </is>
      </c>
      <c r="M142" s="7" t="inlineStr">
        <is>
          <t>Sim</t>
        </is>
      </c>
      <c r="N142" s="7" t="inlineStr">
        <is>
          <t>Não</t>
        </is>
      </c>
    </row>
    <row r="143">
      <c r="A143" s="7" t="inlineStr">
        <is>
          <t>CP</t>
        </is>
      </c>
      <c r="B143" s="7" t="inlineStr">
        <is>
          <t>Art. 317</t>
        </is>
      </c>
      <c r="C143" s="16" t="inlineStr">
        <is>
          <t>Corrupção passiva</t>
        </is>
      </c>
      <c r="D143" s="7" t="n">
        <v>24</v>
      </c>
      <c r="E143" s="7" t="n">
        <v>144</v>
      </c>
      <c r="F143" s="7" t="inlineStr">
        <is>
          <t>Reclusão</t>
        </is>
      </c>
      <c r="G143" s="7" t="inlineStr">
        <is>
          <t>Pública Incondicionada</t>
        </is>
      </c>
      <c r="H143" s="7" t="inlineStr">
        <is>
          <t>Não</t>
        </is>
      </c>
      <c r="I143" s="7" t="inlineStr">
        <is>
          <t>Doloso</t>
        </is>
      </c>
      <c r="J143" s="7" t="inlineStr">
        <is>
          <t>Sim</t>
        </is>
      </c>
      <c r="K143" s="16" t="inlineStr">
        <is>
          <t>§1º: +1/3 se retarda/deixa de praticar/pratica ato infringindo dever funcional. §2º: se cede a pedido/influência = 3-1a (privilegiada)</t>
        </is>
      </c>
      <c r="L143" s="16" t="inlineStr">
        <is>
          <t>Solicitar/receber/aceitar promessa de vantagem indevida</t>
        </is>
      </c>
      <c r="M143" s="7" t="inlineStr">
        <is>
          <t>Sim</t>
        </is>
      </c>
      <c r="N143" s="7" t="inlineStr">
        <is>
          <t>Não</t>
        </is>
      </c>
    </row>
    <row r="144">
      <c r="A144" s="7" t="inlineStr">
        <is>
          <t>CP</t>
        </is>
      </c>
      <c r="B144" s="7" t="inlineStr">
        <is>
          <t>Art. 318</t>
        </is>
      </c>
      <c r="C144" s="16" t="inlineStr">
        <is>
          <t>Facilitação de contrabando ou descaminho</t>
        </is>
      </c>
      <c r="D144" s="7" t="n">
        <v>36</v>
      </c>
      <c r="E144" s="7" t="n">
        <v>96</v>
      </c>
      <c r="F144" s="7" t="inlineStr">
        <is>
          <t>Reclusão</t>
        </is>
      </c>
      <c r="G144" s="7" t="inlineStr">
        <is>
          <t>Pública Incondicionada</t>
        </is>
      </c>
      <c r="H144" s="7" t="inlineStr">
        <is>
          <t>Não</t>
        </is>
      </c>
      <c r="I144" s="7" t="inlineStr">
        <is>
          <t>Doloso</t>
        </is>
      </c>
      <c r="J144" s="7" t="inlineStr">
        <is>
          <t>Sim</t>
        </is>
      </c>
      <c r="K144" s="16" t="inlineStr">
        <is>
          <t>—</t>
        </is>
      </c>
      <c r="L144" s="16" t="inlineStr">
        <is>
          <t>Crime próprio: funcionário público</t>
        </is>
      </c>
      <c r="M144" s="7" t="inlineStr">
        <is>
          <t>Sim</t>
        </is>
      </c>
      <c r="N144" s="7" t="inlineStr">
        <is>
          <t>Não</t>
        </is>
      </c>
    </row>
    <row r="145">
      <c r="A145" s="7" t="inlineStr">
        <is>
          <t>CP</t>
        </is>
      </c>
      <c r="B145" s="7" t="inlineStr">
        <is>
          <t>Art. 319</t>
        </is>
      </c>
      <c r="C145" s="16" t="inlineStr">
        <is>
          <t>Prevaricação</t>
        </is>
      </c>
      <c r="D145" s="7" t="n">
        <v>3</v>
      </c>
      <c r="E145" s="7" t="n">
        <v>12</v>
      </c>
      <c r="F145" s="7" t="inlineStr">
        <is>
          <t>Detenção</t>
        </is>
      </c>
      <c r="G145" s="7" t="inlineStr">
        <is>
          <t>Pública Incondicionada</t>
        </is>
      </c>
      <c r="H145" s="7" t="inlineStr">
        <is>
          <t>Não</t>
        </is>
      </c>
      <c r="I145" s="7" t="inlineStr">
        <is>
          <t>Doloso</t>
        </is>
      </c>
      <c r="J145" s="7" t="inlineStr">
        <is>
          <t>Controverso</t>
        </is>
      </c>
      <c r="K145" s="16" t="inlineStr">
        <is>
          <t>—</t>
        </is>
      </c>
      <c r="L145" s="16" t="inlineStr">
        <is>
          <t>Retardar/deixar de praticar/praticar indevidamente para satisfazer interesse pessoal</t>
        </is>
      </c>
      <c r="M145" s="7" t="inlineStr">
        <is>
          <t>Sim</t>
        </is>
      </c>
      <c r="N145" s="7" t="inlineStr">
        <is>
          <t>Sim</t>
        </is>
      </c>
    </row>
    <row r="146">
      <c r="A146" s="7" t="inlineStr">
        <is>
          <t>CP</t>
        </is>
      </c>
      <c r="B146" s="7" t="inlineStr">
        <is>
          <t>Art. 319-A</t>
        </is>
      </c>
      <c r="C146" s="16" t="inlineStr">
        <is>
          <t>Prevaricação — sistema penitenciário</t>
        </is>
      </c>
      <c r="D146" s="7" t="n">
        <v>12</v>
      </c>
      <c r="E146" s="7" t="n">
        <v>48</v>
      </c>
      <c r="F146" s="7" t="inlineStr">
        <is>
          <t>Detenção</t>
        </is>
      </c>
      <c r="G146" s="7" t="inlineStr">
        <is>
          <t>Pública Incondicionada</t>
        </is>
      </c>
      <c r="H146" s="7" t="inlineStr">
        <is>
          <t>Não</t>
        </is>
      </c>
      <c r="I146" s="7" t="inlineStr">
        <is>
          <t>Doloso</t>
        </is>
      </c>
      <c r="J146" s="7" t="inlineStr">
        <is>
          <t>Sim</t>
        </is>
      </c>
      <c r="K146" s="16" t="inlineStr">
        <is>
          <t>—</t>
        </is>
      </c>
      <c r="L146" s="16" t="inlineStr">
        <is>
          <t>Deixar de vedar ao preso acesso a celular ou rádio de comunicação</t>
        </is>
      </c>
      <c r="M146" s="7" t="inlineStr">
        <is>
          <t>Sim</t>
        </is>
      </c>
      <c r="N146" s="7" t="inlineStr">
        <is>
          <t>Sim</t>
        </is>
      </c>
    </row>
    <row r="147">
      <c r="A147" s="7" t="inlineStr">
        <is>
          <t>CP</t>
        </is>
      </c>
      <c r="B147" s="7" t="inlineStr">
        <is>
          <t>Art. 320</t>
        </is>
      </c>
      <c r="C147" s="16" t="inlineStr">
        <is>
          <t>Condescendência criminosa</t>
        </is>
      </c>
      <c r="D147" s="7" t="n">
        <v>15</v>
      </c>
      <c r="E147" s="7" t="n">
        <v>1</v>
      </c>
      <c r="F147" s="7" t="inlineStr">
        <is>
          <t>Detenção</t>
        </is>
      </c>
      <c r="G147" s="7" t="inlineStr">
        <is>
          <t>Pública Incondicionada</t>
        </is>
      </c>
      <c r="H147" s="7" t="inlineStr">
        <is>
          <t>Não</t>
        </is>
      </c>
      <c r="I147" s="7" t="inlineStr">
        <is>
          <t>Doloso</t>
        </is>
      </c>
      <c r="J147" s="7" t="inlineStr">
        <is>
          <t>Controverso</t>
        </is>
      </c>
      <c r="K147" s="16" t="inlineStr">
        <is>
          <t>—</t>
        </is>
      </c>
      <c r="L147" s="16" t="inlineStr">
        <is>
          <t>15 dias a 1 mês. Deixar de responsabilizar subordinado que comete infração</t>
        </is>
      </c>
      <c r="M147" s="7" t="inlineStr">
        <is>
          <t>Sim</t>
        </is>
      </c>
      <c r="N147" s="7" t="inlineStr">
        <is>
          <t>Não</t>
        </is>
      </c>
    </row>
    <row r="148">
      <c r="A148" s="7" t="inlineStr">
        <is>
          <t>CP</t>
        </is>
      </c>
      <c r="B148" s="7" t="inlineStr">
        <is>
          <t>Art. 321</t>
        </is>
      </c>
      <c r="C148" s="16" t="inlineStr">
        <is>
          <t>Advocacia administrativa</t>
        </is>
      </c>
      <c r="D148" s="7" t="n">
        <v>1</v>
      </c>
      <c r="E148" s="7" t="n">
        <v>3</v>
      </c>
      <c r="F148" s="7" t="inlineStr">
        <is>
          <t>Detenção</t>
        </is>
      </c>
      <c r="G148" s="7" t="inlineStr">
        <is>
          <t>Pública Incondicionada</t>
        </is>
      </c>
      <c r="H148" s="7" t="inlineStr">
        <is>
          <t>Não</t>
        </is>
      </c>
      <c r="I148" s="7" t="inlineStr">
        <is>
          <t>Doloso</t>
        </is>
      </c>
      <c r="J148" s="7" t="inlineStr">
        <is>
          <t>Sim</t>
        </is>
      </c>
      <c r="K148" s="16" t="inlineStr">
        <is>
          <t>Parágrafo único: +1/3 se interesse ilegítimo</t>
        </is>
      </c>
      <c r="L148" s="16" t="inlineStr">
        <is>
          <t>1-3 meses</t>
        </is>
      </c>
      <c r="M148" s="7" t="inlineStr">
        <is>
          <t>Sim</t>
        </is>
      </c>
      <c r="N148" s="7" t="inlineStr">
        <is>
          <t>Sim</t>
        </is>
      </c>
    </row>
    <row r="149">
      <c r="A149" s="7" t="inlineStr">
        <is>
          <t>CP</t>
        </is>
      </c>
      <c r="B149" s="7" t="inlineStr">
        <is>
          <t>Art. 325</t>
        </is>
      </c>
      <c r="C149" s="16" t="inlineStr">
        <is>
          <t>Violação de sigilo funcional</t>
        </is>
      </c>
      <c r="D149" s="7" t="n">
        <v>6</v>
      </c>
      <c r="E149" s="7" t="n">
        <v>24</v>
      </c>
      <c r="F149" s="7" t="inlineStr">
        <is>
          <t>Detenção</t>
        </is>
      </c>
      <c r="G149" s="7" t="inlineStr">
        <is>
          <t>Pública Incondicionada</t>
        </is>
      </c>
      <c r="H149" s="7" t="inlineStr">
        <is>
          <t>Não</t>
        </is>
      </c>
      <c r="I149" s="7" t="inlineStr">
        <is>
          <t>Doloso</t>
        </is>
      </c>
      <c r="J149" s="7" t="inlineStr">
        <is>
          <t>Sim</t>
        </is>
      </c>
      <c r="K149" s="16" t="inlineStr">
        <is>
          <t>§1º: se permite acesso indevido a sistema/info = 2-6a reclusão. §2º: se resulta dano à AP/terceiro = 2-6a reclusão</t>
        </is>
      </c>
      <c r="L149" s="16" t="inlineStr"/>
      <c r="M149" s="7" t="inlineStr">
        <is>
          <t>Sim</t>
        </is>
      </c>
      <c r="N149" s="7" t="inlineStr">
        <is>
          <t>Sim</t>
        </is>
      </c>
    </row>
    <row r="150">
      <c r="A150" s="7" t="inlineStr">
        <is>
          <t>CP</t>
        </is>
      </c>
      <c r="B150" s="7" t="inlineStr">
        <is>
          <t>Art. 328</t>
        </is>
      </c>
      <c r="C150" s="16" t="inlineStr">
        <is>
          <t>Usurpação de função pública</t>
        </is>
      </c>
      <c r="D150" s="7" t="n">
        <v>3</v>
      </c>
      <c r="E150" s="7" t="n">
        <v>24</v>
      </c>
      <c r="F150" s="7" t="inlineStr">
        <is>
          <t>Detenção</t>
        </is>
      </c>
      <c r="G150" s="7" t="inlineStr">
        <is>
          <t>Pública Incondicionada</t>
        </is>
      </c>
      <c r="H150" s="7" t="inlineStr">
        <is>
          <t>Não</t>
        </is>
      </c>
      <c r="I150" s="7" t="inlineStr">
        <is>
          <t>Doloso</t>
        </is>
      </c>
      <c r="J150" s="7" t="inlineStr">
        <is>
          <t>Sim</t>
        </is>
      </c>
      <c r="K150" s="16" t="inlineStr">
        <is>
          <t>Parágrafo único: +1/3 se obtém vantagem = 3m-2a + multa</t>
        </is>
      </c>
      <c r="L150" s="16" t="inlineStr"/>
      <c r="M150" s="7" t="inlineStr">
        <is>
          <t>Sim</t>
        </is>
      </c>
      <c r="N150" s="7" t="inlineStr">
        <is>
          <t>Sim</t>
        </is>
      </c>
    </row>
    <row r="151">
      <c r="A151" s="7" t="inlineStr">
        <is>
          <t>CP</t>
        </is>
      </c>
      <c r="B151" s="7" t="inlineStr">
        <is>
          <t>Art. 329</t>
        </is>
      </c>
      <c r="C151" s="16" t="inlineStr">
        <is>
          <t>Resistência</t>
        </is>
      </c>
      <c r="D151" s="7" t="n">
        <v>2</v>
      </c>
      <c r="E151" s="7" t="n">
        <v>24</v>
      </c>
      <c r="F151" s="7" t="inlineStr">
        <is>
          <t>Detenção</t>
        </is>
      </c>
      <c r="G151" s="7" t="inlineStr">
        <is>
          <t>Pública Incondicionada</t>
        </is>
      </c>
      <c r="H151" s="7" t="inlineStr">
        <is>
          <t>Não</t>
        </is>
      </c>
      <c r="I151" s="7" t="inlineStr">
        <is>
          <t>Doloso</t>
        </is>
      </c>
      <c r="J151" s="7" t="inlineStr">
        <is>
          <t>Sim</t>
        </is>
      </c>
      <c r="K151" s="16" t="inlineStr">
        <is>
          <t>§1º: +1/3 a +1/2 se funcionário fica lesionado. §2º: cumuladas as penas de lesão corporal</t>
        </is>
      </c>
      <c r="L151" s="16" t="inlineStr">
        <is>
          <t>Opor-se à execução de ato legal, mediante violência/ameaça</t>
        </is>
      </c>
      <c r="M151" s="7" t="inlineStr">
        <is>
          <t>Sim</t>
        </is>
      </c>
      <c r="N151" s="7" t="inlineStr">
        <is>
          <t>Sim</t>
        </is>
      </c>
    </row>
    <row r="152">
      <c r="A152" s="7" t="inlineStr">
        <is>
          <t>CP</t>
        </is>
      </c>
      <c r="B152" s="7" t="inlineStr">
        <is>
          <t>Art. 330</t>
        </is>
      </c>
      <c r="C152" s="16" t="inlineStr">
        <is>
          <t>Desobediência</t>
        </is>
      </c>
      <c r="D152" s="7" t="n">
        <v>15</v>
      </c>
      <c r="E152" s="7" t="n">
        <v>6</v>
      </c>
      <c r="F152" s="7" t="inlineStr">
        <is>
          <t>Detenção</t>
        </is>
      </c>
      <c r="G152" s="7" t="inlineStr">
        <is>
          <t>Pública Incondicionada</t>
        </is>
      </c>
      <c r="H152" s="7" t="inlineStr">
        <is>
          <t>Não</t>
        </is>
      </c>
      <c r="I152" s="7" t="inlineStr">
        <is>
          <t>Doloso</t>
        </is>
      </c>
      <c r="J152" s="7" t="inlineStr">
        <is>
          <t>Controverso</t>
        </is>
      </c>
      <c r="K152" s="16" t="inlineStr">
        <is>
          <t>—</t>
        </is>
      </c>
      <c r="L152" s="16" t="inlineStr">
        <is>
          <t>15 dias a 6 meses. Desobedecer ordem legal de funcionário público</t>
        </is>
      </c>
      <c r="M152" s="7" t="inlineStr">
        <is>
          <t>Sim</t>
        </is>
      </c>
      <c r="N152" s="7" t="inlineStr">
        <is>
          <t>Não</t>
        </is>
      </c>
    </row>
    <row r="153">
      <c r="A153" s="7" t="inlineStr">
        <is>
          <t>CP</t>
        </is>
      </c>
      <c r="B153" s="7" t="inlineStr">
        <is>
          <t>Art. 331</t>
        </is>
      </c>
      <c r="C153" s="16" t="inlineStr">
        <is>
          <t>Desacato</t>
        </is>
      </c>
      <c r="D153" s="7" t="n">
        <v>6</v>
      </c>
      <c r="E153" s="7" t="n">
        <v>24</v>
      </c>
      <c r="F153" s="7" t="inlineStr">
        <is>
          <t>Detenção</t>
        </is>
      </c>
      <c r="G153" s="7" t="inlineStr">
        <is>
          <t>Pública Incondicionada</t>
        </is>
      </c>
      <c r="H153" s="7" t="inlineStr">
        <is>
          <t>Não</t>
        </is>
      </c>
      <c r="I153" s="7" t="inlineStr">
        <is>
          <t>Doloso</t>
        </is>
      </c>
      <c r="J153" s="7" t="inlineStr">
        <is>
          <t>Controverso</t>
        </is>
      </c>
      <c r="K153" s="16" t="inlineStr">
        <is>
          <t>—</t>
        </is>
      </c>
      <c r="L153" s="16" t="inlineStr">
        <is>
          <t>Constitucionalidade mantida pelo STJ (HC 379.269). Desacatar funcionário público no exercício da função</t>
        </is>
      </c>
      <c r="M153" s="7" t="inlineStr">
        <is>
          <t>Sim</t>
        </is>
      </c>
      <c r="N153" s="7" t="inlineStr">
        <is>
          <t>Sim</t>
        </is>
      </c>
    </row>
    <row r="154">
      <c r="A154" s="7" t="inlineStr">
        <is>
          <t>CP</t>
        </is>
      </c>
      <c r="B154" s="7" t="inlineStr">
        <is>
          <t>Art. 332</t>
        </is>
      </c>
      <c r="C154" s="16" t="inlineStr">
        <is>
          <t>Tráfico de influência</t>
        </is>
      </c>
      <c r="D154" s="7" t="n">
        <v>24</v>
      </c>
      <c r="E154" s="7" t="n">
        <v>60</v>
      </c>
      <c r="F154" s="7" t="inlineStr">
        <is>
          <t>Reclusão</t>
        </is>
      </c>
      <c r="G154" s="7" t="inlineStr">
        <is>
          <t>Pública Incondicionada</t>
        </is>
      </c>
      <c r="H154" s="7" t="inlineStr">
        <is>
          <t>Não</t>
        </is>
      </c>
      <c r="I154" s="7" t="inlineStr">
        <is>
          <t>Doloso</t>
        </is>
      </c>
      <c r="J154" s="7" t="inlineStr">
        <is>
          <t>Sim</t>
        </is>
      </c>
      <c r="K154" s="16" t="inlineStr">
        <is>
          <t>+1/2 se pretexto de influir em ato de magistrado, membro MP, jurado, perito</t>
        </is>
      </c>
      <c r="L154" s="16" t="inlineStr">
        <is>
          <t>Solicitar/exigir/cobrar vantagem a pretexto de influir em funcionário público</t>
        </is>
      </c>
      <c r="M154" s="7" t="inlineStr">
        <is>
          <t>Sim</t>
        </is>
      </c>
      <c r="N154" s="7" t="inlineStr">
        <is>
          <t>Não</t>
        </is>
      </c>
    </row>
    <row r="155">
      <c r="A155" s="7" t="inlineStr">
        <is>
          <t>CP</t>
        </is>
      </c>
      <c r="B155" s="7" t="inlineStr">
        <is>
          <t>Art. 333</t>
        </is>
      </c>
      <c r="C155" s="16" t="inlineStr">
        <is>
          <t>Corrupção ativa</t>
        </is>
      </c>
      <c r="D155" s="7" t="n">
        <v>24</v>
      </c>
      <c r="E155" s="7" t="n">
        <v>144</v>
      </c>
      <c r="F155" s="7" t="inlineStr">
        <is>
          <t>Reclusão</t>
        </is>
      </c>
      <c r="G155" s="7" t="inlineStr">
        <is>
          <t>Pública Incondicionada</t>
        </is>
      </c>
      <c r="H155" s="7" t="inlineStr">
        <is>
          <t>Não</t>
        </is>
      </c>
      <c r="I155" s="7" t="inlineStr">
        <is>
          <t>Doloso</t>
        </is>
      </c>
      <c r="J155" s="7" t="inlineStr">
        <is>
          <t>Sim</t>
        </is>
      </c>
      <c r="K155" s="16" t="inlineStr">
        <is>
          <t>Parágrafo único: +1/3 se funcionário retarda/omite/pratica ato infringindo dever funcional</t>
        </is>
      </c>
      <c r="L155" s="16" t="inlineStr">
        <is>
          <t>Oferecer/prometer vantagem indevida a funcionário público</t>
        </is>
      </c>
      <c r="M155" s="7" t="inlineStr">
        <is>
          <t>Sim</t>
        </is>
      </c>
      <c r="N155" s="7" t="inlineStr">
        <is>
          <t>Não</t>
        </is>
      </c>
    </row>
    <row r="156">
      <c r="A156" s="7" t="inlineStr">
        <is>
          <t>CP</t>
        </is>
      </c>
      <c r="B156" s="7" t="inlineStr">
        <is>
          <t>Art. 334</t>
        </is>
      </c>
      <c r="C156" s="16" t="inlineStr">
        <is>
          <t>Contrabando</t>
        </is>
      </c>
      <c r="D156" s="7" t="n">
        <v>24</v>
      </c>
      <c r="E156" s="7" t="n">
        <v>60</v>
      </c>
      <c r="F156" s="7" t="inlineStr">
        <is>
          <t>Reclusão</t>
        </is>
      </c>
      <c r="G156" s="7" t="inlineStr">
        <is>
          <t>Pública Incondicionada</t>
        </is>
      </c>
      <c r="H156" s="7" t="inlineStr">
        <is>
          <t>Não</t>
        </is>
      </c>
      <c r="I156" s="7" t="inlineStr">
        <is>
          <t>Doloso</t>
        </is>
      </c>
      <c r="J156" s="7" t="inlineStr">
        <is>
          <t>Sim</t>
        </is>
      </c>
      <c r="K156" s="16" t="inlineStr">
        <is>
          <t>§3º: +1/3 se transporte aéreo/marítimo/fluvial</t>
        </is>
      </c>
      <c r="L156" s="16" t="inlineStr">
        <is>
          <t>Importar/exportar mercadoria PROIBIDA. Competência: Justiça Federal</t>
        </is>
      </c>
      <c r="M156" s="7" t="inlineStr">
        <is>
          <t>Sim</t>
        </is>
      </c>
      <c r="N156" s="7" t="inlineStr">
        <is>
          <t>Não</t>
        </is>
      </c>
    </row>
    <row r="157">
      <c r="A157" s="7" t="inlineStr">
        <is>
          <t>CP</t>
        </is>
      </c>
      <c r="B157" s="7" t="inlineStr">
        <is>
          <t>Art. 334-A</t>
        </is>
      </c>
      <c r="C157" s="16" t="inlineStr">
        <is>
          <t>Descaminho</t>
        </is>
      </c>
      <c r="D157" s="7" t="n">
        <v>12</v>
      </c>
      <c r="E157" s="7" t="n">
        <v>48</v>
      </c>
      <c r="F157" s="7" t="inlineStr">
        <is>
          <t>Reclusão</t>
        </is>
      </c>
      <c r="G157" s="7" t="inlineStr">
        <is>
          <t>Pública Incondicionada</t>
        </is>
      </c>
      <c r="H157" s="7" t="inlineStr">
        <is>
          <t>Não</t>
        </is>
      </c>
      <c r="I157" s="7" t="inlineStr">
        <is>
          <t>Doloso</t>
        </is>
      </c>
      <c r="J157" s="7" t="inlineStr">
        <is>
          <t>Sim</t>
        </is>
      </c>
      <c r="K157" s="16" t="inlineStr">
        <is>
          <t>§3º: +1/3 se transporte aéreo/marítimo/fluvial</t>
        </is>
      </c>
      <c r="L157" s="16" t="inlineStr">
        <is>
          <t>Iludir tributo na importação/exportação. Insignificância: R$ 20.000 (STF/STJ)</t>
        </is>
      </c>
      <c r="M157" s="7" t="inlineStr">
        <is>
          <t>Sim</t>
        </is>
      </c>
      <c r="N157" s="7" t="inlineStr">
        <is>
          <t>Sim</t>
        </is>
      </c>
    </row>
    <row r="158">
      <c r="A158" s="7" t="inlineStr">
        <is>
          <t>CP</t>
        </is>
      </c>
      <c r="B158" s="7" t="inlineStr">
        <is>
          <t>Art. 337-A</t>
        </is>
      </c>
      <c r="C158" s="16" t="inlineStr">
        <is>
          <t>Sonegação de contribuição previdenciária</t>
        </is>
      </c>
      <c r="D158" s="7" t="n">
        <v>24</v>
      </c>
      <c r="E158" s="7" t="n">
        <v>60</v>
      </c>
      <c r="F158" s="7" t="inlineStr">
        <is>
          <t>Reclusão</t>
        </is>
      </c>
      <c r="G158" s="7" t="inlineStr">
        <is>
          <t>Pública Incondicionada</t>
        </is>
      </c>
      <c r="H158" s="7" t="inlineStr">
        <is>
          <t>Não</t>
        </is>
      </c>
      <c r="I158" s="7" t="inlineStr">
        <is>
          <t>Doloso</t>
        </is>
      </c>
      <c r="J158" s="7" t="inlineStr">
        <is>
          <t>Sim</t>
        </is>
      </c>
      <c r="K158" s="16" t="inlineStr">
        <is>
          <t>§2º: extinção da punibilidade se pagar antes da ação fiscal. §3º: perdão/multa se primário + valor pequeno</t>
        </is>
      </c>
      <c r="L158" s="16" t="inlineStr">
        <is>
          <t>Suprimir ou reduzir contribuição previdenciária</t>
        </is>
      </c>
      <c r="M158" s="7" t="inlineStr">
        <is>
          <t>Sim</t>
        </is>
      </c>
      <c r="N158" s="7" t="inlineStr">
        <is>
          <t>Não</t>
        </is>
      </c>
    </row>
    <row r="159">
      <c r="A159" s="7" t="inlineStr">
        <is>
          <t>CP</t>
        </is>
      </c>
      <c r="B159" s="7" t="inlineStr">
        <is>
          <t>Art. 339</t>
        </is>
      </c>
      <c r="C159" s="16" t="inlineStr">
        <is>
          <t>Denunciação caluniosa</t>
        </is>
      </c>
      <c r="D159" s="7" t="n">
        <v>24</v>
      </c>
      <c r="E159" s="7" t="n">
        <v>96</v>
      </c>
      <c r="F159" s="7" t="inlineStr">
        <is>
          <t>Reclusão</t>
        </is>
      </c>
      <c r="G159" s="7" t="inlineStr">
        <is>
          <t>Pública Incondicionada</t>
        </is>
      </c>
      <c r="H159" s="7" t="inlineStr">
        <is>
          <t>Não</t>
        </is>
      </c>
      <c r="I159" s="7" t="inlineStr">
        <is>
          <t>Doloso</t>
        </is>
      </c>
      <c r="J159" s="7" t="inlineStr">
        <is>
          <t>Sim</t>
        </is>
      </c>
      <c r="K159" s="16" t="inlineStr">
        <is>
          <t>§1º: +1/6 se uso de anonimato ou nome suposto. §2º: +dobra se crime contra inocente</t>
        </is>
      </c>
      <c r="L159" s="16" t="inlineStr">
        <is>
          <t>Imputar falsamente crime a pessoa sabidamente inocente</t>
        </is>
      </c>
      <c r="M159" s="7" t="inlineStr">
        <is>
          <t>Sim</t>
        </is>
      </c>
      <c r="N159" s="7" t="inlineStr">
        <is>
          <t>Não</t>
        </is>
      </c>
    </row>
    <row r="160">
      <c r="A160" s="7" t="inlineStr">
        <is>
          <t>CP</t>
        </is>
      </c>
      <c r="B160" s="7" t="inlineStr">
        <is>
          <t>Art. 340</t>
        </is>
      </c>
      <c r="C160" s="16" t="inlineStr">
        <is>
          <t>Comunicação falsa de crime ou contravenção</t>
        </is>
      </c>
      <c r="D160" s="7" t="n">
        <v>1</v>
      </c>
      <c r="E160" s="7" t="n">
        <v>6</v>
      </c>
      <c r="F160" s="7" t="inlineStr">
        <is>
          <t>Detenção</t>
        </is>
      </c>
      <c r="G160" s="7" t="inlineStr">
        <is>
          <t>Pública Incondicionada</t>
        </is>
      </c>
      <c r="H160" s="7" t="inlineStr">
        <is>
          <t>Não</t>
        </is>
      </c>
      <c r="I160" s="7" t="inlineStr">
        <is>
          <t>Doloso</t>
        </is>
      </c>
      <c r="J160" s="7" t="inlineStr">
        <is>
          <t>Controverso</t>
        </is>
      </c>
      <c r="K160" s="16" t="inlineStr">
        <is>
          <t>—</t>
        </is>
      </c>
      <c r="L160" s="16" t="inlineStr">
        <is>
          <t>Provocar ação de autoridade sabendo que crime não existiu</t>
        </is>
      </c>
      <c r="M160" s="7" t="inlineStr">
        <is>
          <t>Sim</t>
        </is>
      </c>
      <c r="N160" s="7" t="inlineStr">
        <is>
          <t>Sim</t>
        </is>
      </c>
    </row>
    <row r="161">
      <c r="A161" s="7" t="inlineStr">
        <is>
          <t>CP</t>
        </is>
      </c>
      <c r="B161" s="7" t="inlineStr">
        <is>
          <t>Art. 341</t>
        </is>
      </c>
      <c r="C161" s="16" t="inlineStr">
        <is>
          <t>Autoacusação falsa</t>
        </is>
      </c>
      <c r="D161" s="7" t="n">
        <v>3</v>
      </c>
      <c r="E161" s="7" t="n">
        <v>24</v>
      </c>
      <c r="F161" s="7" t="inlineStr">
        <is>
          <t>Detenção</t>
        </is>
      </c>
      <c r="G161" s="7" t="inlineStr">
        <is>
          <t>Pública Incondicionada</t>
        </is>
      </c>
      <c r="H161" s="7" t="inlineStr">
        <is>
          <t>Não</t>
        </is>
      </c>
      <c r="I161" s="7" t="inlineStr">
        <is>
          <t>Doloso</t>
        </is>
      </c>
      <c r="J161" s="7" t="inlineStr">
        <is>
          <t>Controverso</t>
        </is>
      </c>
      <c r="K161" s="16" t="inlineStr">
        <is>
          <t>—</t>
        </is>
      </c>
      <c r="L161" s="16" t="inlineStr">
        <is>
          <t>Acusar-se perante autoridade de crime inexistente ou praticado por outrem</t>
        </is>
      </c>
      <c r="M161" s="7" t="inlineStr">
        <is>
          <t>Sim</t>
        </is>
      </c>
      <c r="N161" s="7" t="inlineStr">
        <is>
          <t>Sim</t>
        </is>
      </c>
    </row>
    <row r="162">
      <c r="A162" s="7" t="inlineStr">
        <is>
          <t>CP</t>
        </is>
      </c>
      <c r="B162" s="7" t="inlineStr">
        <is>
          <t>Art. 342</t>
        </is>
      </c>
      <c r="C162" s="16" t="inlineStr">
        <is>
          <t>Falso testemunho ou falsa perícia</t>
        </is>
      </c>
      <c r="D162" s="7" t="n">
        <v>24</v>
      </c>
      <c r="E162" s="7" t="n">
        <v>48</v>
      </c>
      <c r="F162" s="7" t="inlineStr">
        <is>
          <t>Reclusão</t>
        </is>
      </c>
      <c r="G162" s="7" t="inlineStr">
        <is>
          <t>Pública Incondicionada</t>
        </is>
      </c>
      <c r="H162" s="7" t="inlineStr">
        <is>
          <t>Não</t>
        </is>
      </c>
      <c r="I162" s="7" t="inlineStr">
        <is>
          <t>Doloso</t>
        </is>
      </c>
      <c r="J162" s="7" t="inlineStr">
        <is>
          <t>Controverso</t>
        </is>
      </c>
      <c r="K162" s="16" t="inlineStr">
        <is>
          <t>§1º: +1/6 a +1/3 se suborno. §2º: retratação antes da sentença extingue punibilidade</t>
        </is>
      </c>
      <c r="L162" s="16" t="inlineStr">
        <is>
          <t>Fazer afirmação falsa/negar/calar verdade em juízo</t>
        </is>
      </c>
      <c r="M162" s="7" t="inlineStr">
        <is>
          <t>Sim</t>
        </is>
      </c>
      <c r="N162" s="7" t="inlineStr">
        <is>
          <t>Não</t>
        </is>
      </c>
    </row>
    <row r="163">
      <c r="A163" s="7" t="inlineStr">
        <is>
          <t>CP</t>
        </is>
      </c>
      <c r="B163" s="7" t="inlineStr">
        <is>
          <t>Art. 343</t>
        </is>
      </c>
      <c r="C163" s="16" t="inlineStr">
        <is>
          <t>Corrupção ativa de testemunha, perito, tradutor ou intérprete</t>
        </is>
      </c>
      <c r="D163" s="7" t="n">
        <v>36</v>
      </c>
      <c r="E163" s="7" t="n">
        <v>48</v>
      </c>
      <c r="F163" s="7" t="inlineStr">
        <is>
          <t>Reclusão</t>
        </is>
      </c>
      <c r="G163" s="7" t="inlineStr">
        <is>
          <t>Pública Incondicionada</t>
        </is>
      </c>
      <c r="H163" s="7" t="inlineStr">
        <is>
          <t>Não</t>
        </is>
      </c>
      <c r="I163" s="7" t="inlineStr">
        <is>
          <t>Doloso</t>
        </is>
      </c>
      <c r="J163" s="7" t="inlineStr">
        <is>
          <t>Sim</t>
        </is>
      </c>
      <c r="K163" s="16" t="inlineStr">
        <is>
          <t>+1/2 se processo penal</t>
        </is>
      </c>
      <c r="L163" s="16" t="inlineStr">
        <is>
          <t>Oferecer vantagem para falso testemunho/perícia</t>
        </is>
      </c>
      <c r="M163" s="7" t="inlineStr">
        <is>
          <t>Sim</t>
        </is>
      </c>
      <c r="N163" s="7" t="inlineStr">
        <is>
          <t>Não</t>
        </is>
      </c>
    </row>
    <row r="164">
      <c r="A164" s="7" t="inlineStr">
        <is>
          <t>CP</t>
        </is>
      </c>
      <c r="B164" s="7" t="inlineStr">
        <is>
          <t>Art. 344</t>
        </is>
      </c>
      <c r="C164" s="16" t="inlineStr">
        <is>
          <t>Coação no curso do processo</t>
        </is>
      </c>
      <c r="D164" s="7" t="n">
        <v>12</v>
      </c>
      <c r="E164" s="7" t="n">
        <v>48</v>
      </c>
      <c r="F164" s="7" t="inlineStr">
        <is>
          <t>Reclusão</t>
        </is>
      </c>
      <c r="G164" s="7" t="inlineStr">
        <is>
          <t>Pública Incondicionada</t>
        </is>
      </c>
      <c r="H164" s="7" t="inlineStr">
        <is>
          <t>Não</t>
        </is>
      </c>
      <c r="I164" s="7" t="inlineStr">
        <is>
          <t>Doloso</t>
        </is>
      </c>
      <c r="J164" s="7" t="inlineStr">
        <is>
          <t>Sim</t>
        </is>
      </c>
      <c r="K164" s="16" t="inlineStr">
        <is>
          <t>—</t>
        </is>
      </c>
      <c r="L164" s="16" t="inlineStr">
        <is>
          <t>Usar violência/grave ameaça com fim de favorecer interesse próprio ou alheio no processo</t>
        </is>
      </c>
      <c r="M164" s="7" t="inlineStr">
        <is>
          <t>Sim</t>
        </is>
      </c>
      <c r="N164" s="7" t="inlineStr">
        <is>
          <t>Sim</t>
        </is>
      </c>
    </row>
    <row r="165">
      <c r="A165" s="7" t="inlineStr">
        <is>
          <t>CP</t>
        </is>
      </c>
      <c r="B165" s="7" t="inlineStr">
        <is>
          <t>Art. 345</t>
        </is>
      </c>
      <c r="C165" s="16" t="inlineStr">
        <is>
          <t>Exercício arbitrário das próprias razões</t>
        </is>
      </c>
      <c r="D165" s="7" t="n">
        <v>15</v>
      </c>
      <c r="E165" s="7" t="n">
        <v>12</v>
      </c>
      <c r="F165" s="7" t="inlineStr">
        <is>
          <t>Detenção</t>
        </is>
      </c>
      <c r="G165" s="7" t="inlineStr">
        <is>
          <t>Privada</t>
        </is>
      </c>
      <c r="H165" s="7" t="inlineStr">
        <is>
          <t>Não</t>
        </is>
      </c>
      <c r="I165" s="7" t="inlineStr">
        <is>
          <t>Doloso</t>
        </is>
      </c>
      <c r="J165" s="7" t="inlineStr">
        <is>
          <t>Sim</t>
        </is>
      </c>
      <c r="K165" s="16" t="inlineStr">
        <is>
          <t>—</t>
        </is>
      </c>
      <c r="L165" s="16" t="inlineStr">
        <is>
          <t>15 dias a 1 mês (caput). Fazer justiça com as próprias mãos. Parágrafo único: se violência = incondicionada</t>
        </is>
      </c>
      <c r="M165" s="7" t="inlineStr">
        <is>
          <t>Sim</t>
        </is>
      </c>
      <c r="N165" s="7" t="inlineStr">
        <is>
          <t>Não</t>
        </is>
      </c>
    </row>
    <row r="166">
      <c r="A166" s="7" t="inlineStr">
        <is>
          <t>CP</t>
        </is>
      </c>
      <c r="B166" s="7" t="inlineStr">
        <is>
          <t>Art. 347</t>
        </is>
      </c>
      <c r="C166" s="16" t="inlineStr">
        <is>
          <t>Fraude processual</t>
        </is>
      </c>
      <c r="D166" s="7" t="n">
        <v>3</v>
      </c>
      <c r="E166" s="7" t="n">
        <v>24</v>
      </c>
      <c r="F166" s="7" t="inlineStr">
        <is>
          <t>Detenção</t>
        </is>
      </c>
      <c r="G166" s="7" t="inlineStr">
        <is>
          <t>Pública Incondicionada</t>
        </is>
      </c>
      <c r="H166" s="7" t="inlineStr">
        <is>
          <t>Não</t>
        </is>
      </c>
      <c r="I166" s="7" t="inlineStr">
        <is>
          <t>Doloso</t>
        </is>
      </c>
      <c r="J166" s="7" t="inlineStr">
        <is>
          <t>Sim</t>
        </is>
      </c>
      <c r="K166" s="16" t="inlineStr">
        <is>
          <t>Parágrafo único: +1/3 se processo penal</t>
        </is>
      </c>
      <c r="L166" s="16" t="inlineStr">
        <is>
          <t>Inovar artificiosamente estado de lugar/coisa/pessoa para induzir em erro juiz/perito</t>
        </is>
      </c>
      <c r="M166" s="7" t="inlineStr">
        <is>
          <t>Sim</t>
        </is>
      </c>
      <c r="N166" s="7" t="inlineStr">
        <is>
          <t>Sim</t>
        </is>
      </c>
    </row>
    <row r="167">
      <c r="A167" s="7" t="inlineStr">
        <is>
          <t>CP</t>
        </is>
      </c>
      <c r="B167" s="7" t="inlineStr">
        <is>
          <t>Art. 348</t>
        </is>
      </c>
      <c r="C167" s="16" t="inlineStr">
        <is>
          <t>Favorecimento pessoal</t>
        </is>
      </c>
      <c r="D167" s="7" t="n">
        <v>1</v>
      </c>
      <c r="E167" s="7" t="n">
        <v>6</v>
      </c>
      <c r="F167" s="7" t="inlineStr">
        <is>
          <t>Detenção</t>
        </is>
      </c>
      <c r="G167" s="7" t="inlineStr">
        <is>
          <t>Pública Incondicionada</t>
        </is>
      </c>
      <c r="H167" s="7" t="inlineStr">
        <is>
          <t>Não</t>
        </is>
      </c>
      <c r="I167" s="7" t="inlineStr">
        <is>
          <t>Doloso</t>
        </is>
      </c>
      <c r="J167" s="7" t="inlineStr">
        <is>
          <t>Sim</t>
        </is>
      </c>
      <c r="K167" s="16" t="inlineStr">
        <is>
          <t>§1º: +1/3 se beneficiado é autor de hediondo</t>
        </is>
      </c>
      <c r="L167" s="16" t="inlineStr">
        <is>
          <t>Auxiliar a subtrair-se à ação de autoridade. §2º: isenção se ascendente/descendente/cônjuge/irmão</t>
        </is>
      </c>
      <c r="M167" s="7" t="inlineStr">
        <is>
          <t>Sim</t>
        </is>
      </c>
      <c r="N167" s="7" t="inlineStr">
        <is>
          <t>Sim</t>
        </is>
      </c>
    </row>
    <row r="168">
      <c r="A168" s="7" t="inlineStr">
        <is>
          <t>CP</t>
        </is>
      </c>
      <c r="B168" s="7" t="inlineStr">
        <is>
          <t>Art. 349</t>
        </is>
      </c>
      <c r="C168" s="16" t="inlineStr">
        <is>
          <t>Favorecimento real</t>
        </is>
      </c>
      <c r="D168" s="7" t="n">
        <v>1</v>
      </c>
      <c r="E168" s="7" t="n">
        <v>6</v>
      </c>
      <c r="F168" s="7" t="inlineStr">
        <is>
          <t>Detenção</t>
        </is>
      </c>
      <c r="G168" s="7" t="inlineStr">
        <is>
          <t>Pública Incondicionada</t>
        </is>
      </c>
      <c r="H168" s="7" t="inlineStr">
        <is>
          <t>Não</t>
        </is>
      </c>
      <c r="I168" s="7" t="inlineStr">
        <is>
          <t>Doloso</t>
        </is>
      </c>
      <c r="J168" s="7" t="inlineStr">
        <is>
          <t>Sim</t>
        </is>
      </c>
      <c r="K168" s="16" t="inlineStr">
        <is>
          <t>—</t>
        </is>
      </c>
      <c r="L168" s="16" t="inlineStr">
        <is>
          <t>Prestar auxílio a assegurar o proveito do crime. 1-6 meses</t>
        </is>
      </c>
      <c r="M168" s="7" t="inlineStr">
        <is>
          <t>Sim</t>
        </is>
      </c>
      <c r="N168" s="7" t="inlineStr">
        <is>
          <t>Sim</t>
        </is>
      </c>
    </row>
    <row r="169">
      <c r="A169" s="7" t="inlineStr">
        <is>
          <t>CP</t>
        </is>
      </c>
      <c r="B169" s="7" t="inlineStr">
        <is>
          <t>Art. 349-A</t>
        </is>
      </c>
      <c r="C169" s="16" t="inlineStr">
        <is>
          <t>Ingresso de aparelho de comunicação em presídio</t>
        </is>
      </c>
      <c r="D169" s="7" t="n">
        <v>36</v>
      </c>
      <c r="E169" s="7" t="n">
        <v>72</v>
      </c>
      <c r="F169" s="7" t="inlineStr">
        <is>
          <t>Detenção</t>
        </is>
      </c>
      <c r="G169" s="7" t="inlineStr">
        <is>
          <t>Pública Incondicionada</t>
        </is>
      </c>
      <c r="H169" s="7" t="inlineStr">
        <is>
          <t>Não</t>
        </is>
      </c>
      <c r="I169" s="7" t="inlineStr">
        <is>
          <t>Doloso</t>
        </is>
      </c>
      <c r="J169" s="7" t="inlineStr">
        <is>
          <t>Sim</t>
        </is>
      </c>
      <c r="K169" s="16" t="inlineStr">
        <is>
          <t>—</t>
        </is>
      </c>
      <c r="L169" s="16" t="inlineStr">
        <is>
          <t>Ingressar com celular/similares em presídio</t>
        </is>
      </c>
      <c r="M169" s="7" t="inlineStr">
        <is>
          <t>Sim</t>
        </is>
      </c>
      <c r="N169" s="7" t="inlineStr">
        <is>
          <t>Não</t>
        </is>
      </c>
    </row>
    <row r="170">
      <c r="A170" s="19" t="inlineStr">
        <is>
          <t>CP</t>
        </is>
      </c>
      <c r="B170" s="19" t="inlineStr">
        <is>
          <t>Art. 350</t>
        </is>
      </c>
      <c r="C170" s="20" t="inlineStr">
        <is>
          <t>Exercício arbitrário ou abuso de poder (revogado — ver Lei 13.869/2019)</t>
        </is>
      </c>
      <c r="D170" s="19" t="inlineStr">
        <is>
          <t>—</t>
        </is>
      </c>
      <c r="E170" s="19" t="inlineStr">
        <is>
          <t>—</t>
        </is>
      </c>
      <c r="F170" s="19" t="inlineStr">
        <is>
          <t>—</t>
        </is>
      </c>
      <c r="G170" s="19" t="inlineStr">
        <is>
          <t>—</t>
        </is>
      </c>
      <c r="H170" s="19" t="inlineStr">
        <is>
          <t>—</t>
        </is>
      </c>
      <c r="I170" s="19" t="inlineStr">
        <is>
          <t>—</t>
        </is>
      </c>
      <c r="J170" s="19" t="inlineStr">
        <is>
          <t>—</t>
        </is>
      </c>
      <c r="K170" s="20" t="inlineStr">
        <is>
          <t>—</t>
        </is>
      </c>
      <c r="L170" s="20" t="inlineStr">
        <is>
          <t>Revogado pela Lei de Abuso de Autoridade (13.869/2019)</t>
        </is>
      </c>
      <c r="M170" s="19" t="inlineStr">
        <is>
          <t>—</t>
        </is>
      </c>
      <c r="N170" s="19" t="inlineStr">
        <is>
          <t>—</t>
        </is>
      </c>
    </row>
    <row r="171">
      <c r="A171" s="7" t="inlineStr">
        <is>
          <t>CP</t>
        </is>
      </c>
      <c r="B171" s="7" t="inlineStr">
        <is>
          <t>Art. 351</t>
        </is>
      </c>
      <c r="C171" s="16" t="inlineStr">
        <is>
          <t>Fuga de pessoa presa ou submetida a medida de segurança</t>
        </is>
      </c>
      <c r="D171" s="7" t="n">
        <v>24</v>
      </c>
      <c r="E171" s="7" t="n">
        <v>96</v>
      </c>
      <c r="F171" s="7" t="inlineStr">
        <is>
          <t>Detenção</t>
        </is>
      </c>
      <c r="G171" s="7" t="inlineStr">
        <is>
          <t>Pública Incondicionada</t>
        </is>
      </c>
      <c r="H171" s="7" t="inlineStr">
        <is>
          <t>Não</t>
        </is>
      </c>
      <c r="I171" s="7" t="inlineStr">
        <is>
          <t>Doloso</t>
        </is>
      </c>
      <c r="J171" s="7" t="inlineStr">
        <is>
          <t>Sim</t>
        </is>
      </c>
      <c r="K171" s="16" t="inlineStr">
        <is>
          <t>§1º: +1/3 se violência/suborno. §3º: +1/3 se funcionário público. §4º: culposo = 3m-1a</t>
        </is>
      </c>
      <c r="L171" s="16" t="inlineStr">
        <is>
          <t>Promover/facilitar fuga. O preso que foge não comete este crime (autodefesa)</t>
        </is>
      </c>
      <c r="M171" s="7" t="inlineStr">
        <is>
          <t>Sim</t>
        </is>
      </c>
      <c r="N171" s="7" t="inlineStr">
        <is>
          <t>Não</t>
        </is>
      </c>
    </row>
    <row r="172">
      <c r="A172" s="7" t="inlineStr">
        <is>
          <t>CP</t>
        </is>
      </c>
      <c r="B172" s="7" t="inlineStr">
        <is>
          <t>Art. 352</t>
        </is>
      </c>
      <c r="C172" s="16" t="inlineStr">
        <is>
          <t>Evasão mediante violência contra a pessoa</t>
        </is>
      </c>
      <c r="D172" s="7" t="n">
        <v>36</v>
      </c>
      <c r="E172" s="7" t="n">
        <v>12</v>
      </c>
      <c r="F172" s="7" t="inlineStr">
        <is>
          <t>Detenção</t>
        </is>
      </c>
      <c r="G172" s="7" t="inlineStr">
        <is>
          <t>Pública Incondicionada</t>
        </is>
      </c>
      <c r="H172" s="7" t="inlineStr">
        <is>
          <t>Não</t>
        </is>
      </c>
      <c r="I172" s="7" t="inlineStr">
        <is>
          <t>Doloso</t>
        </is>
      </c>
      <c r="J172" s="7" t="inlineStr">
        <is>
          <t>Sim</t>
        </is>
      </c>
      <c r="K172" s="16" t="inlineStr">
        <is>
          <t>—</t>
        </is>
      </c>
      <c r="L172" s="16" t="inlineStr">
        <is>
          <t>3 meses a 1 ano. Preso que usa violência para evadir-se</t>
        </is>
      </c>
      <c r="M172" s="7" t="inlineStr">
        <is>
          <t>Verificar</t>
        </is>
      </c>
      <c r="N172" s="7" t="inlineStr">
        <is>
          <t>Não</t>
        </is>
      </c>
    </row>
    <row r="173">
      <c r="A173" s="7" t="inlineStr">
        <is>
          <t>CP</t>
        </is>
      </c>
      <c r="B173" s="7" t="inlineStr">
        <is>
          <t>Art. 354</t>
        </is>
      </c>
      <c r="C173" s="16" t="inlineStr">
        <is>
          <t>Motim de presos</t>
        </is>
      </c>
      <c r="D173" s="7" t="n">
        <v>6</v>
      </c>
      <c r="E173" s="7" t="n">
        <v>24</v>
      </c>
      <c r="F173" s="7" t="inlineStr">
        <is>
          <t>Detenção</t>
        </is>
      </c>
      <c r="G173" s="7" t="inlineStr">
        <is>
          <t>Pública Incondicionada</t>
        </is>
      </c>
      <c r="H173" s="7" t="inlineStr">
        <is>
          <t>Não</t>
        </is>
      </c>
      <c r="I173" s="7" t="inlineStr">
        <is>
          <t>Doloso</t>
        </is>
      </c>
      <c r="J173" s="7" t="inlineStr">
        <is>
          <t>Sim</t>
        </is>
      </c>
      <c r="K173" s="16" t="inlineStr">
        <is>
          <t>+1/3 se arma</t>
        </is>
      </c>
      <c r="L173" s="16" t="inlineStr"/>
      <c r="M173" s="7" t="inlineStr">
        <is>
          <t>Sim</t>
        </is>
      </c>
      <c r="N173" s="7" t="inlineStr">
        <is>
          <t>Sim</t>
        </is>
      </c>
    </row>
    <row r="174">
      <c r="A174" s="7" t="inlineStr">
        <is>
          <t>CP</t>
        </is>
      </c>
      <c r="B174" s="7" t="inlineStr">
        <is>
          <t>Art. 357</t>
        </is>
      </c>
      <c r="C174" s="16" t="inlineStr">
        <is>
          <t>Violência ou fraude em arrematação judicial</t>
        </is>
      </c>
      <c r="D174" s="7" t="n">
        <v>2</v>
      </c>
      <c r="E174" s="7" t="n">
        <v>6</v>
      </c>
      <c r="F174" s="7" t="inlineStr">
        <is>
          <t>Detenção</t>
        </is>
      </c>
      <c r="G174" s="7" t="inlineStr">
        <is>
          <t>Pública Incondicionada</t>
        </is>
      </c>
      <c r="H174" s="7" t="inlineStr">
        <is>
          <t>Não</t>
        </is>
      </c>
      <c r="I174" s="7" t="inlineStr">
        <is>
          <t>Doloso</t>
        </is>
      </c>
      <c r="J174" s="7" t="inlineStr">
        <is>
          <t>Sim</t>
        </is>
      </c>
      <c r="K174" s="16" t="inlineStr">
        <is>
          <t>—</t>
        </is>
      </c>
      <c r="L174" s="16" t="inlineStr">
        <is>
          <t>2-6 meses</t>
        </is>
      </c>
      <c r="M174" s="7" t="inlineStr">
        <is>
          <t>Verificar</t>
        </is>
      </c>
      <c r="N174" s="7" t="inlineStr">
        <is>
          <t>Sim</t>
        </is>
      </c>
    </row>
    <row r="175">
      <c r="A175" s="7" t="inlineStr">
        <is>
          <t>CP</t>
        </is>
      </c>
      <c r="B175" s="7" t="inlineStr">
        <is>
          <t>Art. 359</t>
        </is>
      </c>
      <c r="C175" s="16" t="inlineStr">
        <is>
          <t>Desobediência a decisão judicial sobre perda ou suspensão de direito</t>
        </is>
      </c>
      <c r="D175" s="7" t="n">
        <v>3</v>
      </c>
      <c r="E175" s="7" t="n">
        <v>12</v>
      </c>
      <c r="F175" s="7" t="inlineStr">
        <is>
          <t>Detenção</t>
        </is>
      </c>
      <c r="G175" s="7" t="inlineStr">
        <is>
          <t>Pública Incondicionada</t>
        </is>
      </c>
      <c r="H175" s="7" t="inlineStr">
        <is>
          <t>Não</t>
        </is>
      </c>
      <c r="I175" s="7" t="inlineStr">
        <is>
          <t>Doloso</t>
        </is>
      </c>
      <c r="J175" s="7" t="inlineStr">
        <is>
          <t>Controverso</t>
        </is>
      </c>
      <c r="K175" s="16" t="inlineStr">
        <is>
          <t>—</t>
        </is>
      </c>
      <c r="L175" s="16" t="inlineStr">
        <is>
          <t>Exercer função/atividade/direito de que foi suspenso por decisão judicial</t>
        </is>
      </c>
      <c r="M175" s="7" t="inlineStr">
        <is>
          <t>Sim</t>
        </is>
      </c>
      <c r="N175" s="7" t="inlineStr">
        <is>
          <t>Sim</t>
        </is>
      </c>
    </row>
    <row r="176">
      <c r="A176" s="19" t="inlineStr">
        <is>
          <t>Lei 11.343/06</t>
        </is>
      </c>
      <c r="B176" s="19" t="inlineStr">
        <is>
          <t>Art. 28</t>
        </is>
      </c>
      <c r="C176" s="20" t="inlineStr">
        <is>
          <t>Posse de droga para consumo pessoal</t>
        </is>
      </c>
      <c r="D176" s="19" t="inlineStr">
        <is>
          <t>—</t>
        </is>
      </c>
      <c r="E176" s="19" t="inlineStr">
        <is>
          <t>—</t>
        </is>
      </c>
      <c r="F176" s="19" t="inlineStr">
        <is>
          <t>Sem pena privativa</t>
        </is>
      </c>
      <c r="G176" s="19" t="inlineStr">
        <is>
          <t>Pública Incondicionada</t>
        </is>
      </c>
      <c r="H176" s="19" t="inlineStr">
        <is>
          <t>Não</t>
        </is>
      </c>
      <c r="I176" s="19" t="inlineStr">
        <is>
          <t>Doloso</t>
        </is>
      </c>
      <c r="J176" s="19" t="inlineStr">
        <is>
          <t>Controverso</t>
        </is>
      </c>
      <c r="K176" s="20" t="inlineStr">
        <is>
          <t>I-advertência; II-prestação de serviço comunitário; III-medida educativa</t>
        </is>
      </c>
      <c r="L176" s="20" t="inlineStr">
        <is>
          <t>STF (RE 635.659): descriminalização do porte para uso pessoal de maconha declarada em 2024, com limite de 40g ou 6 plantas fêmeas</t>
        </is>
      </c>
      <c r="M176" s="19" t="inlineStr">
        <is>
          <t>—</t>
        </is>
      </c>
      <c r="N176" s="19" t="inlineStr">
        <is>
          <t>—</t>
        </is>
      </c>
    </row>
    <row r="177">
      <c r="A177" s="17" t="inlineStr">
        <is>
          <t>Lei 11.343/06</t>
        </is>
      </c>
      <c r="B177" s="17" t="inlineStr">
        <is>
          <t>Art. 33, caput</t>
        </is>
      </c>
      <c r="C177" s="18" t="inlineStr">
        <is>
          <t>Tráfico de drogas</t>
        </is>
      </c>
      <c r="D177" s="17" t="n">
        <v>60</v>
      </c>
      <c r="E177" s="17" t="n">
        <v>180</v>
      </c>
      <c r="F177" s="17" t="inlineStr">
        <is>
          <t>Reclusão</t>
        </is>
      </c>
      <c r="G177" s="17" t="inlineStr">
        <is>
          <t>Pública Incondicionada</t>
        </is>
      </c>
      <c r="H177" s="17" t="inlineStr">
        <is>
          <t>Sim</t>
        </is>
      </c>
      <c r="I177" s="17" t="inlineStr">
        <is>
          <t>Doloso</t>
        </is>
      </c>
      <c r="J177" s="17" t="inlineStr">
        <is>
          <t>Sim</t>
        </is>
      </c>
      <c r="K177" s="18" t="inlineStr">
        <is>
          <t>18 verbos nucleares: importar, exportar, remeter, preparar, produzir, fabricar, adquirir, vender, expor à venda, oferecer, ter em depósito, transportar, trazer consigo, guardar, prescrever, ministrar, entregar, fornecer</t>
        </is>
      </c>
      <c r="L177" s="18" t="inlineStr">
        <is>
          <t>Hediondo equiparado (Art. 5º, XLIII CF). Inafiançável. Regime inicialmente fechado afastado pelo STF (HC 111.840)</t>
        </is>
      </c>
      <c r="M177" s="17" t="inlineStr">
        <is>
          <t>Verificar</t>
        </is>
      </c>
      <c r="N177" s="17" t="inlineStr">
        <is>
          <t>Não</t>
        </is>
      </c>
    </row>
    <row r="178">
      <c r="A178" s="17" t="inlineStr">
        <is>
          <t>Lei 11.343/06</t>
        </is>
      </c>
      <c r="B178" s="17" t="inlineStr">
        <is>
          <t>Art. 33, §1º, I</t>
        </is>
      </c>
      <c r="C178" s="18" t="inlineStr">
        <is>
          <t>Tráfico — importação/exportação de matéria-prima</t>
        </is>
      </c>
      <c r="D178" s="17" t="n">
        <v>60</v>
      </c>
      <c r="E178" s="17" t="n">
        <v>180</v>
      </c>
      <c r="F178" s="17" t="inlineStr">
        <is>
          <t>Reclusão</t>
        </is>
      </c>
      <c r="G178" s="17" t="inlineStr">
        <is>
          <t>Pública Incondicionada</t>
        </is>
      </c>
      <c r="H178" s="17" t="inlineStr">
        <is>
          <t>Sim</t>
        </is>
      </c>
      <c r="I178" s="17" t="inlineStr">
        <is>
          <t>Doloso</t>
        </is>
      </c>
      <c r="J178" s="17" t="inlineStr">
        <is>
          <t>Sim</t>
        </is>
      </c>
      <c r="K178" s="18" t="inlineStr">
        <is>
          <t>—</t>
        </is>
      </c>
      <c r="L178" s="18" t="inlineStr"/>
      <c r="M178" s="17" t="inlineStr">
        <is>
          <t>Verificar</t>
        </is>
      </c>
      <c r="N178" s="17" t="inlineStr">
        <is>
          <t>Não</t>
        </is>
      </c>
    </row>
    <row r="179">
      <c r="A179" s="7" t="inlineStr">
        <is>
          <t>Lei 11.343/06</t>
        </is>
      </c>
      <c r="B179" s="7" t="inlineStr">
        <is>
          <t>Art. 33, §2º</t>
        </is>
      </c>
      <c r="C179" s="16" t="inlineStr">
        <is>
          <t>Indução/instigação/auxílio ao uso de droga</t>
        </is>
      </c>
      <c r="D179" s="7" t="n">
        <v>12</v>
      </c>
      <c r="E179" s="7" t="n">
        <v>36</v>
      </c>
      <c r="F179" s="7" t="inlineStr">
        <is>
          <t>Detenção</t>
        </is>
      </c>
      <c r="G179" s="7" t="inlineStr">
        <is>
          <t>Pública Incondicionada</t>
        </is>
      </c>
      <c r="H179" s="7" t="inlineStr">
        <is>
          <t>Não</t>
        </is>
      </c>
      <c r="I179" s="7" t="inlineStr">
        <is>
          <t>Doloso</t>
        </is>
      </c>
      <c r="J179" s="7" t="inlineStr">
        <is>
          <t>Sim</t>
        </is>
      </c>
      <c r="K179" s="16" t="inlineStr">
        <is>
          <t>—</t>
        </is>
      </c>
      <c r="L179" s="16" t="inlineStr"/>
      <c r="M179" s="7" t="inlineStr">
        <is>
          <t>Sim</t>
        </is>
      </c>
      <c r="N179" s="7" t="inlineStr">
        <is>
          <t>Sim</t>
        </is>
      </c>
    </row>
    <row r="180">
      <c r="A180" s="7" t="inlineStr">
        <is>
          <t>Lei 11.343/06</t>
        </is>
      </c>
      <c r="B180" s="7" t="inlineStr">
        <is>
          <t>Art. 33, §3º</t>
        </is>
      </c>
      <c r="C180" s="16" t="inlineStr">
        <is>
          <t>Uso compartilhado de droga (oferecer eventualmente)</t>
        </is>
      </c>
      <c r="D180" s="7" t="n">
        <v>6</v>
      </c>
      <c r="E180" s="7" t="n">
        <v>12</v>
      </c>
      <c r="F180" s="7" t="inlineStr">
        <is>
          <t>Detenção</t>
        </is>
      </c>
      <c r="G180" s="7" t="inlineStr">
        <is>
          <t>Pública Incondicionada</t>
        </is>
      </c>
      <c r="H180" s="7" t="inlineStr">
        <is>
          <t>Não</t>
        </is>
      </c>
      <c r="I180" s="7" t="inlineStr">
        <is>
          <t>Doloso</t>
        </is>
      </c>
      <c r="J180" s="7" t="inlineStr">
        <is>
          <t>Sim</t>
        </is>
      </c>
      <c r="K180" s="16" t="inlineStr">
        <is>
          <t>—</t>
        </is>
      </c>
      <c r="L180" s="16" t="inlineStr">
        <is>
          <t>Oferecer eventualmente e sem objetivo de lucro a pessoa do relacionamento</t>
        </is>
      </c>
      <c r="M180" s="7" t="inlineStr">
        <is>
          <t>Sim</t>
        </is>
      </c>
      <c r="N180" s="7" t="inlineStr">
        <is>
          <t>Sim</t>
        </is>
      </c>
    </row>
    <row r="181">
      <c r="A181" s="7" t="inlineStr">
        <is>
          <t>Lei 11.343/06</t>
        </is>
      </c>
      <c r="B181" s="7" t="inlineStr">
        <is>
          <t>Art. 33, §4º</t>
        </is>
      </c>
      <c r="C181" s="16" t="inlineStr">
        <is>
          <t>Tráfico privilegiado</t>
        </is>
      </c>
      <c r="D181" s="7" t="n">
        <v>20</v>
      </c>
      <c r="E181" s="7" t="n">
        <v>180</v>
      </c>
      <c r="F181" s="7" t="inlineStr">
        <is>
          <t>Reclusão</t>
        </is>
      </c>
      <c r="G181" s="7" t="inlineStr">
        <is>
          <t>Pública Incondicionada</t>
        </is>
      </c>
      <c r="H181" s="7" t="inlineStr">
        <is>
          <t>Não</t>
        </is>
      </c>
      <c r="I181" s="7" t="inlineStr">
        <is>
          <t>Doloso</t>
        </is>
      </c>
      <c r="J181" s="7" t="inlineStr">
        <is>
          <t>Sim</t>
        </is>
      </c>
      <c r="K181" s="16" t="inlineStr">
        <is>
          <t>Redução de 1/6 a 2/3 se primário, bons antecedentes, não se dedica a atividades criminosas, não integra organização criminosa</t>
        </is>
      </c>
      <c r="L181" s="16" t="inlineStr">
        <is>
          <t>NÃO é hediondo (STF, HC 118.533). Pode ter regime diverso do fechado</t>
        </is>
      </c>
      <c r="M181" s="7" t="inlineStr">
        <is>
          <t>Sim</t>
        </is>
      </c>
      <c r="N181" s="7" t="inlineStr">
        <is>
          <t>Não</t>
        </is>
      </c>
    </row>
    <row r="182">
      <c r="A182" s="17" t="inlineStr">
        <is>
          <t>Lei 11.343/06</t>
        </is>
      </c>
      <c r="B182" s="17" t="inlineStr">
        <is>
          <t>Art. 34</t>
        </is>
      </c>
      <c r="C182" s="18" t="inlineStr">
        <is>
          <t>Fabricação de maquinário para drogas</t>
        </is>
      </c>
      <c r="D182" s="17" t="n">
        <v>36</v>
      </c>
      <c r="E182" s="17" t="n">
        <v>120</v>
      </c>
      <c r="F182" s="17" t="inlineStr">
        <is>
          <t>Reclusão</t>
        </is>
      </c>
      <c r="G182" s="17" t="inlineStr">
        <is>
          <t>Pública Incondicionada</t>
        </is>
      </c>
      <c r="H182" s="17" t="inlineStr">
        <is>
          <t>Sim</t>
        </is>
      </c>
      <c r="I182" s="17" t="inlineStr">
        <is>
          <t>Doloso</t>
        </is>
      </c>
      <c r="J182" s="17" t="inlineStr">
        <is>
          <t>Sim</t>
        </is>
      </c>
      <c r="K182" s="18" t="inlineStr">
        <is>
          <t>—</t>
        </is>
      </c>
      <c r="L182" s="18" t="inlineStr">
        <is>
          <t>Fabricar/adquirir/utilizar/transportar maquinário para fabricação de drogas</t>
        </is>
      </c>
      <c r="M182" s="17" t="inlineStr">
        <is>
          <t>Sim</t>
        </is>
      </c>
      <c r="N182" s="17" t="inlineStr">
        <is>
          <t>Não</t>
        </is>
      </c>
    </row>
    <row r="183">
      <c r="A183" s="7" t="inlineStr">
        <is>
          <t>Lei 11.343/06</t>
        </is>
      </c>
      <c r="B183" s="7" t="inlineStr">
        <is>
          <t>Art. 35</t>
        </is>
      </c>
      <c r="C183" s="16" t="inlineStr">
        <is>
          <t>Associação para o tráfico</t>
        </is>
      </c>
      <c r="D183" s="7" t="n">
        <v>36</v>
      </c>
      <c r="E183" s="7" t="n">
        <v>120</v>
      </c>
      <c r="F183" s="7" t="inlineStr">
        <is>
          <t>Reclusão</t>
        </is>
      </c>
      <c r="G183" s="7" t="inlineStr">
        <is>
          <t>Pública Incondicionada</t>
        </is>
      </c>
      <c r="H183" s="7" t="inlineStr">
        <is>
          <t>Não</t>
        </is>
      </c>
      <c r="I183" s="7" t="inlineStr">
        <is>
          <t>Doloso</t>
        </is>
      </c>
      <c r="J183" s="7" t="inlineStr">
        <is>
          <t>Não</t>
        </is>
      </c>
      <c r="K183" s="16" t="inlineStr">
        <is>
          <t>—</t>
        </is>
      </c>
      <c r="L183" s="16" t="inlineStr">
        <is>
          <t>2+ pessoas. Crime autônomo (não se confunde com concurso de agentes)</t>
        </is>
      </c>
      <c r="M183" s="7" t="inlineStr">
        <is>
          <t>Sim</t>
        </is>
      </c>
      <c r="N183" s="7" t="inlineStr">
        <is>
          <t>Não</t>
        </is>
      </c>
    </row>
    <row r="184">
      <c r="A184" s="17" t="inlineStr">
        <is>
          <t>Lei 11.343/06</t>
        </is>
      </c>
      <c r="B184" s="17" t="inlineStr">
        <is>
          <t>Art. 36</t>
        </is>
      </c>
      <c r="C184" s="18" t="inlineStr">
        <is>
          <t>Financiamento ou custeio do tráfico</t>
        </is>
      </c>
      <c r="D184" s="17" t="n">
        <v>96</v>
      </c>
      <c r="E184" s="17" t="n">
        <v>240</v>
      </c>
      <c r="F184" s="17" t="inlineStr">
        <is>
          <t>Reclusão</t>
        </is>
      </c>
      <c r="G184" s="17" t="inlineStr">
        <is>
          <t>Pública Incondicionada</t>
        </is>
      </c>
      <c r="H184" s="17" t="inlineStr">
        <is>
          <t>Sim</t>
        </is>
      </c>
      <c r="I184" s="17" t="inlineStr">
        <is>
          <t>Doloso</t>
        </is>
      </c>
      <c r="J184" s="17" t="inlineStr">
        <is>
          <t>Sim</t>
        </is>
      </c>
      <c r="K184" s="18" t="inlineStr">
        <is>
          <t>—</t>
        </is>
      </c>
      <c r="L184" s="18" t="inlineStr">
        <is>
          <t>8-20 anos. Financiar/custear a prática de qualquer crime do Capítulo</t>
        </is>
      </c>
      <c r="M184" s="17" t="inlineStr">
        <is>
          <t>Verificar</t>
        </is>
      </c>
      <c r="N184" s="17" t="inlineStr">
        <is>
          <t>Não</t>
        </is>
      </c>
    </row>
    <row r="185">
      <c r="A185" s="7" t="inlineStr">
        <is>
          <t>Lei 11.343/06</t>
        </is>
      </c>
      <c r="B185" s="7" t="inlineStr">
        <is>
          <t>Art. 37</t>
        </is>
      </c>
      <c r="C185" s="16" t="inlineStr">
        <is>
          <t>Informante do tráfico (colaborador)</t>
        </is>
      </c>
      <c r="D185" s="7" t="n">
        <v>24</v>
      </c>
      <c r="E185" s="7" t="n">
        <v>72</v>
      </c>
      <c r="F185" s="7" t="inlineStr">
        <is>
          <t>Reclusão</t>
        </is>
      </c>
      <c r="G185" s="7" t="inlineStr">
        <is>
          <t>Pública Incondicionada</t>
        </is>
      </c>
      <c r="H185" s="7" t="inlineStr">
        <is>
          <t>Não</t>
        </is>
      </c>
      <c r="I185" s="7" t="inlineStr">
        <is>
          <t>Doloso</t>
        </is>
      </c>
      <c r="J185" s="7" t="inlineStr">
        <is>
          <t>Controverso</t>
        </is>
      </c>
      <c r="K185" s="16" t="inlineStr">
        <is>
          <t>—</t>
        </is>
      </c>
      <c r="L185" s="16" t="inlineStr">
        <is>
          <t>Colaborar como informante com organização criminosa ligada a drogas</t>
        </is>
      </c>
      <c r="M185" s="7" t="inlineStr">
        <is>
          <t>Sim</t>
        </is>
      </c>
      <c r="N185" s="7" t="inlineStr">
        <is>
          <t>Não</t>
        </is>
      </c>
    </row>
    <row r="186">
      <c r="A186" s="7" t="inlineStr">
        <is>
          <t>Lei 11.343/06</t>
        </is>
      </c>
      <c r="B186" s="7" t="inlineStr">
        <is>
          <t>Art. 38</t>
        </is>
      </c>
      <c r="C186" s="16" t="inlineStr">
        <is>
          <t>Prescrever/ministrar drogas culposamente</t>
        </is>
      </c>
      <c r="D186" s="7" t="n">
        <v>6</v>
      </c>
      <c r="E186" s="7" t="n">
        <v>24</v>
      </c>
      <c r="F186" s="7" t="inlineStr">
        <is>
          <t>Detenção</t>
        </is>
      </c>
      <c r="G186" s="7" t="inlineStr">
        <is>
          <t>Pública Incondicionada</t>
        </is>
      </c>
      <c r="H186" s="7" t="inlineStr">
        <is>
          <t>Não</t>
        </is>
      </c>
      <c r="I186" s="7" t="inlineStr">
        <is>
          <t>Culposo</t>
        </is>
      </c>
      <c r="J186" s="7" t="inlineStr">
        <is>
          <t>Não</t>
        </is>
      </c>
      <c r="K186" s="16" t="inlineStr">
        <is>
          <t>—</t>
        </is>
      </c>
      <c r="L186" s="16" t="inlineStr">
        <is>
          <t>Crime próprio: médico/dentista/farmacêutico</t>
        </is>
      </c>
      <c r="M186" s="7" t="inlineStr">
        <is>
          <t>Sim</t>
        </is>
      </c>
      <c r="N186" s="7" t="inlineStr">
        <is>
          <t>Sim</t>
        </is>
      </c>
    </row>
    <row r="187">
      <c r="A187" s="7" t="inlineStr">
        <is>
          <t>Lei 11.343/06</t>
        </is>
      </c>
      <c r="B187" s="7" t="inlineStr">
        <is>
          <t>Art. 39</t>
        </is>
      </c>
      <c r="C187" s="16" t="inlineStr">
        <is>
          <t>Conduzir embarcação/aeronave sob efeito de drogas</t>
        </is>
      </c>
      <c r="D187" s="7" t="n">
        <v>6</v>
      </c>
      <c r="E187" s="7" t="n">
        <v>36</v>
      </c>
      <c r="F187" s="7" t="inlineStr">
        <is>
          <t>Detenção</t>
        </is>
      </c>
      <c r="G187" s="7" t="inlineStr">
        <is>
          <t>Pública Incondicionada</t>
        </is>
      </c>
      <c r="H187" s="7" t="inlineStr">
        <is>
          <t>Não</t>
        </is>
      </c>
      <c r="I187" s="7" t="inlineStr">
        <is>
          <t>Doloso</t>
        </is>
      </c>
      <c r="J187" s="7" t="inlineStr">
        <is>
          <t>Controverso</t>
        </is>
      </c>
      <c r="K187" s="16" t="inlineStr">
        <is>
          <t>—</t>
        </is>
      </c>
      <c r="L187" s="16" t="inlineStr"/>
      <c r="M187" s="7" t="inlineStr">
        <is>
          <t>Sim</t>
        </is>
      </c>
      <c r="N187" s="7" t="inlineStr">
        <is>
          <t>Sim</t>
        </is>
      </c>
    </row>
    <row r="188">
      <c r="A188" s="19" t="inlineStr">
        <is>
          <t>Lei 11.343/06</t>
        </is>
      </c>
      <c r="B188" s="19" t="inlineStr">
        <is>
          <t>Art. 40 (majorantes)</t>
        </is>
      </c>
      <c r="C188" s="20" t="inlineStr">
        <is>
          <t>Causas de aumento — tráfico</t>
        </is>
      </c>
      <c r="D188" s="19" t="inlineStr">
        <is>
          <t>—</t>
        </is>
      </c>
      <c r="E188" s="19" t="inlineStr">
        <is>
          <t>—</t>
        </is>
      </c>
      <c r="F188" s="19" t="inlineStr">
        <is>
          <t>—</t>
        </is>
      </c>
      <c r="G188" s="19" t="inlineStr">
        <is>
          <t>—</t>
        </is>
      </c>
      <c r="H188" s="19" t="inlineStr">
        <is>
          <t>—</t>
        </is>
      </c>
      <c r="I188" s="19" t="inlineStr">
        <is>
          <t>—</t>
        </is>
      </c>
      <c r="J188" s="19" t="inlineStr">
        <is>
          <t>—</t>
        </is>
      </c>
      <c r="K188" s="20" t="inlineStr">
        <is>
          <t>I-transnacionalidade (+1/6 a 2/3); II-funcionário público (+1/6 a 2/3); III-transporte público (+1/6 a 2/3); IV-imediações de escola/presídio (+1/6 a 2/3); V-envolvimento de criança/adolescente (+1/6 a 2/3); VI-arma (+1/6 a 2/3); VII-violência/grave ameaça/emprego de arma de fogo (+1/6 a 2/3)</t>
        </is>
      </c>
      <c r="L188" s="20" t="inlineStr">
        <is>
          <t>Causas de aumento aplicáveis aos crimes dos Arts. 33-37</t>
        </is>
      </c>
      <c r="M188" s="19" t="inlineStr">
        <is>
          <t>—</t>
        </is>
      </c>
      <c r="N188" s="19" t="inlineStr">
        <is>
          <t>—</t>
        </is>
      </c>
    </row>
    <row r="189">
      <c r="A189" s="7" t="inlineStr">
        <is>
          <t>Lei 10.826/03</t>
        </is>
      </c>
      <c r="B189" s="7" t="inlineStr">
        <is>
          <t>Art. 12</t>
        </is>
      </c>
      <c r="C189" s="16" t="inlineStr">
        <is>
          <t>Posse irregular de arma de fogo de uso permitido</t>
        </is>
      </c>
      <c r="D189" s="7" t="n">
        <v>12</v>
      </c>
      <c r="E189" s="7" t="n">
        <v>36</v>
      </c>
      <c r="F189" s="7" t="inlineStr">
        <is>
          <t>Detenção</t>
        </is>
      </c>
      <c r="G189" s="7" t="inlineStr">
        <is>
          <t>Pública Incondicionada</t>
        </is>
      </c>
      <c r="H189" s="7" t="inlineStr">
        <is>
          <t>Não</t>
        </is>
      </c>
      <c r="I189" s="7" t="inlineStr">
        <is>
          <t>Doloso</t>
        </is>
      </c>
      <c r="J189" s="7" t="inlineStr">
        <is>
          <t>Não</t>
        </is>
      </c>
      <c r="K189" s="16" t="inlineStr">
        <is>
          <t>—</t>
        </is>
      </c>
      <c r="L189" s="16" t="inlineStr">
        <is>
          <t>Crime de perigo abstrato. Dentro de residência/dependência desta ou local de trabalho</t>
        </is>
      </c>
      <c r="M189" s="7" t="inlineStr">
        <is>
          <t>Sim</t>
        </is>
      </c>
      <c r="N189" s="7" t="inlineStr">
        <is>
          <t>Sim</t>
        </is>
      </c>
    </row>
    <row r="190">
      <c r="A190" s="7" t="inlineStr">
        <is>
          <t>Lei 10.826/03</t>
        </is>
      </c>
      <c r="B190" s="7" t="inlineStr">
        <is>
          <t>Art. 13</t>
        </is>
      </c>
      <c r="C190" s="16" t="inlineStr">
        <is>
          <t>Omissão de cautela (permitir acesso de menor/doente mental)</t>
        </is>
      </c>
      <c r="D190" s="7" t="n">
        <v>12</v>
      </c>
      <c r="E190" s="7" t="n">
        <v>24</v>
      </c>
      <c r="F190" s="7" t="inlineStr">
        <is>
          <t>Detenção</t>
        </is>
      </c>
      <c r="G190" s="7" t="inlineStr">
        <is>
          <t>Pública Incondicionada</t>
        </is>
      </c>
      <c r="H190" s="7" t="inlineStr">
        <is>
          <t>Não</t>
        </is>
      </c>
      <c r="I190" s="7" t="inlineStr">
        <is>
          <t>Doloso e Culposo</t>
        </is>
      </c>
      <c r="J190" s="7" t="inlineStr">
        <is>
          <t>Controverso</t>
        </is>
      </c>
      <c r="K190" s="16" t="inlineStr">
        <is>
          <t>—</t>
        </is>
      </c>
      <c r="L190" s="16" t="inlineStr">
        <is>
          <t>Deixar de observar as cautelas necessárias para impedir que menor de 18 ou pessoa doente mental se apodere de arma de fogo</t>
        </is>
      </c>
      <c r="M190" s="7" t="inlineStr">
        <is>
          <t>Sim</t>
        </is>
      </c>
      <c r="N190" s="7" t="inlineStr">
        <is>
          <t>Sim</t>
        </is>
      </c>
    </row>
    <row r="191">
      <c r="A191" s="7" t="inlineStr">
        <is>
          <t>Lei 10.826/03</t>
        </is>
      </c>
      <c r="B191" s="7" t="inlineStr">
        <is>
          <t>Art. 14</t>
        </is>
      </c>
      <c r="C191" s="16" t="inlineStr">
        <is>
          <t>Porte ilegal de arma de fogo de uso permitido</t>
        </is>
      </c>
      <c r="D191" s="7" t="n">
        <v>24</v>
      </c>
      <c r="E191" s="7" t="n">
        <v>48</v>
      </c>
      <c r="F191" s="7" t="inlineStr">
        <is>
          <t>Reclusão</t>
        </is>
      </c>
      <c r="G191" s="7" t="inlineStr">
        <is>
          <t>Pública Incondicionada</t>
        </is>
      </c>
      <c r="H191" s="7" t="inlineStr">
        <is>
          <t>Não</t>
        </is>
      </c>
      <c r="I191" s="7" t="inlineStr">
        <is>
          <t>Doloso</t>
        </is>
      </c>
      <c r="J191" s="7" t="inlineStr">
        <is>
          <t>Não</t>
        </is>
      </c>
      <c r="K191" s="16" t="inlineStr">
        <is>
          <t>Parágrafo único: +metade se arma raspada/sinal adulterado</t>
        </is>
      </c>
      <c r="L191" s="16" t="inlineStr">
        <is>
          <t>Portar/deter/adquirir/fornecer/receber/ter em depósito/transportar/ceder/emprestar</t>
        </is>
      </c>
      <c r="M191" s="7" t="inlineStr">
        <is>
          <t>Sim</t>
        </is>
      </c>
      <c r="N191" s="7" t="inlineStr">
        <is>
          <t>Não</t>
        </is>
      </c>
    </row>
    <row r="192">
      <c r="A192" s="7" t="inlineStr">
        <is>
          <t>Lei 10.826/03</t>
        </is>
      </c>
      <c r="B192" s="7" t="inlineStr">
        <is>
          <t>Art. 15</t>
        </is>
      </c>
      <c r="C192" s="16" t="inlineStr">
        <is>
          <t>Disparo de arma de fogo</t>
        </is>
      </c>
      <c r="D192" s="7" t="n">
        <v>24</v>
      </c>
      <c r="E192" s="7" t="n">
        <v>48</v>
      </c>
      <c r="F192" s="7" t="inlineStr">
        <is>
          <t>Reclusão</t>
        </is>
      </c>
      <c r="G192" s="7" t="inlineStr">
        <is>
          <t>Pública Incondicionada</t>
        </is>
      </c>
      <c r="H192" s="7" t="inlineStr">
        <is>
          <t>Não</t>
        </is>
      </c>
      <c r="I192" s="7" t="inlineStr">
        <is>
          <t>Doloso</t>
        </is>
      </c>
      <c r="J192" s="7" t="inlineStr">
        <is>
          <t>Controverso</t>
        </is>
      </c>
      <c r="K192" s="16" t="inlineStr">
        <is>
          <t>Parágrafo único: +metade se via pública/direção a pessoas</t>
        </is>
      </c>
      <c r="L192" s="16" t="inlineStr">
        <is>
          <t>Disparar arma de fogo em lugar habitado/imediações, via pública ou na direção de pessoa</t>
        </is>
      </c>
      <c r="M192" s="7" t="inlineStr">
        <is>
          <t>Sim</t>
        </is>
      </c>
      <c r="N192" s="7" t="inlineStr">
        <is>
          <t>Não</t>
        </is>
      </c>
    </row>
    <row r="193">
      <c r="A193" s="7" t="inlineStr">
        <is>
          <t>Lei 10.826/03</t>
        </is>
      </c>
      <c r="B193" s="7" t="inlineStr">
        <is>
          <t>Art. 16, caput</t>
        </is>
      </c>
      <c r="C193" s="16" t="inlineStr">
        <is>
          <t>Posse ou porte ilegal de arma de fogo de uso restrito</t>
        </is>
      </c>
      <c r="D193" s="7" t="n">
        <v>36</v>
      </c>
      <c r="E193" s="7" t="n">
        <v>72</v>
      </c>
      <c r="F193" s="7" t="inlineStr">
        <is>
          <t>Reclusão</t>
        </is>
      </c>
      <c r="G193" s="7" t="inlineStr">
        <is>
          <t>Pública Incondicionada</t>
        </is>
      </c>
      <c r="H193" s="7" t="inlineStr">
        <is>
          <t>Não</t>
        </is>
      </c>
      <c r="I193" s="7" t="inlineStr">
        <is>
          <t>Doloso</t>
        </is>
      </c>
      <c r="J193" s="7" t="inlineStr">
        <is>
          <t>Não</t>
        </is>
      </c>
      <c r="K193" s="16" t="inlineStr">
        <is>
          <t>§2º: com sinal de identificação raspado (+1/3). §4º e §5º: aumentos para funcionário público de segurança e reincidentes</t>
        </is>
      </c>
      <c r="L193" s="16" t="inlineStr">
        <is>
          <t>Possuir/deter/portar/adquirir/fornecer/receber/ter em depósito/transportar arma de uso RESTRITO ou proibido</t>
        </is>
      </c>
      <c r="M193" s="7" t="inlineStr">
        <is>
          <t>Sim</t>
        </is>
      </c>
      <c r="N193" s="7" t="inlineStr">
        <is>
          <t>Não</t>
        </is>
      </c>
    </row>
    <row r="194">
      <c r="A194" s="7" t="inlineStr">
        <is>
          <t>Lei 10.826/03</t>
        </is>
      </c>
      <c r="B194" s="7" t="inlineStr">
        <is>
          <t>Art. 17</t>
        </is>
      </c>
      <c r="C194" s="16" t="inlineStr">
        <is>
          <t>Comércio ilegal de arma de fogo</t>
        </is>
      </c>
      <c r="D194" s="7" t="n">
        <v>72</v>
      </c>
      <c r="E194" s="7" t="n">
        <v>192</v>
      </c>
      <c r="F194" s="7" t="inlineStr">
        <is>
          <t>Reclusão</t>
        </is>
      </c>
      <c r="G194" s="7" t="inlineStr">
        <is>
          <t>Pública Incondicionada</t>
        </is>
      </c>
      <c r="H194" s="7" t="inlineStr">
        <is>
          <t>Não</t>
        </is>
      </c>
      <c r="I194" s="7" t="inlineStr">
        <is>
          <t>Doloso</t>
        </is>
      </c>
      <c r="J194" s="7" t="inlineStr">
        <is>
          <t>Sim</t>
        </is>
      </c>
      <c r="K194" s="16" t="inlineStr">
        <is>
          <t>Parágrafo único: +metade se arma de uso restrito/proibido. §2º: +metade se envolver criança/adolescente</t>
        </is>
      </c>
      <c r="L194" s="16" t="inlineStr">
        <is>
          <t>Adquirir/alugar/receber/transportar/ter em depósito/fornecer/vender/expor à venda</t>
        </is>
      </c>
      <c r="M194" s="7" t="inlineStr">
        <is>
          <t>Verificar</t>
        </is>
      </c>
      <c r="N194" s="7" t="inlineStr">
        <is>
          <t>Não</t>
        </is>
      </c>
    </row>
    <row r="195">
      <c r="A195" s="17" t="inlineStr">
        <is>
          <t>Lei 10.826/03</t>
        </is>
      </c>
      <c r="B195" s="17" t="inlineStr">
        <is>
          <t>Art. 18</t>
        </is>
      </c>
      <c r="C195" s="18" t="inlineStr">
        <is>
          <t>Tráfico internacional de arma de fogo</t>
        </is>
      </c>
      <c r="D195" s="17" t="n">
        <v>96</v>
      </c>
      <c r="E195" s="17" t="n">
        <v>192</v>
      </c>
      <c r="F195" s="17" t="inlineStr">
        <is>
          <t>Reclusão</t>
        </is>
      </c>
      <c r="G195" s="17" t="inlineStr">
        <is>
          <t>Pública Incondicionada</t>
        </is>
      </c>
      <c r="H195" s="17" t="inlineStr">
        <is>
          <t>Sim</t>
        </is>
      </c>
      <c r="I195" s="17" t="inlineStr">
        <is>
          <t>Doloso</t>
        </is>
      </c>
      <c r="J195" s="17" t="inlineStr">
        <is>
          <t>Sim</t>
        </is>
      </c>
      <c r="K195" s="18" t="inlineStr">
        <is>
          <t>Parágrafo único: +metade se arma de uso restrito/proibido</t>
        </is>
      </c>
      <c r="L195" s="18" t="inlineStr">
        <is>
          <t>HEDIONDO (Lei 13.964/2019). Competência: Justiça Federal</t>
        </is>
      </c>
      <c r="M195" s="17" t="inlineStr">
        <is>
          <t>Verificar</t>
        </is>
      </c>
      <c r="N195" s="17" t="inlineStr">
        <is>
          <t>Não</t>
        </is>
      </c>
    </row>
    <row r="196">
      <c r="A196" s="7" t="inlineStr">
        <is>
          <t>CTB (9.503/97)</t>
        </is>
      </c>
      <c r="B196" s="7" t="inlineStr">
        <is>
          <t>Art. 302</t>
        </is>
      </c>
      <c r="C196" s="16" t="inlineStr">
        <is>
          <t>Homicídio culposo na direção de veículo automotor</t>
        </is>
      </c>
      <c r="D196" s="7" t="n">
        <v>24</v>
      </c>
      <c r="E196" s="7" t="n">
        <v>48</v>
      </c>
      <c r="F196" s="7" t="inlineStr">
        <is>
          <t>Detenção</t>
        </is>
      </c>
      <c r="G196" s="7" t="inlineStr">
        <is>
          <t>Pública Incondicionada</t>
        </is>
      </c>
      <c r="H196" s="7" t="inlineStr">
        <is>
          <t>Não</t>
        </is>
      </c>
      <c r="I196" s="7" t="inlineStr">
        <is>
          <t>Culposo</t>
        </is>
      </c>
      <c r="J196" s="7" t="inlineStr">
        <is>
          <t>Não</t>
        </is>
      </c>
      <c r="K196" s="16" t="inlineStr">
        <is>
          <t>§1º: +1/3 a +1/2 se: I-sem habilitação; II-via de pedestres/calçada; III-sem prestar socorro; IV-exercício de profissão (transporte de passageiros); V-sob influência de álcool. §3º: qualificada se sob efeito de álcool ou droga = 5-8 anos de reclusão</t>
        </is>
      </c>
      <c r="L196" s="16" t="inlineStr">
        <is>
          <t>Culposo: 2-4a detenção. Qualificado (§3º, embriaguez): 5-8a reclusão</t>
        </is>
      </c>
      <c r="M196" s="7" t="inlineStr">
        <is>
          <t>Sim</t>
        </is>
      </c>
      <c r="N196" s="7" t="inlineStr">
        <is>
          <t>Não</t>
        </is>
      </c>
    </row>
    <row r="197">
      <c r="A197" s="7" t="inlineStr">
        <is>
          <t>CTB (9.503/97)</t>
        </is>
      </c>
      <c r="B197" s="7" t="inlineStr">
        <is>
          <t>Art. 303</t>
        </is>
      </c>
      <c r="C197" s="16" t="inlineStr">
        <is>
          <t>Lesão corporal culposa na direção de veículo automotor</t>
        </is>
      </c>
      <c r="D197" s="7" t="n">
        <v>6</v>
      </c>
      <c r="E197" s="7" t="n">
        <v>24</v>
      </c>
      <c r="F197" s="7" t="inlineStr">
        <is>
          <t>Detenção</t>
        </is>
      </c>
      <c r="G197" s="7" t="inlineStr">
        <is>
          <t>Pública Incondicionada</t>
        </is>
      </c>
      <c r="H197" s="7" t="inlineStr">
        <is>
          <t>Não</t>
        </is>
      </c>
      <c r="I197" s="7" t="inlineStr">
        <is>
          <t>Culposo</t>
        </is>
      </c>
      <c r="J197" s="7" t="inlineStr">
        <is>
          <t>Não</t>
        </is>
      </c>
      <c r="K197" s="16" t="inlineStr">
        <is>
          <t>§1º: +1/3 a +1/2 se: I-sem habilitação; II-via de pedestres; III-sem prestar socorro; IV-exercício profissional; V-sob influência de álcool. §2º: se grave/gravíssima sob álcool = 2-5 anos de reclusão</t>
        </is>
      </c>
      <c r="L197" s="16" t="inlineStr"/>
      <c r="M197" s="7" t="inlineStr">
        <is>
          <t>Sim</t>
        </is>
      </c>
      <c r="N197" s="7" t="inlineStr">
        <is>
          <t>Sim</t>
        </is>
      </c>
    </row>
    <row r="198">
      <c r="A198" s="7" t="inlineStr">
        <is>
          <t>CTB (9.503/97)</t>
        </is>
      </c>
      <c r="B198" s="7" t="inlineStr">
        <is>
          <t>Art. 304</t>
        </is>
      </c>
      <c r="C198" s="16" t="inlineStr">
        <is>
          <t>Omissão de socorro na direção de veículo (fuga)</t>
        </is>
      </c>
      <c r="D198" s="7" t="n">
        <v>6</v>
      </c>
      <c r="E198" s="7" t="n">
        <v>12</v>
      </c>
      <c r="F198" s="7" t="inlineStr">
        <is>
          <t>Detenção</t>
        </is>
      </c>
      <c r="G198" s="7" t="inlineStr">
        <is>
          <t>Pública Incondicionada</t>
        </is>
      </c>
      <c r="H198" s="7" t="inlineStr">
        <is>
          <t>Não</t>
        </is>
      </c>
      <c r="I198" s="7" t="inlineStr">
        <is>
          <t>Doloso</t>
        </is>
      </c>
      <c r="J198" s="7" t="inlineStr">
        <is>
          <t>Controverso</t>
        </is>
      </c>
      <c r="K198" s="16" t="inlineStr">
        <is>
          <t>+1/3 se necessário</t>
        </is>
      </c>
      <c r="L198" s="16" t="inlineStr">
        <is>
          <t>Deixar de prestar socorro à vítima quando possível sem risco pessoal</t>
        </is>
      </c>
      <c r="M198" s="7" t="inlineStr">
        <is>
          <t>Sim</t>
        </is>
      </c>
      <c r="N198" s="7" t="inlineStr">
        <is>
          <t>Sim</t>
        </is>
      </c>
    </row>
    <row r="199">
      <c r="A199" s="7" t="inlineStr">
        <is>
          <t>CTB (9.503/97)</t>
        </is>
      </c>
      <c r="B199" s="7" t="inlineStr">
        <is>
          <t>Art. 305</t>
        </is>
      </c>
      <c r="C199" s="16" t="inlineStr">
        <is>
          <t>Evasão do local do acidente (afastamento)</t>
        </is>
      </c>
      <c r="D199" s="7" t="n">
        <v>6</v>
      </c>
      <c r="E199" s="7" t="n">
        <v>12</v>
      </c>
      <c r="F199" s="7" t="inlineStr">
        <is>
          <t>Detenção</t>
        </is>
      </c>
      <c r="G199" s="7" t="inlineStr">
        <is>
          <t>Pública Incondicionada</t>
        </is>
      </c>
      <c r="H199" s="7" t="inlineStr">
        <is>
          <t>Não</t>
        </is>
      </c>
      <c r="I199" s="7" t="inlineStr">
        <is>
          <t>Doloso</t>
        </is>
      </c>
      <c r="J199" s="7" t="inlineStr">
        <is>
          <t>Controverso</t>
        </is>
      </c>
      <c r="K199" s="16" t="inlineStr">
        <is>
          <t>—</t>
        </is>
      </c>
      <c r="L199" s="16" t="inlineStr">
        <is>
          <t>Afastar-se do local sem prestar socorro</t>
        </is>
      </c>
      <c r="M199" s="7" t="inlineStr">
        <is>
          <t>Sim</t>
        </is>
      </c>
      <c r="N199" s="7" t="inlineStr">
        <is>
          <t>Sim</t>
        </is>
      </c>
    </row>
    <row r="200">
      <c r="A200" s="7" t="inlineStr">
        <is>
          <t>CTB (9.503/97)</t>
        </is>
      </c>
      <c r="B200" s="7" t="inlineStr">
        <is>
          <t>Art. 306</t>
        </is>
      </c>
      <c r="C200" s="16" t="inlineStr">
        <is>
          <t>Embriaguez ao volante</t>
        </is>
      </c>
      <c r="D200" s="7" t="n">
        <v>6</v>
      </c>
      <c r="E200" s="7" t="n">
        <v>36</v>
      </c>
      <c r="F200" s="7" t="inlineStr">
        <is>
          <t>Detenção</t>
        </is>
      </c>
      <c r="G200" s="7" t="inlineStr">
        <is>
          <t>Pública Incondicionada</t>
        </is>
      </c>
      <c r="H200" s="7" t="inlineStr">
        <is>
          <t>Não</t>
        </is>
      </c>
      <c r="I200" s="7" t="inlineStr">
        <is>
          <t>Doloso</t>
        </is>
      </c>
      <c r="J200" s="7" t="inlineStr">
        <is>
          <t>Controverso</t>
        </is>
      </c>
      <c r="K200" s="16" t="inlineStr">
        <is>
          <t>—</t>
        </is>
      </c>
      <c r="L200" s="16" t="inlineStr">
        <is>
          <t>≥ 6 dg/L de sangue (0,3 mg/L no ar). Crime de perigo abstrato. Suspensão/proibição + multa</t>
        </is>
      </c>
      <c r="M200" s="7" t="inlineStr">
        <is>
          <t>Sim</t>
        </is>
      </c>
      <c r="N200" s="7" t="inlineStr">
        <is>
          <t>Sim</t>
        </is>
      </c>
    </row>
    <row r="201">
      <c r="A201" s="7" t="inlineStr">
        <is>
          <t>CTB (9.503/97)</t>
        </is>
      </c>
      <c r="B201" s="7" t="inlineStr">
        <is>
          <t>Art. 307</t>
        </is>
      </c>
      <c r="C201" s="16" t="inlineStr">
        <is>
          <t>Participação em competição não autorizada ('racha')</t>
        </is>
      </c>
      <c r="D201" s="7" t="n">
        <v>6</v>
      </c>
      <c r="E201" s="7" t="n">
        <v>36</v>
      </c>
      <c r="F201" s="7" t="inlineStr">
        <is>
          <t>Detenção</t>
        </is>
      </c>
      <c r="G201" s="7" t="inlineStr">
        <is>
          <t>Pública Incondicionada</t>
        </is>
      </c>
      <c r="H201" s="7" t="inlineStr">
        <is>
          <t>Não</t>
        </is>
      </c>
      <c r="I201" s="7" t="inlineStr">
        <is>
          <t>Doloso</t>
        </is>
      </c>
      <c r="J201" s="7" t="inlineStr">
        <is>
          <t>Controverso</t>
        </is>
      </c>
      <c r="K201" s="16" t="inlineStr">
        <is>
          <t>§1º: se resulta lesão grave = 3-6 anos de reclusão. §2º: se resulta morte = 5-10 anos de reclusão</t>
        </is>
      </c>
      <c r="L201" s="16" t="inlineStr"/>
      <c r="M201" s="7" t="inlineStr">
        <is>
          <t>Sim</t>
        </is>
      </c>
      <c r="N201" s="7" t="inlineStr">
        <is>
          <t>Sim</t>
        </is>
      </c>
    </row>
    <row r="202">
      <c r="A202" s="7" t="inlineStr">
        <is>
          <t>CTB (9.503/97)</t>
        </is>
      </c>
      <c r="B202" s="7" t="inlineStr">
        <is>
          <t>Art. 308</t>
        </is>
      </c>
      <c r="C202" s="16" t="inlineStr">
        <is>
          <t>Direção perigosa em via pública</t>
        </is>
      </c>
      <c r="D202" s="7" t="n">
        <v>6</v>
      </c>
      <c r="E202" s="7" t="n">
        <v>24</v>
      </c>
      <c r="F202" s="7" t="inlineStr">
        <is>
          <t>Detenção</t>
        </is>
      </c>
      <c r="G202" s="7" t="inlineStr">
        <is>
          <t>Pública Incondicionada</t>
        </is>
      </c>
      <c r="H202" s="7" t="inlineStr">
        <is>
          <t>Não</t>
        </is>
      </c>
      <c r="I202" s="7" t="inlineStr">
        <is>
          <t>Doloso</t>
        </is>
      </c>
      <c r="J202" s="7" t="inlineStr">
        <is>
          <t>Controverso</t>
        </is>
      </c>
      <c r="K202" s="16" t="inlineStr">
        <is>
          <t>—</t>
        </is>
      </c>
      <c r="L202" s="16" t="inlineStr">
        <is>
          <t>Conduzir sem habilitação gerando perigo de dano</t>
        </is>
      </c>
      <c r="M202" s="7" t="inlineStr">
        <is>
          <t>Sim</t>
        </is>
      </c>
      <c r="N202" s="7" t="inlineStr">
        <is>
          <t>Sim</t>
        </is>
      </c>
    </row>
    <row r="203">
      <c r="A203" s="7" t="inlineStr">
        <is>
          <t>CTB (9.503/97)</t>
        </is>
      </c>
      <c r="B203" s="7" t="inlineStr">
        <is>
          <t>Art. 309</t>
        </is>
      </c>
      <c r="C203" s="16" t="inlineStr">
        <is>
          <t>Dirigir sem habilitação gerando perigo de dano</t>
        </is>
      </c>
      <c r="D203" s="7" t="n">
        <v>6</v>
      </c>
      <c r="E203" s="7" t="n">
        <v>12</v>
      </c>
      <c r="F203" s="7" t="inlineStr">
        <is>
          <t>Detenção</t>
        </is>
      </c>
      <c r="G203" s="7" t="inlineStr">
        <is>
          <t>Pública Incondicionada</t>
        </is>
      </c>
      <c r="H203" s="7" t="inlineStr">
        <is>
          <t>Não</t>
        </is>
      </c>
      <c r="I203" s="7" t="inlineStr">
        <is>
          <t>Doloso</t>
        </is>
      </c>
      <c r="J203" s="7" t="inlineStr">
        <is>
          <t>Controverso</t>
        </is>
      </c>
      <c r="K203" s="16" t="inlineStr">
        <is>
          <t>—</t>
        </is>
      </c>
      <c r="L203" s="16" t="inlineStr">
        <is>
          <t>Crime de perigo concreto. Se não há perigo = mera infração administrativa</t>
        </is>
      </c>
      <c r="M203" s="7" t="inlineStr">
        <is>
          <t>Sim</t>
        </is>
      </c>
      <c r="N203" s="7" t="inlineStr">
        <is>
          <t>Sim</t>
        </is>
      </c>
    </row>
    <row r="204">
      <c r="A204" s="7" t="inlineStr">
        <is>
          <t>CTB (9.503/97)</t>
        </is>
      </c>
      <c r="B204" s="7" t="inlineStr">
        <is>
          <t>Art. 310</t>
        </is>
      </c>
      <c r="C204" s="16" t="inlineStr">
        <is>
          <t>Permitir/confiar/entregar veículo a pessoa não habilitada ou incapaz</t>
        </is>
      </c>
      <c r="D204" s="7" t="n">
        <v>6</v>
      </c>
      <c r="E204" s="7" t="n">
        <v>12</v>
      </c>
      <c r="F204" s="7" t="inlineStr">
        <is>
          <t>Detenção</t>
        </is>
      </c>
      <c r="G204" s="7" t="inlineStr">
        <is>
          <t>Pública Incondicionada</t>
        </is>
      </c>
      <c r="H204" s="7" t="inlineStr">
        <is>
          <t>Não</t>
        </is>
      </c>
      <c r="I204" s="7" t="inlineStr">
        <is>
          <t>Doloso</t>
        </is>
      </c>
      <c r="J204" s="7" t="inlineStr">
        <is>
          <t>Sim</t>
        </is>
      </c>
      <c r="K204" s="16" t="inlineStr">
        <is>
          <t>—</t>
        </is>
      </c>
      <c r="L204" s="16" t="inlineStr"/>
      <c r="M204" s="7" t="inlineStr">
        <is>
          <t>Sim</t>
        </is>
      </c>
      <c r="N204" s="7" t="inlineStr">
        <is>
          <t>Sim</t>
        </is>
      </c>
    </row>
    <row r="205">
      <c r="A205" s="7" t="inlineStr">
        <is>
          <t>CTB (9.503/97)</t>
        </is>
      </c>
      <c r="B205" s="7" t="inlineStr">
        <is>
          <t>Art. 311</t>
        </is>
      </c>
      <c r="C205" s="16" t="inlineStr">
        <is>
          <t>Velocidade incompatível em vias específicas</t>
        </is>
      </c>
      <c r="D205" s="7" t="n">
        <v>6</v>
      </c>
      <c r="E205" s="7" t="n">
        <v>24</v>
      </c>
      <c r="F205" s="7" t="inlineStr">
        <is>
          <t>Detenção</t>
        </is>
      </c>
      <c r="G205" s="7" t="inlineStr">
        <is>
          <t>Pública Incondicionada</t>
        </is>
      </c>
      <c r="H205" s="7" t="inlineStr">
        <is>
          <t>Não</t>
        </is>
      </c>
      <c r="I205" s="7" t="inlineStr">
        <is>
          <t>Doloso</t>
        </is>
      </c>
      <c r="J205" s="7" t="inlineStr">
        <is>
          <t>Controverso</t>
        </is>
      </c>
      <c r="K205" s="16" t="inlineStr">
        <is>
          <t>—</t>
        </is>
      </c>
      <c r="L205" s="16" t="inlineStr">
        <is>
          <t>Em vias próximas a escolas, hospitais, etc., gerando perigo de dano</t>
        </is>
      </c>
      <c r="M205" s="7" t="inlineStr">
        <is>
          <t>Sim</t>
        </is>
      </c>
      <c r="N205" s="7" t="inlineStr">
        <is>
          <t>Sim</t>
        </is>
      </c>
    </row>
    <row r="206">
      <c r="A206" s="7" t="inlineStr">
        <is>
          <t>CTB (9.503/97)</t>
        </is>
      </c>
      <c r="B206" s="7" t="inlineStr">
        <is>
          <t>Art. 312</t>
        </is>
      </c>
      <c r="C206" s="16" t="inlineStr">
        <is>
          <t>Inovação artificiosa de acidente de trânsito</t>
        </is>
      </c>
      <c r="D206" s="7" t="n">
        <v>6</v>
      </c>
      <c r="E206" s="7" t="n">
        <v>12</v>
      </c>
      <c r="F206" s="7" t="inlineStr">
        <is>
          <t>Detenção</t>
        </is>
      </c>
      <c r="G206" s="7" t="inlineStr">
        <is>
          <t>Pública Incondicionada</t>
        </is>
      </c>
      <c r="H206" s="7" t="inlineStr">
        <is>
          <t>Não</t>
        </is>
      </c>
      <c r="I206" s="7" t="inlineStr">
        <is>
          <t>Doloso</t>
        </is>
      </c>
      <c r="J206" s="7" t="inlineStr">
        <is>
          <t>Sim</t>
        </is>
      </c>
      <c r="K206" s="16" t="inlineStr">
        <is>
          <t>—</t>
        </is>
      </c>
      <c r="L206" s="16" t="inlineStr">
        <is>
          <t>Inovar artificiosamente estado de lugar/coisa/pessoa em acidente</t>
        </is>
      </c>
      <c r="M206" s="7" t="inlineStr">
        <is>
          <t>Sim</t>
        </is>
      </c>
      <c r="N206" s="7" t="inlineStr">
        <is>
          <t>Sim</t>
        </is>
      </c>
    </row>
    <row r="207">
      <c r="A207" s="7" t="inlineStr">
        <is>
          <t>Lei 9.605/98</t>
        </is>
      </c>
      <c r="B207" s="7" t="inlineStr">
        <is>
          <t>Art. 29</t>
        </is>
      </c>
      <c r="C207" s="16" t="inlineStr">
        <is>
          <t>Crimes contra a fauna (caça/pesca ilegal)</t>
        </is>
      </c>
      <c r="D207" s="7" t="n">
        <v>6</v>
      </c>
      <c r="E207" s="7" t="n">
        <v>12</v>
      </c>
      <c r="F207" s="7" t="inlineStr">
        <is>
          <t>Detenção</t>
        </is>
      </c>
      <c r="G207" s="7" t="inlineStr">
        <is>
          <t>Pública Incondicionada</t>
        </is>
      </c>
      <c r="H207" s="7" t="inlineStr">
        <is>
          <t>Não</t>
        </is>
      </c>
      <c r="I207" s="7" t="inlineStr">
        <is>
          <t>Doloso e Culposo</t>
        </is>
      </c>
      <c r="J207" s="7" t="inlineStr">
        <is>
          <t>Sim</t>
        </is>
      </c>
      <c r="K207" s="16" t="inlineStr">
        <is>
          <t>§1º: penas específicas para espécies em extinção, período proibido, etc. §4º: +metade se contra espécies raras/ameaçadas. §5º: +metade se caça profissional</t>
        </is>
      </c>
      <c r="L207" s="16" t="inlineStr">
        <is>
          <t>6 meses a 1 ano + multa</t>
        </is>
      </c>
      <c r="M207" s="7" t="inlineStr">
        <is>
          <t>Sim</t>
        </is>
      </c>
      <c r="N207" s="7" t="inlineStr">
        <is>
          <t>Sim</t>
        </is>
      </c>
    </row>
    <row r="208">
      <c r="A208" s="7" t="inlineStr">
        <is>
          <t>Lei 9.605/98</t>
        </is>
      </c>
      <c r="B208" s="7" t="inlineStr">
        <is>
          <t>Art. 32</t>
        </is>
      </c>
      <c r="C208" s="16" t="inlineStr">
        <is>
          <t>Maus-tratos a animais</t>
        </is>
      </c>
      <c r="D208" s="7" t="n">
        <v>3</v>
      </c>
      <c r="E208" s="7" t="n">
        <v>12</v>
      </c>
      <c r="F208" s="7" t="inlineStr">
        <is>
          <t>Detenção</t>
        </is>
      </c>
      <c r="G208" s="7" t="inlineStr">
        <is>
          <t>Pública Incondicionada</t>
        </is>
      </c>
      <c r="H208" s="7" t="inlineStr">
        <is>
          <t>Não</t>
        </is>
      </c>
      <c r="I208" s="7" t="inlineStr">
        <is>
          <t>Doloso</t>
        </is>
      </c>
      <c r="J208" s="7" t="inlineStr">
        <is>
          <t>Sim</t>
        </is>
      </c>
      <c r="K208" s="16" t="inlineStr">
        <is>
          <t>§1º-A: cão ou gato = 2-5 anos de reclusão. §2º: se morte = +1/6 a +1/3</t>
        </is>
      </c>
      <c r="L208" s="16" t="inlineStr">
        <is>
          <t>Lei 14.064/2020 (Lei Sansão): pena qualificada para maus-tratos a cães e gatos</t>
        </is>
      </c>
      <c r="M208" s="7" t="inlineStr">
        <is>
          <t>Sim</t>
        </is>
      </c>
      <c r="N208" s="7" t="inlineStr">
        <is>
          <t>Sim</t>
        </is>
      </c>
    </row>
    <row r="209">
      <c r="A209" s="7" t="inlineStr">
        <is>
          <t>Lei 9.605/98</t>
        </is>
      </c>
      <c r="B209" s="7" t="inlineStr">
        <is>
          <t>Art. 38</t>
        </is>
      </c>
      <c r="C209" s="16" t="inlineStr">
        <is>
          <t>Destruir/danificar floresta de APP</t>
        </is>
      </c>
      <c r="D209" s="7" t="n">
        <v>12</v>
      </c>
      <c r="E209" s="7" t="n">
        <v>36</v>
      </c>
      <c r="F209" s="7" t="inlineStr">
        <is>
          <t>Detenção</t>
        </is>
      </c>
      <c r="G209" s="7" t="inlineStr">
        <is>
          <t>Pública Incondicionada</t>
        </is>
      </c>
      <c r="H209" s="7" t="inlineStr">
        <is>
          <t>Não</t>
        </is>
      </c>
      <c r="I209" s="7" t="inlineStr">
        <is>
          <t>Doloso e Culposo</t>
        </is>
      </c>
      <c r="J209" s="7" t="inlineStr">
        <is>
          <t>Sim</t>
        </is>
      </c>
      <c r="K209" s="16" t="inlineStr">
        <is>
          <t>—</t>
        </is>
      </c>
      <c r="L209" s="16" t="inlineStr">
        <is>
          <t>Área de Preservação Permanente</t>
        </is>
      </c>
      <c r="M209" s="7" t="inlineStr">
        <is>
          <t>Sim</t>
        </is>
      </c>
      <c r="N209" s="7" t="inlineStr">
        <is>
          <t>Sim</t>
        </is>
      </c>
    </row>
    <row r="210">
      <c r="A210" s="7" t="inlineStr">
        <is>
          <t>Lei 9.605/98</t>
        </is>
      </c>
      <c r="B210" s="7" t="inlineStr">
        <is>
          <t>Art. 40</t>
        </is>
      </c>
      <c r="C210" s="16" t="inlineStr">
        <is>
          <t>Causar dano a Unidade de Conservação</t>
        </is>
      </c>
      <c r="D210" s="7" t="n">
        <v>12</v>
      </c>
      <c r="E210" s="7" t="n">
        <v>60</v>
      </c>
      <c r="F210" s="7" t="inlineStr">
        <is>
          <t>Reclusão</t>
        </is>
      </c>
      <c r="G210" s="7" t="inlineStr">
        <is>
          <t>Pública Incondicionada</t>
        </is>
      </c>
      <c r="H210" s="7" t="inlineStr">
        <is>
          <t>Não</t>
        </is>
      </c>
      <c r="I210" s="7" t="inlineStr">
        <is>
          <t>Doloso e Culposo</t>
        </is>
      </c>
      <c r="J210" s="7" t="inlineStr">
        <is>
          <t>Sim</t>
        </is>
      </c>
      <c r="K210" s="16" t="inlineStr">
        <is>
          <t>—</t>
        </is>
      </c>
      <c r="L210" s="16" t="inlineStr">
        <is>
          <t>1-5 anos</t>
        </is>
      </c>
      <c r="M210" s="7" t="inlineStr">
        <is>
          <t>Sim</t>
        </is>
      </c>
      <c r="N210" s="7" t="inlineStr">
        <is>
          <t>Sim</t>
        </is>
      </c>
    </row>
    <row r="211">
      <c r="A211" s="7" t="inlineStr">
        <is>
          <t>Lei 9.605/98</t>
        </is>
      </c>
      <c r="B211" s="7" t="inlineStr">
        <is>
          <t>Art. 41</t>
        </is>
      </c>
      <c r="C211" s="16" t="inlineStr">
        <is>
          <t>Incêndio em mata ou floresta</t>
        </is>
      </c>
      <c r="D211" s="7" t="n">
        <v>24</v>
      </c>
      <c r="E211" s="7" t="n">
        <v>48</v>
      </c>
      <c r="F211" s="7" t="inlineStr">
        <is>
          <t>Reclusão</t>
        </is>
      </c>
      <c r="G211" s="7" t="inlineStr">
        <is>
          <t>Pública Incondicionada</t>
        </is>
      </c>
      <c r="H211" s="7" t="inlineStr">
        <is>
          <t>Não</t>
        </is>
      </c>
      <c r="I211" s="7" t="inlineStr">
        <is>
          <t>Doloso e Culposo</t>
        </is>
      </c>
      <c r="J211" s="7" t="inlineStr">
        <is>
          <t>Sim</t>
        </is>
      </c>
      <c r="K211" s="16" t="inlineStr">
        <is>
          <t>Parágrafo único: culposo = 6m-1a</t>
        </is>
      </c>
      <c r="L211" s="16" t="inlineStr"/>
      <c r="M211" s="7" t="inlineStr">
        <is>
          <t>Sim</t>
        </is>
      </c>
      <c r="N211" s="7" t="inlineStr">
        <is>
          <t>Não</t>
        </is>
      </c>
    </row>
    <row r="212">
      <c r="A212" s="7" t="inlineStr">
        <is>
          <t>Lei 9.605/98</t>
        </is>
      </c>
      <c r="B212" s="7" t="inlineStr">
        <is>
          <t>Art. 54</t>
        </is>
      </c>
      <c r="C212" s="16" t="inlineStr">
        <is>
          <t>Poluição (causar poluição que resulte danos à saúde/animais/vegetação)</t>
        </is>
      </c>
      <c r="D212" s="7" t="n">
        <v>12</v>
      </c>
      <c r="E212" s="7" t="n">
        <v>48</v>
      </c>
      <c r="F212" s="7" t="inlineStr">
        <is>
          <t>Reclusão</t>
        </is>
      </c>
      <c r="G212" s="7" t="inlineStr">
        <is>
          <t>Pública Incondicionada</t>
        </is>
      </c>
      <c r="H212" s="7" t="inlineStr">
        <is>
          <t>Não</t>
        </is>
      </c>
      <c r="I212" s="7" t="inlineStr">
        <is>
          <t>Doloso e Culposo</t>
        </is>
      </c>
      <c r="J212" s="7" t="inlineStr">
        <is>
          <t>Sim</t>
        </is>
      </c>
      <c r="K212" s="16" t="inlineStr">
        <is>
          <t>§2º: 1-5 anos se: I-tornar área imprópria; II-causar poluição do ar; III-causar poluição hídrica que obrigue interrupção de abastecimento. §3º: culposo = 1-3 anos</t>
        </is>
      </c>
      <c r="L212" s="16" t="inlineStr"/>
      <c r="M212" s="7" t="inlineStr">
        <is>
          <t>Sim</t>
        </is>
      </c>
      <c r="N212" s="7" t="inlineStr">
        <is>
          <t>Sim</t>
        </is>
      </c>
    </row>
    <row r="213">
      <c r="A213" s="7" t="inlineStr">
        <is>
          <t>Lei 9.605/98</t>
        </is>
      </c>
      <c r="B213" s="7" t="inlineStr">
        <is>
          <t>Art. 55</t>
        </is>
      </c>
      <c r="C213" s="16" t="inlineStr">
        <is>
          <t>Extração mineral sem autorização/licença</t>
        </is>
      </c>
      <c r="D213" s="7" t="n">
        <v>6</v>
      </c>
      <c r="E213" s="7" t="n">
        <v>12</v>
      </c>
      <c r="F213" s="7" t="inlineStr">
        <is>
          <t>Detenção</t>
        </is>
      </c>
      <c r="G213" s="7" t="inlineStr">
        <is>
          <t>Pública Incondicionada</t>
        </is>
      </c>
      <c r="H213" s="7" t="inlineStr">
        <is>
          <t>Não</t>
        </is>
      </c>
      <c r="I213" s="7" t="inlineStr">
        <is>
          <t>Doloso</t>
        </is>
      </c>
      <c r="J213" s="7" t="inlineStr">
        <is>
          <t>Sim</t>
        </is>
      </c>
      <c r="K213" s="16" t="inlineStr">
        <is>
          <t>—</t>
        </is>
      </c>
      <c r="L213" s="16" t="inlineStr">
        <is>
          <t>Pesquisa/lavra/extração de recursos minerais sem autorização</t>
        </is>
      </c>
      <c r="M213" s="7" t="inlineStr">
        <is>
          <t>Sim</t>
        </is>
      </c>
      <c r="N213" s="7" t="inlineStr">
        <is>
          <t>Sim</t>
        </is>
      </c>
    </row>
    <row r="214">
      <c r="A214" s="7" t="inlineStr">
        <is>
          <t>Lei 9.605/98</t>
        </is>
      </c>
      <c r="B214" s="7" t="inlineStr">
        <is>
          <t>Art. 56</t>
        </is>
      </c>
      <c r="C214" s="16" t="inlineStr">
        <is>
          <t>Substância tóxica/perigosa/nociva sem autorização</t>
        </is>
      </c>
      <c r="D214" s="7" t="n">
        <v>12</v>
      </c>
      <c r="E214" s="7" t="n">
        <v>48</v>
      </c>
      <c r="F214" s="7" t="inlineStr">
        <is>
          <t>Reclusão</t>
        </is>
      </c>
      <c r="G214" s="7" t="inlineStr">
        <is>
          <t>Pública Incondicionada</t>
        </is>
      </c>
      <c r="H214" s="7" t="inlineStr">
        <is>
          <t>Não</t>
        </is>
      </c>
      <c r="I214" s="7" t="inlineStr">
        <is>
          <t>Doloso e Culposo</t>
        </is>
      </c>
      <c r="J214" s="7" t="inlineStr">
        <is>
          <t>Sim</t>
        </is>
      </c>
      <c r="K214" s="16" t="inlineStr">
        <is>
          <t>§1º: culposo = 6m-1a. §2º: se resulta lesão grave = 2-5a. §3º: se morte = 3-6a</t>
        </is>
      </c>
      <c r="L214" s="16" t="inlineStr">
        <is>
          <t>Produzir/processar/embalar/importar/exportar/comercializar/fornecer/transportar substância tóxica</t>
        </is>
      </c>
      <c r="M214" s="7" t="inlineStr">
        <is>
          <t>Sim</t>
        </is>
      </c>
      <c r="N214" s="7" t="inlineStr">
        <is>
          <t>Sim</t>
        </is>
      </c>
    </row>
    <row r="215">
      <c r="A215" s="7" t="inlineStr">
        <is>
          <t>Lei 9.605/98</t>
        </is>
      </c>
      <c r="B215" s="7" t="inlineStr">
        <is>
          <t>Art. 62</t>
        </is>
      </c>
      <c r="C215" s="16" t="inlineStr">
        <is>
          <t>Destruição de patrimônio cultural/natural (edificação/local protegido)</t>
        </is>
      </c>
      <c r="D215" s="7" t="n">
        <v>12</v>
      </c>
      <c r="E215" s="7" t="n">
        <v>36</v>
      </c>
      <c r="F215" s="7" t="inlineStr">
        <is>
          <t>Reclusão</t>
        </is>
      </c>
      <c r="G215" s="7" t="inlineStr">
        <is>
          <t>Pública Incondicionada</t>
        </is>
      </c>
      <c r="H215" s="7" t="inlineStr">
        <is>
          <t>Não</t>
        </is>
      </c>
      <c r="I215" s="7" t="inlineStr">
        <is>
          <t>Doloso</t>
        </is>
      </c>
      <c r="J215" s="7" t="inlineStr">
        <is>
          <t>Sim</t>
        </is>
      </c>
      <c r="K215" s="16" t="inlineStr">
        <is>
          <t>—</t>
        </is>
      </c>
      <c r="L215" s="16" t="inlineStr"/>
      <c r="M215" s="7" t="inlineStr">
        <is>
          <t>Sim</t>
        </is>
      </c>
      <c r="N215" s="7" t="inlineStr">
        <is>
          <t>Sim</t>
        </is>
      </c>
    </row>
    <row r="216">
      <c r="A216" s="7" t="inlineStr">
        <is>
          <t>Lei 9.605/98</t>
        </is>
      </c>
      <c r="B216" s="7" t="inlineStr">
        <is>
          <t>Art. 63</t>
        </is>
      </c>
      <c r="C216" s="16" t="inlineStr">
        <is>
          <t>Alteração de aspecto de local protegido</t>
        </is>
      </c>
      <c r="D216" s="7" t="n">
        <v>1</v>
      </c>
      <c r="E216" s="7" t="n">
        <v>6</v>
      </c>
      <c r="F216" s="7" t="inlineStr">
        <is>
          <t>Detenção</t>
        </is>
      </c>
      <c r="G216" s="7" t="inlineStr">
        <is>
          <t>Pública Incondicionada</t>
        </is>
      </c>
      <c r="H216" s="7" t="inlineStr">
        <is>
          <t>Não</t>
        </is>
      </c>
      <c r="I216" s="7" t="inlineStr">
        <is>
          <t>Doloso</t>
        </is>
      </c>
      <c r="J216" s="7" t="inlineStr">
        <is>
          <t>Sim</t>
        </is>
      </c>
      <c r="K216" s="16" t="inlineStr">
        <is>
          <t>—</t>
        </is>
      </c>
      <c r="L216" s="16" t="inlineStr">
        <is>
          <t>1-6 meses. Sem autorização do órgão competente</t>
        </is>
      </c>
      <c r="M216" s="7" t="inlineStr">
        <is>
          <t>Sim</t>
        </is>
      </c>
      <c r="N216" s="7" t="inlineStr">
        <is>
          <t>Sim</t>
        </is>
      </c>
    </row>
    <row r="217">
      <c r="A217" s="7" t="inlineStr">
        <is>
          <t>Lei 9.605/98</t>
        </is>
      </c>
      <c r="B217" s="7" t="inlineStr">
        <is>
          <t>Art. 65</t>
        </is>
      </c>
      <c r="C217" s="16" t="inlineStr">
        <is>
          <t>Pichação/grafite sem autorização</t>
        </is>
      </c>
      <c r="D217" s="7" t="n">
        <v>3</v>
      </c>
      <c r="E217" s="7" t="n">
        <v>12</v>
      </c>
      <c r="F217" s="7" t="inlineStr">
        <is>
          <t>Detenção</t>
        </is>
      </c>
      <c r="G217" s="7" t="inlineStr">
        <is>
          <t>Pública Incondicionada</t>
        </is>
      </c>
      <c r="H217" s="7" t="inlineStr">
        <is>
          <t>Não</t>
        </is>
      </c>
      <c r="I217" s="7" t="inlineStr">
        <is>
          <t>Doloso</t>
        </is>
      </c>
      <c r="J217" s="7" t="inlineStr">
        <is>
          <t>Sim</t>
        </is>
      </c>
      <c r="K217" s="16" t="inlineStr">
        <is>
          <t>§1º: se edificação/monumento tombado = 6m-1a. §2º: grafite valoriza patrimônio: não é crime</t>
        </is>
      </c>
      <c r="L217" s="16" t="inlineStr"/>
      <c r="M217" s="7" t="inlineStr">
        <is>
          <t>Sim</t>
        </is>
      </c>
      <c r="N217" s="7" t="inlineStr">
        <is>
          <t>Sim</t>
        </is>
      </c>
    </row>
    <row r="218">
      <c r="A218" s="7" t="inlineStr">
        <is>
          <t>Lei 9.605/98</t>
        </is>
      </c>
      <c r="B218" s="7" t="inlineStr">
        <is>
          <t>Art. 66</t>
        </is>
      </c>
      <c r="C218" s="16" t="inlineStr">
        <is>
          <t>Funcionário público omisso em obrigação ambiental</t>
        </is>
      </c>
      <c r="D218" s="7" t="n">
        <v>12</v>
      </c>
      <c r="E218" s="7" t="n">
        <v>36</v>
      </c>
      <c r="F218" s="7" t="inlineStr">
        <is>
          <t>Detenção</t>
        </is>
      </c>
      <c r="G218" s="7" t="inlineStr">
        <is>
          <t>Pública Incondicionada</t>
        </is>
      </c>
      <c r="H218" s="7" t="inlineStr">
        <is>
          <t>Não</t>
        </is>
      </c>
      <c r="I218" s="7" t="inlineStr">
        <is>
          <t>Doloso</t>
        </is>
      </c>
      <c r="J218" s="7" t="inlineStr">
        <is>
          <t>Controverso</t>
        </is>
      </c>
      <c r="K218" s="16" t="inlineStr">
        <is>
          <t>—</t>
        </is>
      </c>
      <c r="L218" s="16" t="inlineStr">
        <is>
          <t>Crime próprio</t>
        </is>
      </c>
      <c r="M218" s="7" t="inlineStr">
        <is>
          <t>Sim</t>
        </is>
      </c>
      <c r="N218" s="7" t="inlineStr">
        <is>
          <t>Sim</t>
        </is>
      </c>
    </row>
    <row r="219">
      <c r="A219" s="7" t="inlineStr">
        <is>
          <t>Lei 9.605/98</t>
        </is>
      </c>
      <c r="B219" s="7" t="inlineStr">
        <is>
          <t>Art. 69</t>
        </is>
      </c>
      <c r="C219" s="16" t="inlineStr">
        <is>
          <t>Obstar/dificultar ação fiscalizadora do meio ambiente</t>
        </is>
      </c>
      <c r="D219" s="7" t="n">
        <v>12</v>
      </c>
      <c r="E219" s="7" t="n">
        <v>36</v>
      </c>
      <c r="F219" s="7" t="inlineStr">
        <is>
          <t>Detenção</t>
        </is>
      </c>
      <c r="G219" s="7" t="inlineStr">
        <is>
          <t>Pública Incondicionada</t>
        </is>
      </c>
      <c r="H219" s="7" t="inlineStr">
        <is>
          <t>Não</t>
        </is>
      </c>
      <c r="I219" s="7" t="inlineStr">
        <is>
          <t>Doloso</t>
        </is>
      </c>
      <c r="J219" s="7" t="inlineStr">
        <is>
          <t>Sim</t>
        </is>
      </c>
      <c r="K219" s="16" t="inlineStr">
        <is>
          <t>—</t>
        </is>
      </c>
      <c r="L219" s="16" t="inlineStr"/>
      <c r="M219" s="7" t="inlineStr">
        <is>
          <t>Sim</t>
        </is>
      </c>
      <c r="N219" s="7" t="inlineStr">
        <is>
          <t>Sim</t>
        </is>
      </c>
    </row>
    <row r="220">
      <c r="A220" s="7" t="inlineStr">
        <is>
          <t>Lei 8.137/90</t>
        </is>
      </c>
      <c r="B220" s="7" t="inlineStr">
        <is>
          <t>Art. 1º</t>
        </is>
      </c>
      <c r="C220" s="16" t="inlineStr">
        <is>
          <t>Sonegação fiscal (suprimir/reduzir tributo — fraude)</t>
        </is>
      </c>
      <c r="D220" s="7" t="n">
        <v>24</v>
      </c>
      <c r="E220" s="7" t="n">
        <v>60</v>
      </c>
      <c r="F220" s="7" t="inlineStr">
        <is>
          <t>Reclusão</t>
        </is>
      </c>
      <c r="G220" s="7" t="inlineStr">
        <is>
          <t>Pública Incondicionada</t>
        </is>
      </c>
      <c r="H220" s="7" t="inlineStr">
        <is>
          <t>Não</t>
        </is>
      </c>
      <c r="I220" s="7" t="inlineStr">
        <is>
          <t>Doloso</t>
        </is>
      </c>
      <c r="J220" s="7" t="inlineStr">
        <is>
          <t>Controverso</t>
        </is>
      </c>
      <c r="K220" s="16" t="inlineStr">
        <is>
          <t>I-omitir/alterar declaração; II-inserir elementos inexatos; III-falsificar/alterar nota fiscal; IV-elaborar/distribuir/fornecer/utilizar documento falso; V-negar nota fiscal</t>
        </is>
      </c>
      <c r="L220" s="16" t="inlineStr">
        <is>
          <t>Crime material (exige constituição definitiva do crédito — Súmula Vinculante 24 STF). Pagamento antes do recebimento da denúncia extingue punibilidade</t>
        </is>
      </c>
      <c r="M220" s="7" t="inlineStr">
        <is>
          <t>Sim</t>
        </is>
      </c>
      <c r="N220" s="7" t="inlineStr">
        <is>
          <t>Não</t>
        </is>
      </c>
    </row>
    <row r="221">
      <c r="A221" s="7" t="inlineStr">
        <is>
          <t>Lei 8.137/90</t>
        </is>
      </c>
      <c r="B221" s="7" t="inlineStr">
        <is>
          <t>Art. 2º</t>
        </is>
      </c>
      <c r="C221" s="16" t="inlineStr">
        <is>
          <t>Crimes tributários formais (não recolhimento)</t>
        </is>
      </c>
      <c r="D221" s="7" t="n">
        <v>6</v>
      </c>
      <c r="E221" s="7" t="n">
        <v>24</v>
      </c>
      <c r="F221" s="7" t="inlineStr">
        <is>
          <t>Detenção</t>
        </is>
      </c>
      <c r="G221" s="7" t="inlineStr">
        <is>
          <t>Pública Incondicionada</t>
        </is>
      </c>
      <c r="H221" s="7" t="inlineStr">
        <is>
          <t>Não</t>
        </is>
      </c>
      <c r="I221" s="7" t="inlineStr">
        <is>
          <t>Doloso</t>
        </is>
      </c>
      <c r="J221" s="7" t="inlineStr">
        <is>
          <t>Sim</t>
        </is>
      </c>
      <c r="K221" s="16" t="inlineStr">
        <is>
          <t>I-declaração falsa às autoridades fazendárias; II-deixar de recolher tributo descontado/cobrado; III-exigir/pagar/receber percentagem sobre despacho; IV-deixar de aplicar incentivo fiscal; V-usar/receber crédito fiscal indevido</t>
        </is>
      </c>
      <c r="L221" s="16" t="inlineStr">
        <is>
          <t>Art. 2º, II: apropriação indébita tributária. 6 meses a 2 anos</t>
        </is>
      </c>
      <c r="M221" s="7" t="inlineStr">
        <is>
          <t>Sim</t>
        </is>
      </c>
      <c r="N221" s="7" t="inlineStr">
        <is>
          <t>Sim</t>
        </is>
      </c>
    </row>
    <row r="222">
      <c r="A222" s="7" t="inlineStr">
        <is>
          <t>Lei 8.137/90</t>
        </is>
      </c>
      <c r="B222" s="7" t="inlineStr">
        <is>
          <t>Art. 3º</t>
        </is>
      </c>
      <c r="C222" s="16" t="inlineStr">
        <is>
          <t>Crimes funcionais contra a ordem tributária</t>
        </is>
      </c>
      <c r="D222" s="7" t="n">
        <v>12</v>
      </c>
      <c r="E222" s="7" t="n">
        <v>48</v>
      </c>
      <c r="F222" s="7" t="inlineStr">
        <is>
          <t>Reclusão</t>
        </is>
      </c>
      <c r="G222" s="7" t="inlineStr">
        <is>
          <t>Pública Incondicionada</t>
        </is>
      </c>
      <c r="H222" s="7" t="inlineStr">
        <is>
          <t>Não</t>
        </is>
      </c>
      <c r="I222" s="7" t="inlineStr">
        <is>
          <t>Doloso</t>
        </is>
      </c>
      <c r="J222" s="7" t="inlineStr">
        <is>
          <t>Sim</t>
        </is>
      </c>
      <c r="K222" s="16" t="inlineStr">
        <is>
          <t>I-extraviar livro/documento fiscal; II-exigir/solicitar/receber vantagem indevida (concussão/corrupção tributária); III-patrocinar interesse privado contra Fazenda</t>
        </is>
      </c>
      <c r="L222" s="16" t="inlineStr">
        <is>
          <t>Crime próprio: funcionário público</t>
        </is>
      </c>
      <c r="M222" s="7" t="inlineStr">
        <is>
          <t>Sim</t>
        </is>
      </c>
      <c r="N222" s="7" t="inlineStr">
        <is>
          <t>Sim</t>
        </is>
      </c>
    </row>
    <row r="223">
      <c r="A223" s="7" t="inlineStr">
        <is>
          <t>Lei 8.137/90</t>
        </is>
      </c>
      <c r="B223" s="7" t="inlineStr">
        <is>
          <t>Art. 4º</t>
        </is>
      </c>
      <c r="C223" s="16" t="inlineStr">
        <is>
          <t>Crimes contra a economia popular e relações de consumo</t>
        </is>
      </c>
      <c r="D223" s="7" t="n">
        <v>24</v>
      </c>
      <c r="E223" s="7" t="n">
        <v>60</v>
      </c>
      <c r="F223" s="7" t="inlineStr">
        <is>
          <t>Reclusão</t>
        </is>
      </c>
      <c r="G223" s="7" t="inlineStr">
        <is>
          <t>Pública Incondicionada</t>
        </is>
      </c>
      <c r="H223" s="7" t="inlineStr">
        <is>
          <t>Não</t>
        </is>
      </c>
      <c r="I223" s="7" t="inlineStr">
        <is>
          <t>Doloso</t>
        </is>
      </c>
      <c r="J223" s="7" t="inlineStr">
        <is>
          <t>Sim</t>
        </is>
      </c>
      <c r="K223" s="16" t="inlineStr">
        <is>
          <t>a-abusar do poder econômico; b-formar acordo/convênio para controle de mercado</t>
        </is>
      </c>
      <c r="L223" s="16" t="inlineStr">
        <is>
          <t>Práticas contra a livre concorrência</t>
        </is>
      </c>
      <c r="M223" s="7" t="inlineStr">
        <is>
          <t>Sim</t>
        </is>
      </c>
      <c r="N223" s="7" t="inlineStr">
        <is>
          <t>Não</t>
        </is>
      </c>
    </row>
    <row r="224">
      <c r="A224" s="7" t="inlineStr">
        <is>
          <t>Lei 12.850/13</t>
        </is>
      </c>
      <c r="B224" s="7" t="inlineStr">
        <is>
          <t>Art. 2º, caput</t>
        </is>
      </c>
      <c r="C224" s="16" t="inlineStr">
        <is>
          <t>Organização criminosa (promover/constituir/financiar/integrar)</t>
        </is>
      </c>
      <c r="D224" s="7" t="n">
        <v>36</v>
      </c>
      <c r="E224" s="7" t="n">
        <v>96</v>
      </c>
      <c r="F224" s="7" t="inlineStr">
        <is>
          <t>Reclusão</t>
        </is>
      </c>
      <c r="G224" s="7" t="inlineStr">
        <is>
          <t>Pública Incondicionada</t>
        </is>
      </c>
      <c r="H224" s="7" t="inlineStr">
        <is>
          <t>Não</t>
        </is>
      </c>
      <c r="I224" s="7" t="inlineStr">
        <is>
          <t>Doloso</t>
        </is>
      </c>
      <c r="J224" s="7" t="inlineStr">
        <is>
          <t>Não</t>
        </is>
      </c>
      <c r="K224" s="16" t="inlineStr">
        <is>
          <t>§2º: +1/3 a +2/3 se arma. §3º: +1/6 a +2/3 se comando. §4º: +1/6 a +2/3 se participação de criança/adolescente. §4º-A: +1/3 a +2/3 se funcionário público. §4º-B: +1/3 a +2/3 se estrutural e reiteradamente dirigida para crime hediondo</t>
        </is>
      </c>
      <c r="L224" s="16" t="inlineStr">
        <is>
          <t>4+ pessoas. Estruturalmente ordenada. Divisão de tarefas. Crime autônomo</t>
        </is>
      </c>
      <c r="M224" s="7" t="inlineStr">
        <is>
          <t>Sim</t>
        </is>
      </c>
      <c r="N224" s="7" t="inlineStr">
        <is>
          <t>Não</t>
        </is>
      </c>
    </row>
    <row r="225">
      <c r="A225" s="7" t="inlineStr">
        <is>
          <t>Lei 12.850/13</t>
        </is>
      </c>
      <c r="B225" s="7" t="inlineStr">
        <is>
          <t>Art. 2º, §1º</t>
        </is>
      </c>
      <c r="C225" s="16" t="inlineStr">
        <is>
          <t>Obstrução de investigação de organização criminosa</t>
        </is>
      </c>
      <c r="D225" s="7" t="n">
        <v>36</v>
      </c>
      <c r="E225" s="7" t="n">
        <v>96</v>
      </c>
      <c r="F225" s="7" t="inlineStr">
        <is>
          <t>Reclusão</t>
        </is>
      </c>
      <c r="G225" s="7" t="inlineStr">
        <is>
          <t>Pública Incondicionada</t>
        </is>
      </c>
      <c r="H225" s="7" t="inlineStr">
        <is>
          <t>Não</t>
        </is>
      </c>
      <c r="I225" s="7" t="inlineStr">
        <is>
          <t>Doloso</t>
        </is>
      </c>
      <c r="J225" s="7" t="inlineStr">
        <is>
          <t>Sim</t>
        </is>
      </c>
      <c r="K225" s="16" t="inlineStr">
        <is>
          <t>—</t>
        </is>
      </c>
      <c r="L225" s="16" t="inlineStr">
        <is>
          <t>Impedir/embaraçar investigação que envolva organização criminosa</t>
        </is>
      </c>
      <c r="M225" s="7" t="inlineStr">
        <is>
          <t>Sim</t>
        </is>
      </c>
      <c r="N225" s="7" t="inlineStr">
        <is>
          <t>Não</t>
        </is>
      </c>
    </row>
    <row r="226">
      <c r="A226" s="7" t="inlineStr">
        <is>
          <t>Lei 9.613/98</t>
        </is>
      </c>
      <c r="B226" s="7" t="inlineStr">
        <is>
          <t>Art. 1º</t>
        </is>
      </c>
      <c r="C226" s="16" t="inlineStr">
        <is>
          <t>Lavagem de dinheiro</t>
        </is>
      </c>
      <c r="D226" s="7" t="n">
        <v>36</v>
      </c>
      <c r="E226" s="7" t="n">
        <v>120</v>
      </c>
      <c r="F226" s="7" t="inlineStr">
        <is>
          <t>Reclusão</t>
        </is>
      </c>
      <c r="G226" s="7" t="inlineStr">
        <is>
          <t>Pública Incondicionada</t>
        </is>
      </c>
      <c r="H226" s="7" t="inlineStr">
        <is>
          <t>Não</t>
        </is>
      </c>
      <c r="I226" s="7" t="inlineStr">
        <is>
          <t>Doloso</t>
        </is>
      </c>
      <c r="J226" s="7" t="inlineStr">
        <is>
          <t>Sim</t>
        </is>
      </c>
      <c r="K226" s="16" t="inlineStr">
        <is>
          <t>§1º: mesma pena para ocultação/dissimulação da natureza/origem de bens. §2º: mesma pena para converter/utilizar bens sabendo serem de crime. §4º: +1/3 a +2/3 se habitual ou por meio de organização criminosa</t>
        </is>
      </c>
      <c r="L226" s="16" t="inlineStr">
        <is>
          <t>Ocultar/dissimular natureza/origem/localização/disposição/movimentação/propriedade de bens provenientes de infração penal. §5º: delação premiada (1/3 a 2/3 de redução)</t>
        </is>
      </c>
      <c r="M226" s="7" t="inlineStr">
        <is>
          <t>Sim</t>
        </is>
      </c>
      <c r="N226" s="7" t="inlineStr">
        <is>
          <t>Não</t>
        </is>
      </c>
    </row>
    <row r="227">
      <c r="A227" s="17" t="inlineStr">
        <is>
          <t>Lei 9.455/97</t>
        </is>
      </c>
      <c r="B227" s="17" t="inlineStr">
        <is>
          <t>Art. 1º, I</t>
        </is>
      </c>
      <c r="C227" s="18" t="inlineStr">
        <is>
          <t>Tortura-prova (para obter informação/confissão)</t>
        </is>
      </c>
      <c r="D227" s="17" t="n">
        <v>24</v>
      </c>
      <c r="E227" s="17" t="n">
        <v>96</v>
      </c>
      <c r="F227" s="17" t="inlineStr">
        <is>
          <t>Reclusão</t>
        </is>
      </c>
      <c r="G227" s="17" t="inlineStr">
        <is>
          <t>Pública Incondicionada</t>
        </is>
      </c>
      <c r="H227" s="17" t="inlineStr">
        <is>
          <t>Sim</t>
        </is>
      </c>
      <c r="I227" s="17" t="inlineStr">
        <is>
          <t>Doloso</t>
        </is>
      </c>
      <c r="J227" s="17" t="inlineStr">
        <is>
          <t>Sim</t>
        </is>
      </c>
      <c r="K227" s="18" t="inlineStr">
        <is>
          <t>§3º: lesão grave = 4-10 anos. §4º: morte = 8-16 anos. §4º-A: +1/3 a +1/2 se funcionário público. §4º-B: +1/3 a +1/2 se contra criança/adolescente/idoso/PcD</t>
        </is>
      </c>
      <c r="L227" s="18" t="inlineStr">
        <is>
          <t>Hediondo equiparado (Art. 5º, XLIII CF). Inafiançável. Insuscetível de graça/anistia</t>
        </is>
      </c>
      <c r="M227" s="17" t="inlineStr">
        <is>
          <t>Verificar</t>
        </is>
      </c>
      <c r="N227" s="17" t="inlineStr">
        <is>
          <t>Não</t>
        </is>
      </c>
    </row>
    <row r="228">
      <c r="A228" s="17" t="inlineStr">
        <is>
          <t>Lei 9.455/97</t>
        </is>
      </c>
      <c r="B228" s="17" t="inlineStr">
        <is>
          <t>Art. 1º, II</t>
        </is>
      </c>
      <c r="C228" s="18" t="inlineStr">
        <is>
          <t>Tortura para impor sofrimento/intimidar (tortura-castigo)</t>
        </is>
      </c>
      <c r="D228" s="17" t="n">
        <v>24</v>
      </c>
      <c r="E228" s="17" t="n">
        <v>96</v>
      </c>
      <c r="F228" s="17" t="inlineStr">
        <is>
          <t>Reclusão</t>
        </is>
      </c>
      <c r="G228" s="17" t="inlineStr">
        <is>
          <t>Pública Incondicionada</t>
        </is>
      </c>
      <c r="H228" s="17" t="inlineStr">
        <is>
          <t>Sim</t>
        </is>
      </c>
      <c r="I228" s="17" t="inlineStr">
        <is>
          <t>Doloso</t>
        </is>
      </c>
      <c r="J228" s="17" t="inlineStr">
        <is>
          <t>Sim</t>
        </is>
      </c>
      <c r="K228" s="18" t="inlineStr">
        <is>
          <t>Mesmas do inciso I</t>
        </is>
      </c>
      <c r="L228" s="18" t="inlineStr">
        <is>
          <t>Submeter alguém sob guarda/poder/autoridade a sofrimento intenso</t>
        </is>
      </c>
      <c r="M228" s="17" t="inlineStr">
        <is>
          <t>Verificar</t>
        </is>
      </c>
      <c r="N228" s="17" t="inlineStr">
        <is>
          <t>Não</t>
        </is>
      </c>
    </row>
    <row r="229">
      <c r="A229" s="17" t="inlineStr">
        <is>
          <t>Lei 9.455/97</t>
        </is>
      </c>
      <c r="B229" s="17" t="inlineStr">
        <is>
          <t>Art. 1º, §2º</t>
        </is>
      </c>
      <c r="C229" s="18" t="inlineStr">
        <is>
          <t>Tortura por omissão (tortura-omissão)</t>
        </is>
      </c>
      <c r="D229" s="17" t="n">
        <v>12</v>
      </c>
      <c r="E229" s="17" t="n">
        <v>48</v>
      </c>
      <c r="F229" s="17" t="inlineStr">
        <is>
          <t>Detenção</t>
        </is>
      </c>
      <c r="G229" s="17" t="inlineStr">
        <is>
          <t>Pública Incondicionada</t>
        </is>
      </c>
      <c r="H229" s="17" t="inlineStr">
        <is>
          <t>Sim</t>
        </is>
      </c>
      <c r="I229" s="17" t="inlineStr">
        <is>
          <t>Doloso</t>
        </is>
      </c>
      <c r="J229" s="17" t="inlineStr">
        <is>
          <t>Não</t>
        </is>
      </c>
      <c r="K229" s="18" t="inlineStr">
        <is>
          <t>—</t>
        </is>
      </c>
      <c r="L229" s="18" t="inlineStr">
        <is>
          <t>Quem se omite em face de tortura quando tinha dever de evitá-la ou apurá-la</t>
        </is>
      </c>
      <c r="M229" s="17" t="inlineStr">
        <is>
          <t>Verificar</t>
        </is>
      </c>
      <c r="N229" s="17" t="inlineStr">
        <is>
          <t>Sim</t>
        </is>
      </c>
    </row>
    <row r="230">
      <c r="A230" s="7" t="inlineStr">
        <is>
          <t>Lei 7.716/89</t>
        </is>
      </c>
      <c r="B230" s="7" t="inlineStr">
        <is>
          <t>Art. 20</t>
        </is>
      </c>
      <c r="C230" s="16" t="inlineStr">
        <is>
          <t>Racismo (praticar/induzir/incitar discriminação/preconceito)</t>
        </is>
      </c>
      <c r="D230" s="7" t="n">
        <v>12</v>
      </c>
      <c r="E230" s="7" t="n">
        <v>36</v>
      </c>
      <c r="F230" s="7" t="inlineStr">
        <is>
          <t>Reclusão</t>
        </is>
      </c>
      <c r="G230" s="7" t="inlineStr">
        <is>
          <t>Pública Incondicionada</t>
        </is>
      </c>
      <c r="H230" s="7" t="inlineStr">
        <is>
          <t>Não</t>
        </is>
      </c>
      <c r="I230" s="7" t="inlineStr">
        <is>
          <t>Doloso</t>
        </is>
      </c>
      <c r="J230" s="7" t="inlineStr">
        <is>
          <t>Sim</t>
        </is>
      </c>
      <c r="K230" s="16" t="inlineStr">
        <is>
          <t>§2º: +1/3 se por meios de comunicação/internet</t>
        </is>
      </c>
      <c r="L230" s="16" t="inlineStr">
        <is>
          <t>Inafiançável e imprescritível (Art. 5º, XLII CF). Abrange homofobia/transfobia (ADO 26 STF, 2019). Lei 14.532/2023 unificou injúria racial como racismo</t>
        </is>
      </c>
      <c r="M230" s="7" t="inlineStr">
        <is>
          <t>Sim</t>
        </is>
      </c>
      <c r="N230" s="7" t="inlineStr">
        <is>
          <t>Sim</t>
        </is>
      </c>
    </row>
    <row r="231">
      <c r="A231" s="7" t="inlineStr">
        <is>
          <t>Lei 7.716/89</t>
        </is>
      </c>
      <c r="B231" s="7" t="inlineStr">
        <is>
          <t>Arts. 3º-14</t>
        </is>
      </c>
      <c r="C231" s="16" t="inlineStr">
        <is>
          <t>Racismo — formas específicas (impedir acesso a emprego, escola, estabelecimento, transporte, etc.)</t>
        </is>
      </c>
      <c r="D231" s="7" t="n">
        <v>12</v>
      </c>
      <c r="E231" s="7" t="n">
        <v>60</v>
      </c>
      <c r="F231" s="7" t="inlineStr">
        <is>
          <t>Reclusão</t>
        </is>
      </c>
      <c r="G231" s="7" t="inlineStr">
        <is>
          <t>Pública Incondicionada</t>
        </is>
      </c>
      <c r="H231" s="7" t="inlineStr">
        <is>
          <t>Não</t>
        </is>
      </c>
      <c r="I231" s="7" t="inlineStr">
        <is>
          <t>Doloso</t>
        </is>
      </c>
      <c r="J231" s="7" t="inlineStr">
        <is>
          <t>Sim</t>
        </is>
      </c>
      <c r="K231" s="16" t="inlineStr">
        <is>
          <t>Penas variam por artigo (1-3a para impedir acesso a emprego, 2-5a para recusar atendimento em escola, etc.)</t>
        </is>
      </c>
      <c r="L231" s="16" t="inlineStr">
        <is>
          <t>Inafiançável e imprescritível</t>
        </is>
      </c>
      <c r="M231" s="7" t="inlineStr">
        <is>
          <t>Sim</t>
        </is>
      </c>
      <c r="N231" s="7" t="inlineStr">
        <is>
          <t>Sim</t>
        </is>
      </c>
    </row>
    <row r="232">
      <c r="A232" s="7" t="inlineStr">
        <is>
          <t>Lei 13.869/19</t>
        </is>
      </c>
      <c r="B232" s="7" t="inlineStr">
        <is>
          <t>Art. 9º</t>
        </is>
      </c>
      <c r="C232" s="16" t="inlineStr">
        <is>
          <t>Decretar medida de privação de liberdade em desconformidade com a lei</t>
        </is>
      </c>
      <c r="D232" s="7" t="n">
        <v>12</v>
      </c>
      <c r="E232" s="7" t="n">
        <v>48</v>
      </c>
      <c r="F232" s="7" t="inlineStr">
        <is>
          <t>Detenção</t>
        </is>
      </c>
      <c r="G232" s="7" t="inlineStr">
        <is>
          <t>Pública Incondicionada</t>
        </is>
      </c>
      <c r="H232" s="7" t="inlineStr">
        <is>
          <t>Não</t>
        </is>
      </c>
      <c r="I232" s="7" t="inlineStr">
        <is>
          <t>Doloso</t>
        </is>
      </c>
      <c r="J232" s="7" t="inlineStr">
        <is>
          <t>Sim</t>
        </is>
      </c>
      <c r="K232" s="16" t="inlineStr">
        <is>
          <t>—</t>
        </is>
      </c>
      <c r="L232" s="16" t="inlineStr">
        <is>
          <t>Exige finalidade específica de prejudicar outrem ou benefício próprio/alheio ou mero capricho</t>
        </is>
      </c>
      <c r="M232" s="7" t="inlineStr">
        <is>
          <t>Sim</t>
        </is>
      </c>
      <c r="N232" s="7" t="inlineStr">
        <is>
          <t>Sim</t>
        </is>
      </c>
    </row>
    <row r="233">
      <c r="A233" s="7" t="inlineStr">
        <is>
          <t>Lei 13.869/19</t>
        </is>
      </c>
      <c r="B233" s="7" t="inlineStr">
        <is>
          <t>Art. 10</t>
        </is>
      </c>
      <c r="C233" s="16" t="inlineStr">
        <is>
          <t>Decretar condução coercitiva sem prévia intimação</t>
        </is>
      </c>
      <c r="D233" s="7" t="n">
        <v>12</v>
      </c>
      <c r="E233" s="7" t="n">
        <v>48</v>
      </c>
      <c r="F233" s="7" t="inlineStr">
        <is>
          <t>Detenção</t>
        </is>
      </c>
      <c r="G233" s="7" t="inlineStr">
        <is>
          <t>Pública Incondicionada</t>
        </is>
      </c>
      <c r="H233" s="7" t="inlineStr">
        <is>
          <t>Não</t>
        </is>
      </c>
      <c r="I233" s="7" t="inlineStr">
        <is>
          <t>Doloso</t>
        </is>
      </c>
      <c r="J233" s="7" t="inlineStr">
        <is>
          <t>Sim</t>
        </is>
      </c>
      <c r="K233" s="16" t="inlineStr">
        <is>
          <t>—</t>
        </is>
      </c>
      <c r="L233" s="16" t="inlineStr"/>
      <c r="M233" s="7" t="inlineStr">
        <is>
          <t>Sim</t>
        </is>
      </c>
      <c r="N233" s="7" t="inlineStr">
        <is>
          <t>Sim</t>
        </is>
      </c>
    </row>
    <row r="234">
      <c r="A234" s="7" t="inlineStr">
        <is>
          <t>Lei 13.869/19</t>
        </is>
      </c>
      <c r="B234" s="7" t="inlineStr">
        <is>
          <t>Art. 12</t>
        </is>
      </c>
      <c r="C234" s="16" t="inlineStr">
        <is>
          <t>Não se identificar ou identificar-se falsamente ao preso</t>
        </is>
      </c>
      <c r="D234" s="7" t="n">
        <v>6</v>
      </c>
      <c r="E234" s="7" t="n">
        <v>24</v>
      </c>
      <c r="F234" s="7" t="inlineStr">
        <is>
          <t>Detenção</t>
        </is>
      </c>
      <c r="G234" s="7" t="inlineStr">
        <is>
          <t>Pública Incondicionada</t>
        </is>
      </c>
      <c r="H234" s="7" t="inlineStr">
        <is>
          <t>Não</t>
        </is>
      </c>
      <c r="I234" s="7" t="inlineStr">
        <is>
          <t>Doloso</t>
        </is>
      </c>
      <c r="J234" s="7" t="inlineStr">
        <is>
          <t>Sim</t>
        </is>
      </c>
      <c r="K234" s="16" t="inlineStr">
        <is>
          <t>—</t>
        </is>
      </c>
      <c r="L234" s="16" t="inlineStr"/>
      <c r="M234" s="7" t="inlineStr">
        <is>
          <t>Sim</t>
        </is>
      </c>
      <c r="N234" s="7" t="inlineStr">
        <is>
          <t>Sim</t>
        </is>
      </c>
    </row>
    <row r="235">
      <c r="A235" s="7" t="inlineStr">
        <is>
          <t>Lei 13.869/19</t>
        </is>
      </c>
      <c r="B235" s="7" t="inlineStr">
        <is>
          <t>Art. 13</t>
        </is>
      </c>
      <c r="C235" s="16" t="inlineStr">
        <is>
          <t>Constranger preso/detido a exibição/espetáculo/embaraçamento</t>
        </is>
      </c>
      <c r="D235" s="7" t="n">
        <v>12</v>
      </c>
      <c r="E235" s="7" t="n">
        <v>48</v>
      </c>
      <c r="F235" s="7" t="inlineStr">
        <is>
          <t>Detenção</t>
        </is>
      </c>
      <c r="G235" s="7" t="inlineStr">
        <is>
          <t>Pública Incondicionada</t>
        </is>
      </c>
      <c r="H235" s="7" t="inlineStr">
        <is>
          <t>Não</t>
        </is>
      </c>
      <c r="I235" s="7" t="inlineStr">
        <is>
          <t>Doloso</t>
        </is>
      </c>
      <c r="J235" s="7" t="inlineStr">
        <is>
          <t>Sim</t>
        </is>
      </c>
      <c r="K235" s="16" t="inlineStr">
        <is>
          <t>—</t>
        </is>
      </c>
      <c r="L235" s="16" t="inlineStr">
        <is>
          <t>Algemar, fotografar, filmar sem necessidade</t>
        </is>
      </c>
      <c r="M235" s="7" t="inlineStr">
        <is>
          <t>Sim</t>
        </is>
      </c>
      <c r="N235" s="7" t="inlineStr">
        <is>
          <t>Sim</t>
        </is>
      </c>
    </row>
    <row r="236">
      <c r="A236" s="7" t="inlineStr">
        <is>
          <t>Lei 13.869/19</t>
        </is>
      </c>
      <c r="B236" s="7" t="inlineStr">
        <is>
          <t>Art. 15</t>
        </is>
      </c>
      <c r="C236" s="16" t="inlineStr">
        <is>
          <t>Constrangimento ilegal de depoimento</t>
        </is>
      </c>
      <c r="D236" s="7" t="n">
        <v>12</v>
      </c>
      <c r="E236" s="7" t="n">
        <v>48</v>
      </c>
      <c r="F236" s="7" t="inlineStr">
        <is>
          <t>Detenção</t>
        </is>
      </c>
      <c r="G236" s="7" t="inlineStr">
        <is>
          <t>Pública Incondicionada</t>
        </is>
      </c>
      <c r="H236" s="7" t="inlineStr">
        <is>
          <t>Não</t>
        </is>
      </c>
      <c r="I236" s="7" t="inlineStr">
        <is>
          <t>Doloso</t>
        </is>
      </c>
      <c r="J236" s="7" t="inlineStr">
        <is>
          <t>Sim</t>
        </is>
      </c>
      <c r="K236" s="16" t="inlineStr">
        <is>
          <t>—</t>
        </is>
      </c>
      <c r="L236" s="16" t="inlineStr">
        <is>
          <t>Constranger a depor quando deveria informar sobre direito ao silêncio</t>
        </is>
      </c>
      <c r="M236" s="7" t="inlineStr">
        <is>
          <t>Sim</t>
        </is>
      </c>
      <c r="N236" s="7" t="inlineStr">
        <is>
          <t>Sim</t>
        </is>
      </c>
    </row>
    <row r="237">
      <c r="A237" s="7" t="inlineStr">
        <is>
          <t>Lei 13.869/19</t>
        </is>
      </c>
      <c r="B237" s="7" t="inlineStr">
        <is>
          <t>Art. 19</t>
        </is>
      </c>
      <c r="C237" s="16" t="inlineStr">
        <is>
          <t>Impedimento de acesso do advogado ao preso</t>
        </is>
      </c>
      <c r="D237" s="7" t="n">
        <v>3</v>
      </c>
      <c r="E237" s="7" t="n">
        <v>12</v>
      </c>
      <c r="F237" s="7" t="inlineStr">
        <is>
          <t>Detenção</t>
        </is>
      </c>
      <c r="G237" s="7" t="inlineStr">
        <is>
          <t>Pública Incondicionada</t>
        </is>
      </c>
      <c r="H237" s="7" t="inlineStr">
        <is>
          <t>Não</t>
        </is>
      </c>
      <c r="I237" s="7" t="inlineStr">
        <is>
          <t>Doloso</t>
        </is>
      </c>
      <c r="J237" s="7" t="inlineStr">
        <is>
          <t>Sim</t>
        </is>
      </c>
      <c r="K237" s="16" t="inlineStr">
        <is>
          <t>—</t>
        </is>
      </c>
      <c r="L237" s="16" t="inlineStr">
        <is>
          <t>3 meses a 1 ano</t>
        </is>
      </c>
      <c r="M237" s="7" t="inlineStr">
        <is>
          <t>Sim</t>
        </is>
      </c>
      <c r="N237" s="7" t="inlineStr">
        <is>
          <t>Sim</t>
        </is>
      </c>
    </row>
    <row r="238">
      <c r="A238" s="7" t="inlineStr">
        <is>
          <t>Lei 13.869/19</t>
        </is>
      </c>
      <c r="B238" s="7" t="inlineStr">
        <is>
          <t>Art. 22</t>
        </is>
      </c>
      <c r="C238" s="16" t="inlineStr">
        <is>
          <t>Invasão de domicílio fora das hipóteses legais</t>
        </is>
      </c>
      <c r="D238" s="7" t="n">
        <v>12</v>
      </c>
      <c r="E238" s="7" t="n">
        <v>48</v>
      </c>
      <c r="F238" s="7" t="inlineStr">
        <is>
          <t>Detenção</t>
        </is>
      </c>
      <c r="G238" s="7" t="inlineStr">
        <is>
          <t>Pública Incondicionada</t>
        </is>
      </c>
      <c r="H238" s="7" t="inlineStr">
        <is>
          <t>Não</t>
        </is>
      </c>
      <c r="I238" s="7" t="inlineStr">
        <is>
          <t>Doloso</t>
        </is>
      </c>
      <c r="J238" s="7" t="inlineStr">
        <is>
          <t>Sim</t>
        </is>
      </c>
      <c r="K238" s="16" t="inlineStr">
        <is>
          <t>—</t>
        </is>
      </c>
      <c r="L238" s="16" t="inlineStr">
        <is>
          <t>Sem determinação judicial ou fora das hipóteses constitucionais</t>
        </is>
      </c>
      <c r="M238" s="7" t="inlineStr">
        <is>
          <t>Sim</t>
        </is>
      </c>
      <c r="N238" s="7" t="inlineStr">
        <is>
          <t>Sim</t>
        </is>
      </c>
    </row>
    <row r="239">
      <c r="A239" s="7" t="inlineStr">
        <is>
          <t>Lei 13.869/19</t>
        </is>
      </c>
      <c r="B239" s="7" t="inlineStr">
        <is>
          <t>Art. 25</t>
        </is>
      </c>
      <c r="C239" s="16" t="inlineStr">
        <is>
          <t>Proceder a obtenção de prova ilícita</t>
        </is>
      </c>
      <c r="D239" s="7" t="n">
        <v>12</v>
      </c>
      <c r="E239" s="7" t="n">
        <v>48</v>
      </c>
      <c r="F239" s="7" t="inlineStr">
        <is>
          <t>Detenção</t>
        </is>
      </c>
      <c r="G239" s="7" t="inlineStr">
        <is>
          <t>Pública Incondicionada</t>
        </is>
      </c>
      <c r="H239" s="7" t="inlineStr">
        <is>
          <t>Não</t>
        </is>
      </c>
      <c r="I239" s="7" t="inlineStr">
        <is>
          <t>Doloso</t>
        </is>
      </c>
      <c r="J239" s="7" t="inlineStr">
        <is>
          <t>Sim</t>
        </is>
      </c>
      <c r="K239" s="16" t="inlineStr">
        <is>
          <t>—</t>
        </is>
      </c>
      <c r="L239" s="16" t="inlineStr"/>
      <c r="M239" s="7" t="inlineStr">
        <is>
          <t>Sim</t>
        </is>
      </c>
      <c r="N239" s="7" t="inlineStr">
        <is>
          <t>Sim</t>
        </is>
      </c>
    </row>
    <row r="240">
      <c r="A240" s="7" t="inlineStr">
        <is>
          <t>Lei 13.869/19</t>
        </is>
      </c>
      <c r="B240" s="7" t="inlineStr">
        <is>
          <t>Art. 27</t>
        </is>
      </c>
      <c r="C240" s="16" t="inlineStr">
        <is>
          <t>Requisitar instauração ou instaurar IP/procedimento sem justa causa</t>
        </is>
      </c>
      <c r="D240" s="7" t="n">
        <v>6</v>
      </c>
      <c r="E240" s="7" t="n">
        <v>24</v>
      </c>
      <c r="F240" s="7" t="inlineStr">
        <is>
          <t>Detenção</t>
        </is>
      </c>
      <c r="G240" s="7" t="inlineStr">
        <is>
          <t>Pública Incondicionada</t>
        </is>
      </c>
      <c r="H240" s="7" t="inlineStr">
        <is>
          <t>Não</t>
        </is>
      </c>
      <c r="I240" s="7" t="inlineStr">
        <is>
          <t>Doloso</t>
        </is>
      </c>
      <c r="J240" s="7" t="inlineStr">
        <is>
          <t>Sim</t>
        </is>
      </c>
      <c r="K240" s="16" t="inlineStr">
        <is>
          <t>—</t>
        </is>
      </c>
      <c r="L240" s="16" t="inlineStr"/>
      <c r="M240" s="7" t="inlineStr">
        <is>
          <t>Sim</t>
        </is>
      </c>
      <c r="N240" s="7" t="inlineStr">
        <is>
          <t>Sim</t>
        </is>
      </c>
    </row>
    <row r="241">
      <c r="A241" s="7" t="inlineStr">
        <is>
          <t>Lei 13.869/19</t>
        </is>
      </c>
      <c r="B241" s="7" t="inlineStr">
        <is>
          <t>Art. 30</t>
        </is>
      </c>
      <c r="C241" s="16" t="inlineStr">
        <is>
          <t>Dar início ou proceder à persecução penal/civil/administrativa sem justa causa</t>
        </is>
      </c>
      <c r="D241" s="7" t="n">
        <v>12</v>
      </c>
      <c r="E241" s="7" t="n">
        <v>48</v>
      </c>
      <c r="F241" s="7" t="inlineStr">
        <is>
          <t>Detenção</t>
        </is>
      </c>
      <c r="G241" s="7" t="inlineStr">
        <is>
          <t>Pública Incondicionada</t>
        </is>
      </c>
      <c r="H241" s="7" t="inlineStr">
        <is>
          <t>Não</t>
        </is>
      </c>
      <c r="I241" s="7" t="inlineStr">
        <is>
          <t>Doloso</t>
        </is>
      </c>
      <c r="J241" s="7" t="inlineStr">
        <is>
          <t>Sim</t>
        </is>
      </c>
      <c r="K241" s="16" t="inlineStr">
        <is>
          <t>—</t>
        </is>
      </c>
      <c r="L241" s="16" t="inlineStr"/>
      <c r="M241" s="7" t="inlineStr">
        <is>
          <t>Sim</t>
        </is>
      </c>
      <c r="N241" s="7" t="inlineStr">
        <is>
          <t>Sim</t>
        </is>
      </c>
    </row>
    <row r="242">
      <c r="A242" s="7" t="inlineStr">
        <is>
          <t>Lei 13.869/19</t>
        </is>
      </c>
      <c r="B242" s="7" t="inlineStr">
        <is>
          <t>Art. 31</t>
        </is>
      </c>
      <c r="C242" s="16" t="inlineStr">
        <is>
          <t>Estender medida privativa de liberdade além do permitido</t>
        </is>
      </c>
      <c r="D242" s="7" t="n">
        <v>12</v>
      </c>
      <c r="E242" s="7" t="n">
        <v>48</v>
      </c>
      <c r="F242" s="7" t="inlineStr">
        <is>
          <t>Detenção</t>
        </is>
      </c>
      <c r="G242" s="7" t="inlineStr">
        <is>
          <t>Pública Incondicionada</t>
        </is>
      </c>
      <c r="H242" s="7" t="inlineStr">
        <is>
          <t>Não</t>
        </is>
      </c>
      <c r="I242" s="7" t="inlineStr">
        <is>
          <t>Doloso</t>
        </is>
      </c>
      <c r="J242" s="7" t="inlineStr">
        <is>
          <t>Sim</t>
        </is>
      </c>
      <c r="K242" s="16" t="inlineStr">
        <is>
          <t>—</t>
        </is>
      </c>
      <c r="L242" s="16" t="inlineStr">
        <is>
          <t>Não relaxar prisão manifestamente ilegal ou manter preso além do prazo legal</t>
        </is>
      </c>
      <c r="M242" s="7" t="inlineStr">
        <is>
          <t>Sim</t>
        </is>
      </c>
      <c r="N242" s="7" t="inlineStr">
        <is>
          <t>Sim</t>
        </is>
      </c>
    </row>
    <row r="243">
      <c r="A243" s="7" t="inlineStr">
        <is>
          <t>Lei 13.869/19</t>
        </is>
      </c>
      <c r="B243" s="7" t="inlineStr">
        <is>
          <t>Art. 33</t>
        </is>
      </c>
      <c r="C243" s="16" t="inlineStr">
        <is>
          <t>Exigir informação ou cumprimento de obrigação sem fundamento legal</t>
        </is>
      </c>
      <c r="D243" s="7" t="n">
        <v>6</v>
      </c>
      <c r="E243" s="7" t="n">
        <v>24</v>
      </c>
      <c r="F243" s="7" t="inlineStr">
        <is>
          <t>Detenção</t>
        </is>
      </c>
      <c r="G243" s="7" t="inlineStr">
        <is>
          <t>Pública Incondicionada</t>
        </is>
      </c>
      <c r="H243" s="7" t="inlineStr">
        <is>
          <t>Não</t>
        </is>
      </c>
      <c r="I243" s="7" t="inlineStr">
        <is>
          <t>Doloso</t>
        </is>
      </c>
      <c r="J243" s="7" t="inlineStr">
        <is>
          <t>Sim</t>
        </is>
      </c>
      <c r="K243" s="16" t="inlineStr">
        <is>
          <t>—</t>
        </is>
      </c>
      <c r="L243" s="16" t="inlineStr"/>
      <c r="M243" s="7" t="inlineStr">
        <is>
          <t>Sim</t>
        </is>
      </c>
      <c r="N243" s="7" t="inlineStr">
        <is>
          <t>Sim</t>
        </is>
      </c>
    </row>
    <row r="244">
      <c r="A244" s="7" t="inlineStr">
        <is>
          <t>Lei 13.869/19</t>
        </is>
      </c>
      <c r="B244" s="7" t="inlineStr">
        <is>
          <t>Art. 36</t>
        </is>
      </c>
      <c r="C244" s="16" t="inlineStr">
        <is>
          <t>Decretar, em processo judicial, interceptação telefônica/dados/informática/telemática sem autorização</t>
        </is>
      </c>
      <c r="D244" s="7" t="n">
        <v>12</v>
      </c>
      <c r="E244" s="7" t="n">
        <v>48</v>
      </c>
      <c r="F244" s="7" t="inlineStr">
        <is>
          <t>Detenção</t>
        </is>
      </c>
      <c r="G244" s="7" t="inlineStr">
        <is>
          <t>Pública Incondicionada</t>
        </is>
      </c>
      <c r="H244" s="7" t="inlineStr">
        <is>
          <t>Não</t>
        </is>
      </c>
      <c r="I244" s="7" t="inlineStr">
        <is>
          <t>Doloso</t>
        </is>
      </c>
      <c r="J244" s="7" t="inlineStr">
        <is>
          <t>Sim</t>
        </is>
      </c>
      <c r="K244" s="16" t="inlineStr">
        <is>
          <t>—</t>
        </is>
      </c>
      <c r="L244" s="16" t="inlineStr">
        <is>
          <t>Em desacordo com hipóteses legais</t>
        </is>
      </c>
      <c r="M244" s="7" t="inlineStr">
        <is>
          <t>Sim</t>
        </is>
      </c>
      <c r="N244" s="7" t="inlineStr">
        <is>
          <t>Sim</t>
        </is>
      </c>
    </row>
    <row r="245">
      <c r="A245" s="7" t="inlineStr">
        <is>
          <t>Lei 13.869/19</t>
        </is>
      </c>
      <c r="B245" s="7" t="inlineStr">
        <is>
          <t>Art. 37</t>
        </is>
      </c>
      <c r="C245" s="16" t="inlineStr">
        <is>
          <t>Demorar demasiada e injustificadamente no exame de processo que tenha preso</t>
        </is>
      </c>
      <c r="D245" s="7" t="n">
        <v>6</v>
      </c>
      <c r="E245" s="7" t="n">
        <v>24</v>
      </c>
      <c r="F245" s="7" t="inlineStr">
        <is>
          <t>Detenção</t>
        </is>
      </c>
      <c r="G245" s="7" t="inlineStr">
        <is>
          <t>Pública Incondicionada</t>
        </is>
      </c>
      <c r="H245" s="7" t="inlineStr">
        <is>
          <t>Não</t>
        </is>
      </c>
      <c r="I245" s="7" t="inlineStr">
        <is>
          <t>Doloso</t>
        </is>
      </c>
      <c r="J245" s="7" t="inlineStr">
        <is>
          <t>Controverso</t>
        </is>
      </c>
      <c r="K245" s="16" t="inlineStr">
        <is>
          <t>—</t>
        </is>
      </c>
      <c r="L245" s="16" t="inlineStr"/>
      <c r="M245" s="7" t="inlineStr">
        <is>
          <t>Sim</t>
        </is>
      </c>
      <c r="N245" s="7" t="inlineStr">
        <is>
          <t>Sim</t>
        </is>
      </c>
    </row>
    <row r="246">
      <c r="A246" s="7" t="inlineStr">
        <is>
          <t>Lei 13.869/19</t>
        </is>
      </c>
      <c r="B246" s="7" t="inlineStr">
        <is>
          <t>Art. 38</t>
        </is>
      </c>
      <c r="C246" s="16" t="inlineStr">
        <is>
          <t>Antecipar atribuição de culpa antes de sentença condenatória transitada</t>
        </is>
      </c>
      <c r="D246" s="7" t="n">
        <v>6</v>
      </c>
      <c r="E246" s="7" t="n">
        <v>24</v>
      </c>
      <c r="F246" s="7" t="inlineStr">
        <is>
          <t>Detenção</t>
        </is>
      </c>
      <c r="G246" s="7" t="inlineStr">
        <is>
          <t>Pública Incondicionada</t>
        </is>
      </c>
      <c r="H246" s="7" t="inlineStr">
        <is>
          <t>Não</t>
        </is>
      </c>
      <c r="I246" s="7" t="inlineStr">
        <is>
          <t>Doloso</t>
        </is>
      </c>
      <c r="J246" s="7" t="inlineStr">
        <is>
          <t>Controverso</t>
        </is>
      </c>
      <c r="K246" s="16" t="inlineStr">
        <is>
          <t>—</t>
        </is>
      </c>
      <c r="L246" s="16" t="inlineStr">
        <is>
          <t>Violação da presunção de inocência</t>
        </is>
      </c>
      <c r="M246" s="7" t="inlineStr">
        <is>
          <t>Sim</t>
        </is>
      </c>
      <c r="N246" s="7" t="inlineStr">
        <is>
          <t>Sim</t>
        </is>
      </c>
    </row>
    <row r="247">
      <c r="A247" s="19" t="inlineStr">
        <is>
          <t>Lei 8.072/90</t>
        </is>
      </c>
      <c r="B247" s="19" t="inlineStr">
        <is>
          <t>Art. 1º (lista)</t>
        </is>
      </c>
      <c r="C247" s="20" t="inlineStr">
        <is>
          <t>Catálogo de crimes hediondos (referência)</t>
        </is>
      </c>
      <c r="D247" s="19" t="inlineStr">
        <is>
          <t>—</t>
        </is>
      </c>
      <c r="E247" s="19" t="inlineStr">
        <is>
          <t>—</t>
        </is>
      </c>
      <c r="F247" s="19" t="inlineStr">
        <is>
          <t>—</t>
        </is>
      </c>
      <c r="G247" s="19" t="inlineStr">
        <is>
          <t>—</t>
        </is>
      </c>
      <c r="H247" s="19" t="inlineStr">
        <is>
          <t>—</t>
        </is>
      </c>
      <c r="I247" s="19" t="inlineStr">
        <is>
          <t>—</t>
        </is>
      </c>
      <c r="J247" s="19" t="inlineStr">
        <is>
          <t>—</t>
        </is>
      </c>
      <c r="K247" s="20" t="inlineStr">
        <is>
          <t>I-homicídio qualificado/grupo extermínio; I-A-lesão dolosa gravíssima/seguida de morte se doméstica contra PcD/menor/idoso; II-roubo: a)com morte, b)com restrição de liberdade+lesão grave, c)com arma de fogo de uso restrito; III-extorsão qualificada (morte/lesão grave); IV-extorsão mediante sequestro; V-estupro; VI-estupro de vulnerável; VII-epidemia com morte; VII-B-falsificação de medicamento; VIII-favorecimento de prostituição &lt;18; IX-furto qualificado com uso de explosivo; Parágrafo único: genocídio, tráfico de drogas (Art. 33 + 34), tortura, terrorismo, tráfico de armas</t>
        </is>
      </c>
      <c r="L247" s="20" t="inlineStr">
        <is>
          <t>Consequências: vedação de fiança, progressão com frações diferenciadas, regime inicialmente fechado para reincidentes específicos</t>
        </is>
      </c>
      <c r="M247" s="19" t="inlineStr">
        <is>
          <t>—</t>
        </is>
      </c>
      <c r="N247" s="19" t="inlineStr">
        <is>
          <t>—</t>
        </is>
      </c>
    </row>
    <row r="248">
      <c r="A248" s="7" t="inlineStr">
        <is>
          <t>Lei 10.741/03</t>
        </is>
      </c>
      <c r="B248" s="7" t="inlineStr">
        <is>
          <t>Art. 96</t>
        </is>
      </c>
      <c r="C248" s="16" t="inlineStr">
        <is>
          <t>Discriminação contra idoso</t>
        </is>
      </c>
      <c r="D248" s="7" t="n">
        <v>6</v>
      </c>
      <c r="E248" s="7" t="n">
        <v>12</v>
      </c>
      <c r="F248" s="7" t="inlineStr">
        <is>
          <t>Reclusão</t>
        </is>
      </c>
      <c r="G248" s="7" t="inlineStr">
        <is>
          <t>Pública Incondicionada</t>
        </is>
      </c>
      <c r="H248" s="7" t="inlineStr">
        <is>
          <t>Não</t>
        </is>
      </c>
      <c r="I248" s="7" t="inlineStr">
        <is>
          <t>Doloso</t>
        </is>
      </c>
      <c r="J248" s="7" t="inlineStr">
        <is>
          <t>Sim</t>
        </is>
      </c>
      <c r="K248" s="16" t="inlineStr">
        <is>
          <t>—</t>
        </is>
      </c>
      <c r="L248" s="16" t="inlineStr">
        <is>
          <t>Discriminar pessoa idosa, impedindo/dificultando acesso a qualquer cargo</t>
        </is>
      </c>
      <c r="M248" s="7" t="inlineStr">
        <is>
          <t>Sim</t>
        </is>
      </c>
      <c r="N248" s="7" t="inlineStr">
        <is>
          <t>Sim</t>
        </is>
      </c>
    </row>
    <row r="249">
      <c r="A249" s="7" t="inlineStr">
        <is>
          <t>Lei 10.741/03</t>
        </is>
      </c>
      <c r="B249" s="7" t="inlineStr">
        <is>
          <t>Art. 97</t>
        </is>
      </c>
      <c r="C249" s="16" t="inlineStr">
        <is>
          <t>Abandonar idoso em hospitais/casas de saúde</t>
        </is>
      </c>
      <c r="D249" s="7" t="n">
        <v>6</v>
      </c>
      <c r="E249" s="7" t="n">
        <v>36</v>
      </c>
      <c r="F249" s="7" t="inlineStr">
        <is>
          <t>Detenção</t>
        </is>
      </c>
      <c r="G249" s="7" t="inlineStr">
        <is>
          <t>Pública Incondicionada</t>
        </is>
      </c>
      <c r="H249" s="7" t="inlineStr">
        <is>
          <t>Não</t>
        </is>
      </c>
      <c r="I249" s="7" t="inlineStr">
        <is>
          <t>Doloso</t>
        </is>
      </c>
      <c r="J249" s="7" t="inlineStr">
        <is>
          <t>Sim</t>
        </is>
      </c>
      <c r="K249" s="16" t="inlineStr">
        <is>
          <t>—</t>
        </is>
      </c>
      <c r="L249" s="16" t="inlineStr">
        <is>
          <t>6 meses a 3 anos</t>
        </is>
      </c>
      <c r="M249" s="7" t="inlineStr">
        <is>
          <t>Sim</t>
        </is>
      </c>
      <c r="N249" s="7" t="inlineStr">
        <is>
          <t>Sim</t>
        </is>
      </c>
    </row>
    <row r="250">
      <c r="A250" s="7" t="inlineStr">
        <is>
          <t>Lei 10.741/03</t>
        </is>
      </c>
      <c r="B250" s="7" t="inlineStr">
        <is>
          <t>Art. 99</t>
        </is>
      </c>
      <c r="C250" s="16" t="inlineStr">
        <is>
          <t>Expor a perigo a integridade/saúde de idoso</t>
        </is>
      </c>
      <c r="D250" s="7" t="n">
        <v>2</v>
      </c>
      <c r="E250" s="7" t="n">
        <v>12</v>
      </c>
      <c r="F250" s="7" t="inlineStr">
        <is>
          <t>Detenção</t>
        </is>
      </c>
      <c r="G250" s="7" t="inlineStr">
        <is>
          <t>Pública Incondicionada</t>
        </is>
      </c>
      <c r="H250" s="7" t="inlineStr">
        <is>
          <t>Não</t>
        </is>
      </c>
      <c r="I250" s="7" t="inlineStr">
        <is>
          <t>Doloso e Culposo</t>
        </is>
      </c>
      <c r="J250" s="7" t="inlineStr">
        <is>
          <t>Sim</t>
        </is>
      </c>
      <c r="K250" s="16" t="inlineStr">
        <is>
          <t>§1º: se lesão grave = 1-4a; §2º: se morte = 4-12a; §3º: +1/3 se tutor/curador</t>
        </is>
      </c>
      <c r="L250" s="16" t="inlineStr">
        <is>
          <t>Submeter a condições desumanas, privar de alimentação/cuidados</t>
        </is>
      </c>
      <c r="M250" s="7" t="inlineStr">
        <is>
          <t>Sim</t>
        </is>
      </c>
      <c r="N250" s="7" t="inlineStr">
        <is>
          <t>Sim</t>
        </is>
      </c>
    </row>
    <row r="251">
      <c r="A251" s="7" t="inlineStr">
        <is>
          <t>Lei 10.741/03</t>
        </is>
      </c>
      <c r="B251" s="7" t="inlineStr">
        <is>
          <t>Art. 102</t>
        </is>
      </c>
      <c r="C251" s="16" t="inlineStr">
        <is>
          <t>Apropriar-se de bens/rendimentos de idoso</t>
        </is>
      </c>
      <c r="D251" s="7" t="n">
        <v>12</v>
      </c>
      <c r="E251" s="7" t="n">
        <v>48</v>
      </c>
      <c r="F251" s="7" t="inlineStr">
        <is>
          <t>Reclusão</t>
        </is>
      </c>
      <c r="G251" s="7" t="inlineStr">
        <is>
          <t>Pública Incondicionada</t>
        </is>
      </c>
      <c r="H251" s="7" t="inlineStr">
        <is>
          <t>Não</t>
        </is>
      </c>
      <c r="I251" s="7" t="inlineStr">
        <is>
          <t>Doloso</t>
        </is>
      </c>
      <c r="J251" s="7" t="inlineStr">
        <is>
          <t>Sim</t>
        </is>
      </c>
      <c r="K251" s="16" t="inlineStr">
        <is>
          <t>—</t>
        </is>
      </c>
      <c r="L251" s="16" t="inlineStr">
        <is>
          <t>Apoderar-se de proventos/pensão/rendimentos de idoso dando-lhes aplicação diversa</t>
        </is>
      </c>
      <c r="M251" s="7" t="inlineStr">
        <is>
          <t>Sim</t>
        </is>
      </c>
      <c r="N251" s="7" t="inlineStr">
        <is>
          <t>Sim</t>
        </is>
      </c>
    </row>
    <row r="252">
      <c r="A252" s="7" t="inlineStr">
        <is>
          <t>Lei 10.741/03</t>
        </is>
      </c>
      <c r="B252" s="7" t="inlineStr">
        <is>
          <t>Art. 104</t>
        </is>
      </c>
      <c r="C252" s="16" t="inlineStr">
        <is>
          <t>Reter cartão magnético/conta bancária de idoso</t>
        </is>
      </c>
      <c r="D252" s="7" t="n">
        <v>6</v>
      </c>
      <c r="E252" s="7" t="n">
        <v>24</v>
      </c>
      <c r="F252" s="7" t="inlineStr">
        <is>
          <t>Detenção</t>
        </is>
      </c>
      <c r="G252" s="7" t="inlineStr">
        <is>
          <t>Pública Incondicionada</t>
        </is>
      </c>
      <c r="H252" s="7" t="inlineStr">
        <is>
          <t>Não</t>
        </is>
      </c>
      <c r="I252" s="7" t="inlineStr">
        <is>
          <t>Doloso</t>
        </is>
      </c>
      <c r="J252" s="7" t="inlineStr">
        <is>
          <t>Sim</t>
        </is>
      </c>
      <c r="K252" s="16" t="inlineStr">
        <is>
          <t>—</t>
        </is>
      </c>
      <c r="L252" s="16" t="inlineStr">
        <is>
          <t>6 meses a 2 anos</t>
        </is>
      </c>
      <c r="M252" s="7" t="inlineStr">
        <is>
          <t>Sim</t>
        </is>
      </c>
      <c r="N252" s="7" t="inlineStr">
        <is>
          <t>Sim</t>
        </is>
      </c>
    </row>
    <row r="253">
      <c r="A253" s="7" t="inlineStr">
        <is>
          <t>Lei 10.741/03</t>
        </is>
      </c>
      <c r="B253" s="7" t="inlineStr">
        <is>
          <t>Art. 106</t>
        </is>
      </c>
      <c r="C253" s="16" t="inlineStr">
        <is>
          <t>Induzir idoso sem discernimento a outorgar procuração</t>
        </is>
      </c>
      <c r="D253" s="7" t="n">
        <v>24</v>
      </c>
      <c r="E253" s="7" t="n">
        <v>48</v>
      </c>
      <c r="F253" s="7" t="inlineStr">
        <is>
          <t>Reclusão</t>
        </is>
      </c>
      <c r="G253" s="7" t="inlineStr">
        <is>
          <t>Pública Incondicionada</t>
        </is>
      </c>
      <c r="H253" s="7" t="inlineStr">
        <is>
          <t>Não</t>
        </is>
      </c>
      <c r="I253" s="7" t="inlineStr">
        <is>
          <t>Doloso</t>
        </is>
      </c>
      <c r="J253" s="7" t="inlineStr">
        <is>
          <t>Sim</t>
        </is>
      </c>
      <c r="K253" s="16" t="inlineStr">
        <is>
          <t>—</t>
        </is>
      </c>
      <c r="L253" s="16" t="inlineStr"/>
      <c r="M253" s="7" t="inlineStr">
        <is>
          <t>Sim</t>
        </is>
      </c>
      <c r="N253" s="7" t="inlineStr">
        <is>
          <t>Não</t>
        </is>
      </c>
    </row>
    <row r="254">
      <c r="A254" s="7" t="inlineStr">
        <is>
          <t>Lei 10.741/03</t>
        </is>
      </c>
      <c r="B254" s="7" t="inlineStr">
        <is>
          <t>Art. 107</t>
        </is>
      </c>
      <c r="C254" s="16" t="inlineStr">
        <is>
          <t>Coagir idoso a doar/testar/outorgar procuração</t>
        </is>
      </c>
      <c r="D254" s="7" t="n">
        <v>24</v>
      </c>
      <c r="E254" s="7" t="n">
        <v>60</v>
      </c>
      <c r="F254" s="7" t="inlineStr">
        <is>
          <t>Reclusão</t>
        </is>
      </c>
      <c r="G254" s="7" t="inlineStr">
        <is>
          <t>Pública Incondicionada</t>
        </is>
      </c>
      <c r="H254" s="7" t="inlineStr">
        <is>
          <t>Não</t>
        </is>
      </c>
      <c r="I254" s="7" t="inlineStr">
        <is>
          <t>Doloso</t>
        </is>
      </c>
      <c r="J254" s="7" t="inlineStr">
        <is>
          <t>Sim</t>
        </is>
      </c>
      <c r="K254" s="16" t="inlineStr">
        <is>
          <t>—</t>
        </is>
      </c>
      <c r="L254" s="16" t="inlineStr"/>
      <c r="M254" s="7" t="inlineStr">
        <is>
          <t>Sim</t>
        </is>
      </c>
      <c r="N254" s="7" t="inlineStr">
        <is>
          <t>Não</t>
        </is>
      </c>
    </row>
    <row r="255">
      <c r="A255" s="7" t="inlineStr">
        <is>
          <t>Lei 7.492/86</t>
        </is>
      </c>
      <c r="B255" s="7" t="inlineStr">
        <is>
          <t>Art. 2º</t>
        </is>
      </c>
      <c r="C255" s="16" t="inlineStr">
        <is>
          <t>Gerir fraudulentamente instituição financeira</t>
        </is>
      </c>
      <c r="D255" s="7" t="n">
        <v>36</v>
      </c>
      <c r="E255" s="7" t="n">
        <v>144</v>
      </c>
      <c r="F255" s="7" t="inlineStr">
        <is>
          <t>Reclusão</t>
        </is>
      </c>
      <c r="G255" s="7" t="inlineStr">
        <is>
          <t>Pública Incondicionada</t>
        </is>
      </c>
      <c r="H255" s="7" t="inlineStr">
        <is>
          <t>Não</t>
        </is>
      </c>
      <c r="I255" s="7" t="inlineStr">
        <is>
          <t>Doloso</t>
        </is>
      </c>
      <c r="J255" s="7" t="inlineStr">
        <is>
          <t>Sim</t>
        </is>
      </c>
      <c r="K255" s="16" t="inlineStr">
        <is>
          <t>—</t>
        </is>
      </c>
      <c r="L255" s="16" t="inlineStr">
        <is>
          <t>Gestão fraudulenta. Crime próprio: administrador de instituição financeira. Justiça Federal</t>
        </is>
      </c>
      <c r="M255" s="7" t="inlineStr">
        <is>
          <t>Sim</t>
        </is>
      </c>
      <c r="N255" s="7" t="inlineStr">
        <is>
          <t>Não</t>
        </is>
      </c>
    </row>
    <row r="256">
      <c r="A256" s="7" t="inlineStr">
        <is>
          <t>Lei 7.492/86</t>
        </is>
      </c>
      <c r="B256" s="7" t="inlineStr">
        <is>
          <t>Art. 3º</t>
        </is>
      </c>
      <c r="C256" s="16" t="inlineStr">
        <is>
          <t>Gerir temerariamente instituição financeira</t>
        </is>
      </c>
      <c r="D256" s="7" t="n">
        <v>24</v>
      </c>
      <c r="E256" s="7" t="n">
        <v>96</v>
      </c>
      <c r="F256" s="7" t="inlineStr">
        <is>
          <t>Reclusão</t>
        </is>
      </c>
      <c r="G256" s="7" t="inlineStr">
        <is>
          <t>Pública Incondicionada</t>
        </is>
      </c>
      <c r="H256" s="7" t="inlineStr">
        <is>
          <t>Não</t>
        </is>
      </c>
      <c r="I256" s="7" t="inlineStr">
        <is>
          <t>Doloso</t>
        </is>
      </c>
      <c r="J256" s="7" t="inlineStr">
        <is>
          <t>Sim</t>
        </is>
      </c>
      <c r="K256" s="16" t="inlineStr">
        <is>
          <t>—</t>
        </is>
      </c>
      <c r="L256" s="16" t="inlineStr">
        <is>
          <t>Gestão temerária</t>
        </is>
      </c>
      <c r="M256" s="7" t="inlineStr">
        <is>
          <t>Sim</t>
        </is>
      </c>
      <c r="N256" s="7" t="inlineStr">
        <is>
          <t>Não</t>
        </is>
      </c>
    </row>
    <row r="257">
      <c r="A257" s="7" t="inlineStr">
        <is>
          <t>Lei 7.492/86</t>
        </is>
      </c>
      <c r="B257" s="7" t="inlineStr">
        <is>
          <t>Art. 4º</t>
        </is>
      </c>
      <c r="C257" s="16" t="inlineStr">
        <is>
          <t>Fazer afirmação falsa sobre instituição financeira</t>
        </is>
      </c>
      <c r="D257" s="7" t="n">
        <v>24</v>
      </c>
      <c r="E257" s="7" t="n">
        <v>144</v>
      </c>
      <c r="F257" s="7" t="inlineStr">
        <is>
          <t>Reclusão</t>
        </is>
      </c>
      <c r="G257" s="7" t="inlineStr">
        <is>
          <t>Pública Incondicionada</t>
        </is>
      </c>
      <c r="H257" s="7" t="inlineStr">
        <is>
          <t>Não</t>
        </is>
      </c>
      <c r="I257" s="7" t="inlineStr">
        <is>
          <t>Doloso</t>
        </is>
      </c>
      <c r="J257" s="7" t="inlineStr">
        <is>
          <t>Sim</t>
        </is>
      </c>
      <c r="K257" s="16" t="inlineStr">
        <is>
          <t>—</t>
        </is>
      </c>
      <c r="L257" s="16" t="inlineStr">
        <is>
          <t>Em demonstração/balanço/relatório</t>
        </is>
      </c>
      <c r="M257" s="7" t="inlineStr">
        <is>
          <t>Sim</t>
        </is>
      </c>
      <c r="N257" s="7" t="inlineStr">
        <is>
          <t>Não</t>
        </is>
      </c>
    </row>
    <row r="258">
      <c r="A258" s="7" t="inlineStr">
        <is>
          <t>Lei 7.492/86</t>
        </is>
      </c>
      <c r="B258" s="7" t="inlineStr">
        <is>
          <t>Art. 5º</t>
        </is>
      </c>
      <c r="C258" s="16" t="inlineStr">
        <is>
          <t>Apropriar-se de valores confiados à instituição financeira</t>
        </is>
      </c>
      <c r="D258" s="7" t="n">
        <v>24</v>
      </c>
      <c r="E258" s="7" t="n">
        <v>72</v>
      </c>
      <c r="F258" s="7" t="inlineStr">
        <is>
          <t>Reclusão</t>
        </is>
      </c>
      <c r="G258" s="7" t="inlineStr">
        <is>
          <t>Pública Incondicionada</t>
        </is>
      </c>
      <c r="H258" s="7" t="inlineStr">
        <is>
          <t>Não</t>
        </is>
      </c>
      <c r="I258" s="7" t="inlineStr">
        <is>
          <t>Doloso</t>
        </is>
      </c>
      <c r="J258" s="7" t="inlineStr">
        <is>
          <t>Sim</t>
        </is>
      </c>
      <c r="K258" s="16" t="inlineStr">
        <is>
          <t>—</t>
        </is>
      </c>
      <c r="L258" s="16" t="inlineStr">
        <is>
          <t>Peculato em instituição financeira</t>
        </is>
      </c>
      <c r="M258" s="7" t="inlineStr">
        <is>
          <t>Sim</t>
        </is>
      </c>
      <c r="N258" s="7" t="inlineStr">
        <is>
          <t>Não</t>
        </is>
      </c>
    </row>
    <row r="259">
      <c r="A259" s="7" t="inlineStr">
        <is>
          <t>Lei 7.492/86</t>
        </is>
      </c>
      <c r="B259" s="7" t="inlineStr">
        <is>
          <t>Art. 6º</t>
        </is>
      </c>
      <c r="C259" s="16" t="inlineStr">
        <is>
          <t>Induzir/manter em erro sócio/investidor/autoridade</t>
        </is>
      </c>
      <c r="D259" s="7" t="n">
        <v>24</v>
      </c>
      <c r="E259" s="7" t="n">
        <v>72</v>
      </c>
      <c r="F259" s="7" t="inlineStr">
        <is>
          <t>Reclusão</t>
        </is>
      </c>
      <c r="G259" s="7" t="inlineStr">
        <is>
          <t>Pública Incondicionada</t>
        </is>
      </c>
      <c r="H259" s="7" t="inlineStr">
        <is>
          <t>Não</t>
        </is>
      </c>
      <c r="I259" s="7" t="inlineStr">
        <is>
          <t>Doloso</t>
        </is>
      </c>
      <c r="J259" s="7" t="inlineStr">
        <is>
          <t>Sim</t>
        </is>
      </c>
      <c r="K259" s="16" t="inlineStr">
        <is>
          <t>—</t>
        </is>
      </c>
      <c r="L259" s="16" t="inlineStr"/>
      <c r="M259" s="7" t="inlineStr">
        <is>
          <t>Sim</t>
        </is>
      </c>
      <c r="N259" s="7" t="inlineStr">
        <is>
          <t>Não</t>
        </is>
      </c>
    </row>
    <row r="260">
      <c r="A260" s="7" t="inlineStr">
        <is>
          <t>Lei 7.492/86</t>
        </is>
      </c>
      <c r="B260" s="7" t="inlineStr">
        <is>
          <t>Art. 7º</t>
        </is>
      </c>
      <c r="C260" s="16" t="inlineStr">
        <is>
          <t>Emitir/oferecer/negociar títulos sem autorização</t>
        </is>
      </c>
      <c r="D260" s="7" t="n">
        <v>24</v>
      </c>
      <c r="E260" s="7" t="n">
        <v>96</v>
      </c>
      <c r="F260" s="7" t="inlineStr">
        <is>
          <t>Reclusão</t>
        </is>
      </c>
      <c r="G260" s="7" t="inlineStr">
        <is>
          <t>Pública Incondicionada</t>
        </is>
      </c>
      <c r="H260" s="7" t="inlineStr">
        <is>
          <t>Não</t>
        </is>
      </c>
      <c r="I260" s="7" t="inlineStr">
        <is>
          <t>Doloso</t>
        </is>
      </c>
      <c r="J260" s="7" t="inlineStr">
        <is>
          <t>Sim</t>
        </is>
      </c>
      <c r="K260" s="16" t="inlineStr">
        <is>
          <t>—</t>
        </is>
      </c>
      <c r="L260" s="16" t="inlineStr"/>
      <c r="M260" s="7" t="inlineStr">
        <is>
          <t>Sim</t>
        </is>
      </c>
      <c r="N260" s="7" t="inlineStr">
        <is>
          <t>Não</t>
        </is>
      </c>
    </row>
    <row r="261">
      <c r="A261" s="7" t="inlineStr">
        <is>
          <t>Lei 7.492/86</t>
        </is>
      </c>
      <c r="B261" s="7" t="inlineStr">
        <is>
          <t>Art. 16</t>
        </is>
      </c>
      <c r="C261" s="16" t="inlineStr">
        <is>
          <t>Fazer operar instituição financeira sem autorização</t>
        </is>
      </c>
      <c r="D261" s="7" t="n">
        <v>12</v>
      </c>
      <c r="E261" s="7" t="n">
        <v>48</v>
      </c>
      <c r="F261" s="7" t="inlineStr">
        <is>
          <t>Reclusão</t>
        </is>
      </c>
      <c r="G261" s="7" t="inlineStr">
        <is>
          <t>Pública Incondicionada</t>
        </is>
      </c>
      <c r="H261" s="7" t="inlineStr">
        <is>
          <t>Não</t>
        </is>
      </c>
      <c r="I261" s="7" t="inlineStr">
        <is>
          <t>Doloso</t>
        </is>
      </c>
      <c r="J261" s="7" t="inlineStr">
        <is>
          <t>Sim</t>
        </is>
      </c>
      <c r="K261" s="16" t="inlineStr">
        <is>
          <t>—</t>
        </is>
      </c>
      <c r="L261" s="16" t="inlineStr"/>
      <c r="M261" s="7" t="inlineStr">
        <is>
          <t>Sim</t>
        </is>
      </c>
      <c r="N261" s="7" t="inlineStr">
        <is>
          <t>Sim</t>
        </is>
      </c>
    </row>
    <row r="262">
      <c r="A262" s="7" t="inlineStr">
        <is>
          <t>Lei 7.492/86</t>
        </is>
      </c>
      <c r="B262" s="7" t="inlineStr">
        <is>
          <t>Art. 22</t>
        </is>
      </c>
      <c r="C262" s="16" t="inlineStr">
        <is>
          <t>Evasão de divisas</t>
        </is>
      </c>
      <c r="D262" s="7" t="n">
        <v>24</v>
      </c>
      <c r="E262" s="7" t="n">
        <v>72</v>
      </c>
      <c r="F262" s="7" t="inlineStr">
        <is>
          <t>Reclusão</t>
        </is>
      </c>
      <c r="G262" s="7" t="inlineStr">
        <is>
          <t>Pública Incondicionada</t>
        </is>
      </c>
      <c r="H262" s="7" t="inlineStr">
        <is>
          <t>Não</t>
        </is>
      </c>
      <c r="I262" s="7" t="inlineStr">
        <is>
          <t>Doloso</t>
        </is>
      </c>
      <c r="J262" s="7" t="inlineStr">
        <is>
          <t>Sim</t>
        </is>
      </c>
      <c r="K262" s="16" t="inlineStr">
        <is>
          <t>—</t>
        </is>
      </c>
      <c r="L262" s="16" t="inlineStr">
        <is>
          <t>Operar câmbio não autorizado, promover evasão de divisas. Justiça Federal</t>
        </is>
      </c>
      <c r="M262" s="7" t="inlineStr">
        <is>
          <t>Sim</t>
        </is>
      </c>
      <c r="N262" s="7" t="inlineStr">
        <is>
          <t>Não</t>
        </is>
      </c>
    </row>
    <row r="263">
      <c r="A263" s="7" t="inlineStr">
        <is>
          <t>Lei 11.101/05</t>
        </is>
      </c>
      <c r="B263" s="7" t="inlineStr">
        <is>
          <t>Art. 168</t>
        </is>
      </c>
      <c r="C263" s="16" t="inlineStr">
        <is>
          <t>Fraude a credores (falimentar)</t>
        </is>
      </c>
      <c r="D263" s="7" t="n">
        <v>36</v>
      </c>
      <c r="E263" s="7" t="n">
        <v>72</v>
      </c>
      <c r="F263" s="7" t="inlineStr">
        <is>
          <t>Reclusão</t>
        </is>
      </c>
      <c r="G263" s="7" t="inlineStr">
        <is>
          <t>Pública Incondicionada</t>
        </is>
      </c>
      <c r="H263" s="7" t="inlineStr">
        <is>
          <t>Não</t>
        </is>
      </c>
      <c r="I263" s="7" t="inlineStr">
        <is>
          <t>Doloso</t>
        </is>
      </c>
      <c r="J263" s="7" t="inlineStr">
        <is>
          <t>Sim</t>
        </is>
      </c>
      <c r="K263" s="16" t="inlineStr">
        <is>
          <t>§2º: +1/3 se de forma especialmente complexa</t>
        </is>
      </c>
      <c r="L263" s="16" t="inlineStr">
        <is>
          <t>Praticar atos de disposição/oneração patrimonial/geração de obrigações em fraude</t>
        </is>
      </c>
      <c r="M263" s="7" t="inlineStr">
        <is>
          <t>Sim</t>
        </is>
      </c>
      <c r="N263" s="7" t="inlineStr">
        <is>
          <t>Não</t>
        </is>
      </c>
    </row>
    <row r="264">
      <c r="A264" s="7" t="inlineStr">
        <is>
          <t>Lei 11.101/05</t>
        </is>
      </c>
      <c r="B264" s="7" t="inlineStr">
        <is>
          <t>Art. 169</t>
        </is>
      </c>
      <c r="C264" s="16" t="inlineStr">
        <is>
          <t>Violação de sigilo empresarial (falimentar)</t>
        </is>
      </c>
      <c r="D264" s="7" t="n">
        <v>24</v>
      </c>
      <c r="E264" s="7" t="n">
        <v>48</v>
      </c>
      <c r="F264" s="7" t="inlineStr">
        <is>
          <t>Reclusão</t>
        </is>
      </c>
      <c r="G264" s="7" t="inlineStr">
        <is>
          <t>Pública Incondicionada</t>
        </is>
      </c>
      <c r="H264" s="7" t="inlineStr">
        <is>
          <t>Não</t>
        </is>
      </c>
      <c r="I264" s="7" t="inlineStr">
        <is>
          <t>Doloso</t>
        </is>
      </c>
      <c r="J264" s="7" t="inlineStr">
        <is>
          <t>Sim</t>
        </is>
      </c>
      <c r="K264" s="16" t="inlineStr">
        <is>
          <t>—</t>
        </is>
      </c>
      <c r="L264" s="16" t="inlineStr">
        <is>
          <t>Violar/explorar/divulgar segredo empresarial sem justa causa</t>
        </is>
      </c>
      <c r="M264" s="7" t="inlineStr">
        <is>
          <t>Sim</t>
        </is>
      </c>
      <c r="N264" s="7" t="inlineStr">
        <is>
          <t>Não</t>
        </is>
      </c>
    </row>
    <row r="265">
      <c r="A265" s="7" t="inlineStr">
        <is>
          <t>Lei 11.101/05</t>
        </is>
      </c>
      <c r="B265" s="7" t="inlineStr">
        <is>
          <t>Art. 170</t>
        </is>
      </c>
      <c r="C265" s="16" t="inlineStr">
        <is>
          <t>Divulgação de informações falsas sobre devedor (falimentar)</t>
        </is>
      </c>
      <c r="D265" s="7" t="n">
        <v>24</v>
      </c>
      <c r="E265" s="7" t="n">
        <v>48</v>
      </c>
      <c r="F265" s="7" t="inlineStr">
        <is>
          <t>Reclusão</t>
        </is>
      </c>
      <c r="G265" s="7" t="inlineStr">
        <is>
          <t>Pública Incondicionada</t>
        </is>
      </c>
      <c r="H265" s="7" t="inlineStr">
        <is>
          <t>Não</t>
        </is>
      </c>
      <c r="I265" s="7" t="inlineStr">
        <is>
          <t>Doloso</t>
        </is>
      </c>
      <c r="J265" s="7" t="inlineStr">
        <is>
          <t>Sim</t>
        </is>
      </c>
      <c r="K265" s="16" t="inlineStr">
        <is>
          <t>—</t>
        </is>
      </c>
      <c r="L265" s="16" t="inlineStr"/>
      <c r="M265" s="7" t="inlineStr">
        <is>
          <t>Sim</t>
        </is>
      </c>
      <c r="N265" s="7" t="inlineStr">
        <is>
          <t>Não</t>
        </is>
      </c>
    </row>
    <row r="266">
      <c r="A266" s="7" t="inlineStr">
        <is>
          <t>Lei 11.101/05</t>
        </is>
      </c>
      <c r="B266" s="7" t="inlineStr">
        <is>
          <t>Art. 171</t>
        </is>
      </c>
      <c r="C266" s="16" t="inlineStr">
        <is>
          <t>Indução a erro de falimentar</t>
        </is>
      </c>
      <c r="D266" s="7" t="n">
        <v>24</v>
      </c>
      <c r="E266" s="7" t="n">
        <v>48</v>
      </c>
      <c r="F266" s="7" t="inlineStr">
        <is>
          <t>Reclusão</t>
        </is>
      </c>
      <c r="G266" s="7" t="inlineStr">
        <is>
          <t>Pública Incondicionada</t>
        </is>
      </c>
      <c r="H266" s="7" t="inlineStr">
        <is>
          <t>Não</t>
        </is>
      </c>
      <c r="I266" s="7" t="inlineStr">
        <is>
          <t>Doloso</t>
        </is>
      </c>
      <c r="J266" s="7" t="inlineStr">
        <is>
          <t>Sim</t>
        </is>
      </c>
      <c r="K266" s="16" t="inlineStr">
        <is>
          <t>—</t>
        </is>
      </c>
      <c r="L266" s="16" t="inlineStr">
        <is>
          <t>Sonegar/omitir informações ou prestar informações falsas no processo falimentar</t>
        </is>
      </c>
      <c r="M266" s="7" t="inlineStr">
        <is>
          <t>Sim</t>
        </is>
      </c>
      <c r="N266" s="7" t="inlineStr">
        <is>
          <t>Não</t>
        </is>
      </c>
    </row>
    <row r="267">
      <c r="A267" s="7" t="inlineStr">
        <is>
          <t>Lei 11.101/05</t>
        </is>
      </c>
      <c r="B267" s="7" t="inlineStr">
        <is>
          <t>Art. 172</t>
        </is>
      </c>
      <c r="C267" s="16" t="inlineStr">
        <is>
          <t>Favorecimento de credores (falimentar)</t>
        </is>
      </c>
      <c r="D267" s="7" t="n">
        <v>24</v>
      </c>
      <c r="E267" s="7" t="n">
        <v>60</v>
      </c>
      <c r="F267" s="7" t="inlineStr">
        <is>
          <t>Reclusão</t>
        </is>
      </c>
      <c r="G267" s="7" t="inlineStr">
        <is>
          <t>Pública Incondicionada</t>
        </is>
      </c>
      <c r="H267" s="7" t="inlineStr">
        <is>
          <t>Não</t>
        </is>
      </c>
      <c r="I267" s="7" t="inlineStr">
        <is>
          <t>Doloso</t>
        </is>
      </c>
      <c r="J267" s="7" t="inlineStr">
        <is>
          <t>Sim</t>
        </is>
      </c>
      <c r="K267" s="16" t="inlineStr">
        <is>
          <t>—</t>
        </is>
      </c>
      <c r="L267" s="16" t="inlineStr">
        <is>
          <t>Praticar ato de disposição/oneração patrimonial favorecendo determinados credores</t>
        </is>
      </c>
      <c r="M267" s="7" t="inlineStr">
        <is>
          <t>Sim</t>
        </is>
      </c>
      <c r="N267" s="7" t="inlineStr">
        <is>
          <t>Não</t>
        </is>
      </c>
    </row>
    <row r="268">
      <c r="A268" s="7" t="inlineStr">
        <is>
          <t>Lei 11.101/05</t>
        </is>
      </c>
      <c r="B268" s="7" t="inlineStr">
        <is>
          <t>Art. 173</t>
        </is>
      </c>
      <c r="C268" s="16" t="inlineStr">
        <is>
          <t>Desvio/apropriação/destruição de bens (massa falida)</t>
        </is>
      </c>
      <c r="D268" s="7" t="n">
        <v>24</v>
      </c>
      <c r="E268" s="7" t="n">
        <v>48</v>
      </c>
      <c r="F268" s="7" t="inlineStr">
        <is>
          <t>Reclusão</t>
        </is>
      </c>
      <c r="G268" s="7" t="inlineStr">
        <is>
          <t>Pública Incondicionada</t>
        </is>
      </c>
      <c r="H268" s="7" t="inlineStr">
        <is>
          <t>Não</t>
        </is>
      </c>
      <c r="I268" s="7" t="inlineStr">
        <is>
          <t>Doloso</t>
        </is>
      </c>
      <c r="J268" s="7" t="inlineStr">
        <is>
          <t>Sim</t>
        </is>
      </c>
      <c r="K268" s="16" t="inlineStr">
        <is>
          <t>—</t>
        </is>
      </c>
      <c r="L268" s="16" t="inlineStr">
        <is>
          <t>Crime de administrador judicial, membro do comitê</t>
        </is>
      </c>
      <c r="M268" s="7" t="inlineStr">
        <is>
          <t>Sim</t>
        </is>
      </c>
      <c r="N268" s="7" t="inlineStr">
        <is>
          <t>Não</t>
        </is>
      </c>
    </row>
    <row r="269">
      <c r="A269" s="7" t="inlineStr">
        <is>
          <t>Lei 11.101/05</t>
        </is>
      </c>
      <c r="B269" s="7" t="inlineStr">
        <is>
          <t>Art. 175</t>
        </is>
      </c>
      <c r="C269" s="16" t="inlineStr">
        <is>
          <t>Habilitação ilegal de crédito</t>
        </is>
      </c>
      <c r="D269" s="7" t="n">
        <v>24</v>
      </c>
      <c r="E269" s="7" t="n">
        <v>48</v>
      </c>
      <c r="F269" s="7" t="inlineStr">
        <is>
          <t>Reclusão</t>
        </is>
      </c>
      <c r="G269" s="7" t="inlineStr">
        <is>
          <t>Pública Incondicionada</t>
        </is>
      </c>
      <c r="H269" s="7" t="inlineStr">
        <is>
          <t>Não</t>
        </is>
      </c>
      <c r="I269" s="7" t="inlineStr">
        <is>
          <t>Doloso</t>
        </is>
      </c>
      <c r="J269" s="7" t="inlineStr">
        <is>
          <t>Sim</t>
        </is>
      </c>
      <c r="K269" s="16" t="inlineStr">
        <is>
          <t>—</t>
        </is>
      </c>
      <c r="L269" s="16" t="inlineStr">
        <is>
          <t>Apresentar crédito falso/inexistente/maior que o devido</t>
        </is>
      </c>
      <c r="M269" s="7" t="inlineStr">
        <is>
          <t>Sim</t>
        </is>
      </c>
      <c r="N269" s="7" t="inlineStr">
        <is>
          <t>Não</t>
        </is>
      </c>
    </row>
    <row r="270">
      <c r="A270" s="7" t="inlineStr">
        <is>
          <t>Lei 11.101/05</t>
        </is>
      </c>
      <c r="B270" s="7" t="inlineStr">
        <is>
          <t>Art. 176</t>
        </is>
      </c>
      <c r="C270" s="16" t="inlineStr">
        <is>
          <t>Exercício ilegal de atividade (falimentar)</t>
        </is>
      </c>
      <c r="D270" s="7" t="n">
        <v>12</v>
      </c>
      <c r="E270" s="7" t="n">
        <v>48</v>
      </c>
      <c r="F270" s="7" t="inlineStr">
        <is>
          <t>Reclusão</t>
        </is>
      </c>
      <c r="G270" s="7" t="inlineStr">
        <is>
          <t>Pública Incondicionada</t>
        </is>
      </c>
      <c r="H270" s="7" t="inlineStr">
        <is>
          <t>Não</t>
        </is>
      </c>
      <c r="I270" s="7" t="inlineStr">
        <is>
          <t>Doloso</t>
        </is>
      </c>
      <c r="J270" s="7" t="inlineStr">
        <is>
          <t>Sim</t>
        </is>
      </c>
      <c r="K270" s="16" t="inlineStr">
        <is>
          <t>—</t>
        </is>
      </c>
      <c r="L270" s="16" t="inlineStr">
        <is>
          <t>Exercer atividade com violação de impedimento/proibição decorrente de falência</t>
        </is>
      </c>
      <c r="M270" s="7" t="inlineStr">
        <is>
          <t>Sim</t>
        </is>
      </c>
      <c r="N270" s="7" t="inlineStr">
        <is>
          <t>Sim</t>
        </is>
      </c>
    </row>
    <row r="271">
      <c r="A271" s="7" t="inlineStr">
        <is>
          <t>Lei 14.197/21</t>
        </is>
      </c>
      <c r="B271" s="7" t="inlineStr">
        <is>
          <t>Art. 359-L</t>
        </is>
      </c>
      <c r="C271" s="16" t="inlineStr">
        <is>
          <t>Abolição violenta do Estado Democrático de Direito</t>
        </is>
      </c>
      <c r="D271" s="7" t="n">
        <v>48</v>
      </c>
      <c r="E271" s="7" t="n">
        <v>96</v>
      </c>
      <c r="F271" s="7" t="inlineStr">
        <is>
          <t>Reclusão</t>
        </is>
      </c>
      <c r="G271" s="7" t="inlineStr">
        <is>
          <t>Pública Incondicionada</t>
        </is>
      </c>
      <c r="H271" s="7" t="inlineStr">
        <is>
          <t>Não</t>
        </is>
      </c>
      <c r="I271" s="7" t="inlineStr">
        <is>
          <t>Doloso</t>
        </is>
      </c>
      <c r="J271" s="7" t="inlineStr">
        <is>
          <t>Sim</t>
        </is>
      </c>
      <c r="K271" s="16" t="inlineStr">
        <is>
          <t>—</t>
        </is>
      </c>
      <c r="L271" s="16" t="inlineStr">
        <is>
          <t>Tentar, com emprego de violência ou grave ameaça, abolir o Estado Democrático de Direito</t>
        </is>
      </c>
      <c r="M271" s="7" t="inlineStr">
        <is>
          <t>Verificar</t>
        </is>
      </c>
      <c r="N271" s="7" t="inlineStr">
        <is>
          <t>Não</t>
        </is>
      </c>
    </row>
    <row r="272">
      <c r="A272" s="7" t="inlineStr">
        <is>
          <t>Lei 14.197/21</t>
        </is>
      </c>
      <c r="B272" s="7" t="inlineStr">
        <is>
          <t>Art. 359-M</t>
        </is>
      </c>
      <c r="C272" s="16" t="inlineStr">
        <is>
          <t>Golpe de Estado</t>
        </is>
      </c>
      <c r="D272" s="7" t="n">
        <v>48</v>
      </c>
      <c r="E272" s="7" t="n">
        <v>144</v>
      </c>
      <c r="F272" s="7" t="inlineStr">
        <is>
          <t>Reclusão</t>
        </is>
      </c>
      <c r="G272" s="7" t="inlineStr">
        <is>
          <t>Pública Incondicionada</t>
        </is>
      </c>
      <c r="H272" s="7" t="inlineStr">
        <is>
          <t>Não</t>
        </is>
      </c>
      <c r="I272" s="7" t="inlineStr">
        <is>
          <t>Doloso</t>
        </is>
      </c>
      <c r="J272" s="7" t="inlineStr">
        <is>
          <t>Sim</t>
        </is>
      </c>
      <c r="K272" s="16" t="inlineStr">
        <is>
          <t>+1/3 se arma de fogo</t>
        </is>
      </c>
      <c r="L272" s="16" t="inlineStr">
        <is>
          <t>Tentar depor, por meio de violência ou grave ameaça, governo legitimamente constituído</t>
        </is>
      </c>
      <c r="M272" s="7" t="inlineStr">
        <is>
          <t>Verificar</t>
        </is>
      </c>
      <c r="N272" s="7" t="inlineStr">
        <is>
          <t>Não</t>
        </is>
      </c>
    </row>
    <row r="273">
      <c r="A273" s="7" t="inlineStr">
        <is>
          <t>Lei 14.197/21</t>
        </is>
      </c>
      <c r="B273" s="7" t="inlineStr">
        <is>
          <t>Art. 359-N</t>
        </is>
      </c>
      <c r="C273" s="16" t="inlineStr">
        <is>
          <t>Interrupção do processo eleitoral</t>
        </is>
      </c>
      <c r="D273" s="7" t="n">
        <v>36</v>
      </c>
      <c r="E273" s="7" t="n">
        <v>72</v>
      </c>
      <c r="F273" s="7" t="inlineStr">
        <is>
          <t>Reclusão</t>
        </is>
      </c>
      <c r="G273" s="7" t="inlineStr">
        <is>
          <t>Pública Incondicionada</t>
        </is>
      </c>
      <c r="H273" s="7" t="inlineStr">
        <is>
          <t>Não</t>
        </is>
      </c>
      <c r="I273" s="7" t="inlineStr">
        <is>
          <t>Doloso</t>
        </is>
      </c>
      <c r="J273" s="7" t="inlineStr">
        <is>
          <t>Sim</t>
        </is>
      </c>
      <c r="K273" s="16" t="inlineStr">
        <is>
          <t>—</t>
        </is>
      </c>
      <c r="L273" s="16" t="inlineStr">
        <is>
          <t>Impedir/perturbar/restringir processo eleitoral mediante violência/grave ameaça</t>
        </is>
      </c>
      <c r="M273" s="7" t="inlineStr">
        <is>
          <t>Sim</t>
        </is>
      </c>
      <c r="N273" s="7" t="inlineStr">
        <is>
          <t>Não</t>
        </is>
      </c>
    </row>
    <row r="274">
      <c r="A274" s="7" t="inlineStr">
        <is>
          <t>Lei 14.197/21</t>
        </is>
      </c>
      <c r="B274" s="7" t="inlineStr">
        <is>
          <t>Art. 359-P</t>
        </is>
      </c>
      <c r="C274" s="16" t="inlineStr">
        <is>
          <t>Violência política</t>
        </is>
      </c>
      <c r="D274" s="7" t="n">
        <v>36</v>
      </c>
      <c r="E274" s="7" t="n">
        <v>72</v>
      </c>
      <c r="F274" s="7" t="inlineStr">
        <is>
          <t>Reclusão</t>
        </is>
      </c>
      <c r="G274" s="7" t="inlineStr">
        <is>
          <t>Pública Incondicionada</t>
        </is>
      </c>
      <c r="H274" s="7" t="inlineStr">
        <is>
          <t>Não</t>
        </is>
      </c>
      <c r="I274" s="7" t="inlineStr">
        <is>
          <t>Doloso</t>
        </is>
      </c>
      <c r="J274" s="7" t="inlineStr">
        <is>
          <t>Sim</t>
        </is>
      </c>
      <c r="K274" s="16" t="inlineStr">
        <is>
          <t>—</t>
        </is>
      </c>
      <c r="L274" s="16" t="inlineStr">
        <is>
          <t>Restringir/impedir/dificultar exercício de funções políticas mediante violência/grave ameaça</t>
        </is>
      </c>
      <c r="M274" s="7" t="inlineStr">
        <is>
          <t>Verificar</t>
        </is>
      </c>
      <c r="N274" s="7" t="inlineStr">
        <is>
          <t>Não</t>
        </is>
      </c>
    </row>
    <row r="275">
      <c r="A275" s="7" t="inlineStr">
        <is>
          <t>Lei 14.197/21</t>
        </is>
      </c>
      <c r="B275" s="7" t="inlineStr">
        <is>
          <t>Art. 359-R</t>
        </is>
      </c>
      <c r="C275" s="16" t="inlineStr">
        <is>
          <t>Sabotagem</t>
        </is>
      </c>
      <c r="D275" s="7" t="n">
        <v>24</v>
      </c>
      <c r="E275" s="7" t="n">
        <v>96</v>
      </c>
      <c r="F275" s="7" t="inlineStr">
        <is>
          <t>Reclusão</t>
        </is>
      </c>
      <c r="G275" s="7" t="inlineStr">
        <is>
          <t>Pública Incondicionada</t>
        </is>
      </c>
      <c r="H275" s="7" t="inlineStr">
        <is>
          <t>Não</t>
        </is>
      </c>
      <c r="I275" s="7" t="inlineStr">
        <is>
          <t>Doloso</t>
        </is>
      </c>
      <c r="J275" s="7" t="inlineStr">
        <is>
          <t>Sim</t>
        </is>
      </c>
      <c r="K275" s="16" t="inlineStr">
        <is>
          <t>—</t>
        </is>
      </c>
      <c r="L275" s="16" t="inlineStr">
        <is>
          <t>Destruir/inutilizar meios de comunicação/transporte/instalações/serviços públicos em ato de sabotagem contra instituições democráticas</t>
        </is>
      </c>
      <c r="M275" s="7" t="inlineStr">
        <is>
          <t>Sim</t>
        </is>
      </c>
      <c r="N275" s="7" t="inlineStr">
        <is>
          <t>Não</t>
        </is>
      </c>
    </row>
    <row r="276">
      <c r="A276" s="7" t="inlineStr">
        <is>
          <t>Lei 14.133/21</t>
        </is>
      </c>
      <c r="B276" s="7" t="inlineStr">
        <is>
          <t>Art. 337-E</t>
        </is>
      </c>
      <c r="C276" s="16" t="inlineStr">
        <is>
          <t>Contratação direta ilegal</t>
        </is>
      </c>
      <c r="D276" s="7" t="n">
        <v>48</v>
      </c>
      <c r="E276" s="7" t="n">
        <v>96</v>
      </c>
      <c r="F276" s="7" t="inlineStr">
        <is>
          <t>Reclusão</t>
        </is>
      </c>
      <c r="G276" s="7" t="inlineStr">
        <is>
          <t>Pública Incondicionada</t>
        </is>
      </c>
      <c r="H276" s="7" t="inlineStr">
        <is>
          <t>Não</t>
        </is>
      </c>
      <c r="I276" s="7" t="inlineStr">
        <is>
          <t>Doloso</t>
        </is>
      </c>
      <c r="J276" s="7" t="inlineStr">
        <is>
          <t>Sim</t>
        </is>
      </c>
      <c r="K276" s="16" t="inlineStr">
        <is>
          <t>—</t>
        </is>
      </c>
      <c r="L276" s="16" t="inlineStr">
        <is>
          <t>Admitir/possibilitar/dar causa a contratação direta fora das hipóteses legais</t>
        </is>
      </c>
      <c r="M276" s="7" t="inlineStr">
        <is>
          <t>Verificar</t>
        </is>
      </c>
      <c r="N276" s="7" t="inlineStr">
        <is>
          <t>Não</t>
        </is>
      </c>
    </row>
    <row r="277">
      <c r="A277" s="7" t="inlineStr">
        <is>
          <t>Lei 14.133/21</t>
        </is>
      </c>
      <c r="B277" s="7" t="inlineStr">
        <is>
          <t>Art. 337-F</t>
        </is>
      </c>
      <c r="C277" s="16" t="inlineStr">
        <is>
          <t>Frustração do caráter competitivo de licitação</t>
        </is>
      </c>
      <c r="D277" s="7" t="n">
        <v>48</v>
      </c>
      <c r="E277" s="7" t="n">
        <v>96</v>
      </c>
      <c r="F277" s="7" t="inlineStr">
        <is>
          <t>Reclusão</t>
        </is>
      </c>
      <c r="G277" s="7" t="inlineStr">
        <is>
          <t>Pública Incondicionada</t>
        </is>
      </c>
      <c r="H277" s="7" t="inlineStr">
        <is>
          <t>Não</t>
        </is>
      </c>
      <c r="I277" s="7" t="inlineStr">
        <is>
          <t>Doloso</t>
        </is>
      </c>
      <c r="J277" s="7" t="inlineStr">
        <is>
          <t>Sim</t>
        </is>
      </c>
      <c r="K277" s="16" t="inlineStr">
        <is>
          <t>—</t>
        </is>
      </c>
      <c r="L277" s="16" t="inlineStr">
        <is>
          <t>Frustrar/fraudar a competitividade da licitação</t>
        </is>
      </c>
      <c r="M277" s="7" t="inlineStr">
        <is>
          <t>Verificar</t>
        </is>
      </c>
      <c r="N277" s="7" t="inlineStr">
        <is>
          <t>Não</t>
        </is>
      </c>
    </row>
    <row r="278">
      <c r="A278" s="7" t="inlineStr">
        <is>
          <t>Lei 14.133/21</t>
        </is>
      </c>
      <c r="B278" s="7" t="inlineStr">
        <is>
          <t>Art. 337-G</t>
        </is>
      </c>
      <c r="C278" s="16" t="inlineStr">
        <is>
          <t>Patrocínio de contratação indevida</t>
        </is>
      </c>
      <c r="D278" s="7" t="n">
        <v>6</v>
      </c>
      <c r="E278" s="7" t="n">
        <v>24</v>
      </c>
      <c r="F278" s="7" t="inlineStr">
        <is>
          <t>Detenção</t>
        </is>
      </c>
      <c r="G278" s="7" t="inlineStr">
        <is>
          <t>Pública Incondicionada</t>
        </is>
      </c>
      <c r="H278" s="7" t="inlineStr">
        <is>
          <t>Não</t>
        </is>
      </c>
      <c r="I278" s="7" t="inlineStr">
        <is>
          <t>Doloso</t>
        </is>
      </c>
      <c r="J278" s="7" t="inlineStr">
        <is>
          <t>Sim</t>
        </is>
      </c>
      <c r="K278" s="16" t="inlineStr">
        <is>
          <t>—</t>
        </is>
      </c>
      <c r="L278" s="16" t="inlineStr">
        <is>
          <t>Patrocinar, direta ou indiretamente, interesse privado perante a Administração</t>
        </is>
      </c>
      <c r="M278" s="7" t="inlineStr">
        <is>
          <t>Sim</t>
        </is>
      </c>
      <c r="N278" s="7" t="inlineStr">
        <is>
          <t>Sim</t>
        </is>
      </c>
    </row>
    <row r="279">
      <c r="A279" s="7" t="inlineStr">
        <is>
          <t>Lei 14.133/21</t>
        </is>
      </c>
      <c r="B279" s="7" t="inlineStr">
        <is>
          <t>Art. 337-H</t>
        </is>
      </c>
      <c r="C279" s="16" t="inlineStr">
        <is>
          <t>Modificação/pagamento irregular em contrato administrativo</t>
        </is>
      </c>
      <c r="D279" s="7" t="n">
        <v>24</v>
      </c>
      <c r="E279" s="7" t="n">
        <v>72</v>
      </c>
      <c r="F279" s="7" t="inlineStr">
        <is>
          <t>Reclusão</t>
        </is>
      </c>
      <c r="G279" s="7" t="inlineStr">
        <is>
          <t>Pública Incondicionada</t>
        </is>
      </c>
      <c r="H279" s="7" t="inlineStr">
        <is>
          <t>Não</t>
        </is>
      </c>
      <c r="I279" s="7" t="inlineStr">
        <is>
          <t>Doloso</t>
        </is>
      </c>
      <c r="J279" s="7" t="inlineStr">
        <is>
          <t>Sim</t>
        </is>
      </c>
      <c r="K279" s="16" t="inlineStr">
        <is>
          <t>—</t>
        </is>
      </c>
      <c r="L279" s="16" t="inlineStr">
        <is>
          <t>Admitir/possibilitar/dar causa à alteração de contrato em desacordo com a lei</t>
        </is>
      </c>
      <c r="M279" s="7" t="inlineStr">
        <is>
          <t>Sim</t>
        </is>
      </c>
      <c r="N279" s="7" t="inlineStr">
        <is>
          <t>Não</t>
        </is>
      </c>
    </row>
    <row r="280">
      <c r="A280" s="7" t="inlineStr">
        <is>
          <t>Lei 14.133/21</t>
        </is>
      </c>
      <c r="B280" s="7" t="inlineStr">
        <is>
          <t>Art. 337-I</t>
        </is>
      </c>
      <c r="C280" s="16" t="inlineStr">
        <is>
          <t>Perturbação/fraude em licitação</t>
        </is>
      </c>
      <c r="D280" s="7" t="n">
        <v>6</v>
      </c>
      <c r="E280" s="7" t="n">
        <v>24</v>
      </c>
      <c r="F280" s="7" t="inlineStr">
        <is>
          <t>Detenção</t>
        </is>
      </c>
      <c r="G280" s="7" t="inlineStr">
        <is>
          <t>Pública Incondicionada</t>
        </is>
      </c>
      <c r="H280" s="7" t="inlineStr">
        <is>
          <t>Não</t>
        </is>
      </c>
      <c r="I280" s="7" t="inlineStr">
        <is>
          <t>Doloso</t>
        </is>
      </c>
      <c r="J280" s="7" t="inlineStr">
        <is>
          <t>Sim</t>
        </is>
      </c>
      <c r="K280" s="16" t="inlineStr">
        <is>
          <t>—</t>
        </is>
      </c>
      <c r="L280" s="16" t="inlineStr">
        <is>
          <t>Impedir/perturbar/fraudar ato de licitação</t>
        </is>
      </c>
      <c r="M280" s="7" t="inlineStr">
        <is>
          <t>Sim</t>
        </is>
      </c>
      <c r="N280" s="7" t="inlineStr">
        <is>
          <t>Sim</t>
        </is>
      </c>
    </row>
    <row r="281">
      <c r="A281" s="7" t="inlineStr">
        <is>
          <t>Lei 14.133/21</t>
        </is>
      </c>
      <c r="B281" s="7" t="inlineStr">
        <is>
          <t>Art. 337-J</t>
        </is>
      </c>
      <c r="C281" s="16" t="inlineStr">
        <is>
          <t>Violação de sigilo em licitação</t>
        </is>
      </c>
      <c r="D281" s="7" t="n">
        <v>24</v>
      </c>
      <c r="E281" s="7" t="n">
        <v>36</v>
      </c>
      <c r="F281" s="7" t="inlineStr">
        <is>
          <t>Detenção</t>
        </is>
      </c>
      <c r="G281" s="7" t="inlineStr">
        <is>
          <t>Pública Incondicionada</t>
        </is>
      </c>
      <c r="H281" s="7" t="inlineStr">
        <is>
          <t>Não</t>
        </is>
      </c>
      <c r="I281" s="7" t="inlineStr">
        <is>
          <t>Doloso</t>
        </is>
      </c>
      <c r="J281" s="7" t="inlineStr">
        <is>
          <t>Sim</t>
        </is>
      </c>
      <c r="K281" s="16" t="inlineStr">
        <is>
          <t>—</t>
        </is>
      </c>
      <c r="L281" s="16" t="inlineStr">
        <is>
          <t>Devassar o sigilo de proposta apresentada em licitação</t>
        </is>
      </c>
      <c r="M281" s="7" t="inlineStr">
        <is>
          <t>Sim</t>
        </is>
      </c>
      <c r="N281" s="7" t="inlineStr">
        <is>
          <t>Não</t>
        </is>
      </c>
    </row>
    <row r="282">
      <c r="A282" s="7" t="inlineStr">
        <is>
          <t>Lei 14.133/21</t>
        </is>
      </c>
      <c r="B282" s="7" t="inlineStr">
        <is>
          <t>Art. 337-K</t>
        </is>
      </c>
      <c r="C282" s="16" t="inlineStr">
        <is>
          <t>Afastamento de licitante</t>
        </is>
      </c>
      <c r="D282" s="7" t="n">
        <v>6</v>
      </c>
      <c r="E282" s="7" t="n">
        <v>24</v>
      </c>
      <c r="F282" s="7" t="inlineStr">
        <is>
          <t>Detenção</t>
        </is>
      </c>
      <c r="G282" s="7" t="inlineStr">
        <is>
          <t>Pública Incondicionada</t>
        </is>
      </c>
      <c r="H282" s="7" t="inlineStr">
        <is>
          <t>Não</t>
        </is>
      </c>
      <c r="I282" s="7" t="inlineStr">
        <is>
          <t>Doloso</t>
        </is>
      </c>
      <c r="J282" s="7" t="inlineStr">
        <is>
          <t>Sim</t>
        </is>
      </c>
      <c r="K282" s="16" t="inlineStr">
        <is>
          <t>—</t>
        </is>
      </c>
      <c r="L282" s="16" t="inlineStr">
        <is>
          <t>Obstar/impedir/dificultar a inscrição de interessado</t>
        </is>
      </c>
      <c r="M282" s="7" t="inlineStr">
        <is>
          <t>Sim</t>
        </is>
      </c>
      <c r="N282" s="7" t="inlineStr">
        <is>
          <t>Sim</t>
        </is>
      </c>
    </row>
    <row r="283">
      <c r="A283" s="7" t="inlineStr">
        <is>
          <t>Lei 14.133/21</t>
        </is>
      </c>
      <c r="B283" s="7" t="inlineStr">
        <is>
          <t>Art. 337-L</t>
        </is>
      </c>
      <c r="C283" s="16" t="inlineStr">
        <is>
          <t>Fraude em licitação/contrato (ato de improbidade)</t>
        </is>
      </c>
      <c r="D283" s="7" t="n">
        <v>24</v>
      </c>
      <c r="E283" s="7" t="n">
        <v>96</v>
      </c>
      <c r="F283" s="7" t="inlineStr">
        <is>
          <t>Reclusão</t>
        </is>
      </c>
      <c r="G283" s="7" t="inlineStr">
        <is>
          <t>Pública Incondicionada</t>
        </is>
      </c>
      <c r="H283" s="7" t="inlineStr">
        <is>
          <t>Não</t>
        </is>
      </c>
      <c r="I283" s="7" t="inlineStr">
        <is>
          <t>Doloso</t>
        </is>
      </c>
      <c r="J283" s="7" t="inlineStr">
        <is>
          <t>Sim</t>
        </is>
      </c>
      <c r="K283" s="16" t="inlineStr">
        <is>
          <t>—</t>
        </is>
      </c>
      <c r="L283" s="16" t="inlineStr">
        <is>
          <t>Fraudar em prejuízo da Fazenda Pública</t>
        </is>
      </c>
      <c r="M283" s="7" t="inlineStr">
        <is>
          <t>Sim</t>
        </is>
      </c>
      <c r="N283" s="7" t="inlineStr">
        <is>
          <t>Não</t>
        </is>
      </c>
    </row>
    <row r="284">
      <c r="A284" s="7" t="inlineStr">
        <is>
          <t>ECA (8.069/90)</t>
        </is>
      </c>
      <c r="B284" s="7" t="inlineStr">
        <is>
          <t>Art. 228</t>
        </is>
      </c>
      <c r="C284" s="16" t="inlineStr">
        <is>
          <t>Deixar de identificar-se ao adolescente apreendido</t>
        </is>
      </c>
      <c r="D284" s="7" t="n">
        <v>6</v>
      </c>
      <c r="E284" s="7" t="n">
        <v>24</v>
      </c>
      <c r="F284" s="7" t="inlineStr">
        <is>
          <t>Detenção</t>
        </is>
      </c>
      <c r="G284" s="7" t="inlineStr">
        <is>
          <t>Pública Incondicionada</t>
        </is>
      </c>
      <c r="H284" s="7" t="inlineStr">
        <is>
          <t>Não</t>
        </is>
      </c>
      <c r="I284" s="7" t="inlineStr">
        <is>
          <t>Doloso</t>
        </is>
      </c>
      <c r="J284" s="7" t="inlineStr">
        <is>
          <t>Controverso</t>
        </is>
      </c>
      <c r="K284" s="16" t="inlineStr">
        <is>
          <t>—</t>
        </is>
      </c>
      <c r="L284" s="16" t="inlineStr">
        <is>
          <t>Deixar o encarregado de serviço ou autoridade policial de fazer comunicação ao adolescente e seus pais</t>
        </is>
      </c>
      <c r="M284" s="7" t="inlineStr">
        <is>
          <t>Sim</t>
        </is>
      </c>
      <c r="N284" s="7" t="inlineStr">
        <is>
          <t>Sim</t>
        </is>
      </c>
    </row>
    <row r="285">
      <c r="A285" s="7" t="inlineStr">
        <is>
          <t>ECA (8.069/90)</t>
        </is>
      </c>
      <c r="B285" s="7" t="inlineStr">
        <is>
          <t>Art. 230</t>
        </is>
      </c>
      <c r="C285" s="16" t="inlineStr">
        <is>
          <t>Privar criança/adolescente de liberdade sem flagrante ou ordem judicial</t>
        </is>
      </c>
      <c r="D285" s="7" t="n">
        <v>6</v>
      </c>
      <c r="E285" s="7" t="n">
        <v>24</v>
      </c>
      <c r="F285" s="7" t="inlineStr">
        <is>
          <t>Detenção</t>
        </is>
      </c>
      <c r="G285" s="7" t="inlineStr">
        <is>
          <t>Pública Incondicionada</t>
        </is>
      </c>
      <c r="H285" s="7" t="inlineStr">
        <is>
          <t>Não</t>
        </is>
      </c>
      <c r="I285" s="7" t="inlineStr">
        <is>
          <t>Doloso</t>
        </is>
      </c>
      <c r="J285" s="7" t="inlineStr">
        <is>
          <t>Sim</t>
        </is>
      </c>
      <c r="K285" s="16" t="inlineStr">
        <is>
          <t>—</t>
        </is>
      </c>
      <c r="L285" s="16" t="inlineStr">
        <is>
          <t>6 meses a 2 anos</t>
        </is>
      </c>
      <c r="M285" s="7" t="inlineStr">
        <is>
          <t>Sim</t>
        </is>
      </c>
      <c r="N285" s="7" t="inlineStr">
        <is>
          <t>Sim</t>
        </is>
      </c>
    </row>
    <row r="286">
      <c r="A286" s="7" t="inlineStr">
        <is>
          <t>ECA (8.069/90)</t>
        </is>
      </c>
      <c r="B286" s="7" t="inlineStr">
        <is>
          <t>Art. 232</t>
        </is>
      </c>
      <c r="C286" s="16" t="inlineStr">
        <is>
          <t>Submeter criança/adolescente a vexame ou constrangimento</t>
        </is>
      </c>
      <c r="D286" s="7" t="n">
        <v>6</v>
      </c>
      <c r="E286" s="7" t="n">
        <v>24</v>
      </c>
      <c r="F286" s="7" t="inlineStr">
        <is>
          <t>Detenção</t>
        </is>
      </c>
      <c r="G286" s="7" t="inlineStr">
        <is>
          <t>Pública Incondicionada</t>
        </is>
      </c>
      <c r="H286" s="7" t="inlineStr">
        <is>
          <t>Não</t>
        </is>
      </c>
      <c r="I286" s="7" t="inlineStr">
        <is>
          <t>Doloso</t>
        </is>
      </c>
      <c r="J286" s="7" t="inlineStr">
        <is>
          <t>Sim</t>
        </is>
      </c>
      <c r="K286" s="16" t="inlineStr">
        <is>
          <t>—</t>
        </is>
      </c>
      <c r="L286" s="16" t="inlineStr"/>
      <c r="M286" s="7" t="inlineStr">
        <is>
          <t>Sim</t>
        </is>
      </c>
      <c r="N286" s="7" t="inlineStr">
        <is>
          <t>Sim</t>
        </is>
      </c>
    </row>
    <row r="287">
      <c r="A287" s="7" t="inlineStr">
        <is>
          <t>ECA (8.069/90)</t>
        </is>
      </c>
      <c r="B287" s="7" t="inlineStr">
        <is>
          <t>Art. 234</t>
        </is>
      </c>
      <c r="C287" s="16" t="inlineStr">
        <is>
          <t>Manter criança/adolescente em cárcere ou cela com adultos</t>
        </is>
      </c>
      <c r="D287" s="7" t="n">
        <v>6</v>
      </c>
      <c r="E287" s="7" t="n">
        <v>24</v>
      </c>
      <c r="F287" s="7" t="inlineStr">
        <is>
          <t>Detenção</t>
        </is>
      </c>
      <c r="G287" s="7" t="inlineStr">
        <is>
          <t>Pública Incondicionada</t>
        </is>
      </c>
      <c r="H287" s="7" t="inlineStr">
        <is>
          <t>Não</t>
        </is>
      </c>
      <c r="I287" s="7" t="inlineStr">
        <is>
          <t>Doloso</t>
        </is>
      </c>
      <c r="J287" s="7" t="inlineStr">
        <is>
          <t>Sim</t>
        </is>
      </c>
      <c r="K287" s="16" t="inlineStr">
        <is>
          <t>—</t>
        </is>
      </c>
      <c r="L287" s="16" t="inlineStr"/>
      <c r="M287" s="7" t="inlineStr">
        <is>
          <t>Sim</t>
        </is>
      </c>
      <c r="N287" s="7" t="inlineStr">
        <is>
          <t>Sim</t>
        </is>
      </c>
    </row>
    <row r="288">
      <c r="A288" s="7" t="inlineStr">
        <is>
          <t>ECA (8.069/90)</t>
        </is>
      </c>
      <c r="B288" s="7" t="inlineStr">
        <is>
          <t>Art. 238</t>
        </is>
      </c>
      <c r="C288" s="16" t="inlineStr">
        <is>
          <t>Promessa ou entrega de filho/pupilo mediante paga</t>
        </is>
      </c>
      <c r="D288" s="7" t="n">
        <v>12</v>
      </c>
      <c r="E288" s="7" t="n">
        <v>48</v>
      </c>
      <c r="F288" s="7" t="inlineStr">
        <is>
          <t>Reclusão</t>
        </is>
      </c>
      <c r="G288" s="7" t="inlineStr">
        <is>
          <t>Pública Incondicionada</t>
        </is>
      </c>
      <c r="H288" s="7" t="inlineStr">
        <is>
          <t>Não</t>
        </is>
      </c>
      <c r="I288" s="7" t="inlineStr">
        <is>
          <t>Doloso</t>
        </is>
      </c>
      <c r="J288" s="7" t="inlineStr">
        <is>
          <t>Sim</t>
        </is>
      </c>
      <c r="K288" s="16" t="inlineStr">
        <is>
          <t>—</t>
        </is>
      </c>
      <c r="L288" s="16" t="inlineStr">
        <is>
          <t>Venda de criança</t>
        </is>
      </c>
      <c r="M288" s="7" t="inlineStr">
        <is>
          <t>Sim</t>
        </is>
      </c>
      <c r="N288" s="7" t="inlineStr">
        <is>
          <t>Sim</t>
        </is>
      </c>
    </row>
    <row r="289">
      <c r="A289" s="7" t="inlineStr">
        <is>
          <t>ECA (8.069/90)</t>
        </is>
      </c>
      <c r="B289" s="7" t="inlineStr">
        <is>
          <t>Art. 239</t>
        </is>
      </c>
      <c r="C289" s="16" t="inlineStr">
        <is>
          <t>Envio de criança/adolescente ao exterior sem formalidades legais</t>
        </is>
      </c>
      <c r="D289" s="7" t="n">
        <v>48</v>
      </c>
      <c r="E289" s="7" t="n">
        <v>72</v>
      </c>
      <c r="F289" s="7" t="inlineStr">
        <is>
          <t>Reclusão</t>
        </is>
      </c>
      <c r="G289" s="7" t="inlineStr">
        <is>
          <t>Pública Incondicionada</t>
        </is>
      </c>
      <c r="H289" s="7" t="inlineStr">
        <is>
          <t>Não</t>
        </is>
      </c>
      <c r="I289" s="7" t="inlineStr">
        <is>
          <t>Doloso</t>
        </is>
      </c>
      <c r="J289" s="7" t="inlineStr">
        <is>
          <t>Sim</t>
        </is>
      </c>
      <c r="K289" s="16" t="inlineStr">
        <is>
          <t>+1/3 se habitual</t>
        </is>
      </c>
      <c r="L289" s="16" t="inlineStr"/>
      <c r="M289" s="7" t="inlineStr">
        <is>
          <t>Verificar</t>
        </is>
      </c>
      <c r="N289" s="7" t="inlineStr">
        <is>
          <t>Não</t>
        </is>
      </c>
    </row>
    <row r="290">
      <c r="A290" s="7" t="inlineStr">
        <is>
          <t>ECA (8.069/90)</t>
        </is>
      </c>
      <c r="B290" s="7" t="inlineStr">
        <is>
          <t>Art. 240</t>
        </is>
      </c>
      <c r="C290" s="16" t="inlineStr">
        <is>
          <t>Produzir/reproduzir/dirigir pornografia com criança/adolescente</t>
        </is>
      </c>
      <c r="D290" s="7" t="n">
        <v>48</v>
      </c>
      <c r="E290" s="7" t="n">
        <v>96</v>
      </c>
      <c r="F290" s="7" t="inlineStr">
        <is>
          <t>Reclusão</t>
        </is>
      </c>
      <c r="G290" s="7" t="inlineStr">
        <is>
          <t>Pública Incondicionada</t>
        </is>
      </c>
      <c r="H290" s="7" t="inlineStr">
        <is>
          <t>Não</t>
        </is>
      </c>
      <c r="I290" s="7" t="inlineStr">
        <is>
          <t>Doloso</t>
        </is>
      </c>
      <c r="J290" s="7" t="inlineStr">
        <is>
          <t>Sim</t>
        </is>
      </c>
      <c r="K290" s="16" t="inlineStr">
        <is>
          <t>§1º: mesma pena para agenciar/facilitar/recrutar/coagir. §2º: +1/3 se agente é ascendente/padrasto/tutor/curador/empregador/responsável</t>
        </is>
      </c>
      <c r="L290" s="16" t="inlineStr"/>
      <c r="M290" s="7" t="inlineStr">
        <is>
          <t>Verificar</t>
        </is>
      </c>
      <c r="N290" s="7" t="inlineStr">
        <is>
          <t>Não</t>
        </is>
      </c>
    </row>
    <row r="291">
      <c r="A291" s="7" t="inlineStr">
        <is>
          <t>ECA (8.069/90)</t>
        </is>
      </c>
      <c r="B291" s="7" t="inlineStr">
        <is>
          <t>Art. 241</t>
        </is>
      </c>
      <c r="C291" s="16" t="inlineStr">
        <is>
          <t>Vender/expor à venda fotografia/vídeo de pornografia infantil</t>
        </is>
      </c>
      <c r="D291" s="7" t="n">
        <v>48</v>
      </c>
      <c r="E291" s="7" t="n">
        <v>96</v>
      </c>
      <c r="F291" s="7" t="inlineStr">
        <is>
          <t>Reclusão</t>
        </is>
      </c>
      <c r="G291" s="7" t="inlineStr">
        <is>
          <t>Pública Incondicionada</t>
        </is>
      </c>
      <c r="H291" s="7" t="inlineStr">
        <is>
          <t>Não</t>
        </is>
      </c>
      <c r="I291" s="7" t="inlineStr">
        <is>
          <t>Doloso</t>
        </is>
      </c>
      <c r="J291" s="7" t="inlineStr">
        <is>
          <t>Sim</t>
        </is>
      </c>
      <c r="K291" s="16" t="inlineStr">
        <is>
          <t>—</t>
        </is>
      </c>
      <c r="L291" s="16" t="inlineStr"/>
      <c r="M291" s="7" t="inlineStr">
        <is>
          <t>Verificar</t>
        </is>
      </c>
      <c r="N291" s="7" t="inlineStr">
        <is>
          <t>Não</t>
        </is>
      </c>
    </row>
    <row r="292">
      <c r="A292" s="7" t="inlineStr">
        <is>
          <t>ECA (8.069/90)</t>
        </is>
      </c>
      <c r="B292" s="7" t="inlineStr">
        <is>
          <t>Art. 241-A</t>
        </is>
      </c>
      <c r="C292" s="16" t="inlineStr">
        <is>
          <t>Oferecer/trocar/disponibilizar/transmitir/publicar pornografia infantil pela internet</t>
        </is>
      </c>
      <c r="D292" s="7" t="n">
        <v>36</v>
      </c>
      <c r="E292" s="7" t="n">
        <v>72</v>
      </c>
      <c r="F292" s="7" t="inlineStr">
        <is>
          <t>Reclusão</t>
        </is>
      </c>
      <c r="G292" s="7" t="inlineStr">
        <is>
          <t>Pública Incondicionada</t>
        </is>
      </c>
      <c r="H292" s="7" t="inlineStr">
        <is>
          <t>Não</t>
        </is>
      </c>
      <c r="I292" s="7" t="inlineStr">
        <is>
          <t>Doloso</t>
        </is>
      </c>
      <c r="J292" s="7" t="inlineStr">
        <is>
          <t>Sim</t>
        </is>
      </c>
      <c r="K292" s="16" t="inlineStr">
        <is>
          <t>§1º: mesma pena para quem assegura meios de armazenamento. §2º: não responde quem comunica às autoridades</t>
        </is>
      </c>
      <c r="L292" s="16" t="inlineStr"/>
      <c r="M292" s="7" t="inlineStr">
        <is>
          <t>Sim</t>
        </is>
      </c>
      <c r="N292" s="7" t="inlineStr">
        <is>
          <t>Não</t>
        </is>
      </c>
    </row>
    <row r="293">
      <c r="A293" s="7" t="inlineStr">
        <is>
          <t>ECA (8.069/90)</t>
        </is>
      </c>
      <c r="B293" s="7" t="inlineStr">
        <is>
          <t>Art. 241-B</t>
        </is>
      </c>
      <c r="C293" s="16" t="inlineStr">
        <is>
          <t>Adquirir/possuir/armazenar pornografia infantil</t>
        </is>
      </c>
      <c r="D293" s="7" t="n">
        <v>12</v>
      </c>
      <c r="E293" s="7" t="n">
        <v>48</v>
      </c>
      <c r="F293" s="7" t="inlineStr">
        <is>
          <t>Reclusão</t>
        </is>
      </c>
      <c r="G293" s="7" t="inlineStr">
        <is>
          <t>Pública Incondicionada</t>
        </is>
      </c>
      <c r="H293" s="7" t="inlineStr">
        <is>
          <t>Não</t>
        </is>
      </c>
      <c r="I293" s="7" t="inlineStr">
        <is>
          <t>Doloso</t>
        </is>
      </c>
      <c r="J293" s="7" t="inlineStr">
        <is>
          <t>Sim</t>
        </is>
      </c>
      <c r="K293" s="16" t="inlineStr">
        <is>
          <t>—</t>
        </is>
      </c>
      <c r="L293" s="16" t="inlineStr"/>
      <c r="M293" s="7" t="inlineStr">
        <is>
          <t>Sim</t>
        </is>
      </c>
      <c r="N293" s="7" t="inlineStr">
        <is>
          <t>Sim</t>
        </is>
      </c>
    </row>
    <row r="294">
      <c r="A294" s="7" t="inlineStr">
        <is>
          <t>ECA (8.069/90)</t>
        </is>
      </c>
      <c r="B294" s="7" t="inlineStr">
        <is>
          <t>Art. 241-C</t>
        </is>
      </c>
      <c r="C294" s="16" t="inlineStr">
        <is>
          <t>Simular participação de criança/adolescente em cena de sexo por montagem/adulteração</t>
        </is>
      </c>
      <c r="D294" s="7" t="n">
        <v>12</v>
      </c>
      <c r="E294" s="7" t="n">
        <v>36</v>
      </c>
      <c r="F294" s="7" t="inlineStr">
        <is>
          <t>Reclusão</t>
        </is>
      </c>
      <c r="G294" s="7" t="inlineStr">
        <is>
          <t>Pública Incondicionada</t>
        </is>
      </c>
      <c r="H294" s="7" t="inlineStr">
        <is>
          <t>Não</t>
        </is>
      </c>
      <c r="I294" s="7" t="inlineStr">
        <is>
          <t>Doloso</t>
        </is>
      </c>
      <c r="J294" s="7" t="inlineStr">
        <is>
          <t>Sim</t>
        </is>
      </c>
      <c r="K294" s="16" t="inlineStr">
        <is>
          <t>—</t>
        </is>
      </c>
      <c r="L294" s="16" t="inlineStr"/>
      <c r="M294" s="7" t="inlineStr">
        <is>
          <t>Sim</t>
        </is>
      </c>
      <c r="N294" s="7" t="inlineStr">
        <is>
          <t>Sim</t>
        </is>
      </c>
    </row>
    <row r="295">
      <c r="A295" s="7" t="inlineStr">
        <is>
          <t>ECA (8.069/90)</t>
        </is>
      </c>
      <c r="B295" s="7" t="inlineStr">
        <is>
          <t>Art. 241-D</t>
        </is>
      </c>
      <c r="C295" s="16" t="inlineStr">
        <is>
          <t>Aliciar/assediar/instigar criança por meio de comunicação para prática de ato libidinoso</t>
        </is>
      </c>
      <c r="D295" s="7" t="n">
        <v>12</v>
      </c>
      <c r="E295" s="7" t="n">
        <v>36</v>
      </c>
      <c r="F295" s="7" t="inlineStr">
        <is>
          <t>Reclusão</t>
        </is>
      </c>
      <c r="G295" s="7" t="inlineStr">
        <is>
          <t>Pública Incondicionada</t>
        </is>
      </c>
      <c r="H295" s="7" t="inlineStr">
        <is>
          <t>Não</t>
        </is>
      </c>
      <c r="I295" s="7" t="inlineStr">
        <is>
          <t>Doloso</t>
        </is>
      </c>
      <c r="J295" s="7" t="inlineStr">
        <is>
          <t>Sim</t>
        </is>
      </c>
      <c r="K295" s="16" t="inlineStr">
        <is>
          <t>—</t>
        </is>
      </c>
      <c r="L295" s="16" t="inlineStr">
        <is>
          <t>Grooming</t>
        </is>
      </c>
      <c r="M295" s="7" t="inlineStr">
        <is>
          <t>Sim</t>
        </is>
      </c>
      <c r="N295" s="7" t="inlineStr">
        <is>
          <t>Sim</t>
        </is>
      </c>
    </row>
    <row r="296">
      <c r="A296" s="17" t="inlineStr">
        <is>
          <t>ECA (8.069/90)</t>
        </is>
      </c>
      <c r="B296" s="17" t="inlineStr">
        <is>
          <t>Art. 244-A</t>
        </is>
      </c>
      <c r="C296" s="18" t="inlineStr">
        <is>
          <t>Exploração sexual de criança/adolescente (submeter a prostituição)</t>
        </is>
      </c>
      <c r="D296" s="17" t="n">
        <v>48</v>
      </c>
      <c r="E296" s="17" t="n">
        <v>120</v>
      </c>
      <c r="F296" s="17" t="inlineStr">
        <is>
          <t>Reclusão</t>
        </is>
      </c>
      <c r="G296" s="17" t="inlineStr">
        <is>
          <t>Pública Incondicionada</t>
        </is>
      </c>
      <c r="H296" s="17" t="inlineStr">
        <is>
          <t>Sim</t>
        </is>
      </c>
      <c r="I296" s="17" t="inlineStr">
        <is>
          <t>Doloso</t>
        </is>
      </c>
      <c r="J296" s="17" t="inlineStr">
        <is>
          <t>Sim</t>
        </is>
      </c>
      <c r="K296" s="18" t="inlineStr">
        <is>
          <t>—</t>
        </is>
      </c>
      <c r="L296" s="18" t="inlineStr">
        <is>
          <t>Hediondo (se vítima &lt; 14 anos, pela previsão do Art. 218-B, §2º, CP c/c Lei 8.072)</t>
        </is>
      </c>
      <c r="M296" s="17" t="inlineStr">
        <is>
          <t>Verificar</t>
        </is>
      </c>
      <c r="N296" s="17" t="inlineStr">
        <is>
          <t>Não</t>
        </is>
      </c>
    </row>
    <row r="297">
      <c r="A297" s="7" t="inlineStr">
        <is>
          <t>ECA (8.069/90)</t>
        </is>
      </c>
      <c r="B297" s="7" t="inlineStr">
        <is>
          <t>Art. 244-B</t>
        </is>
      </c>
      <c r="C297" s="16" t="inlineStr">
        <is>
          <t>Corrupção de menores (induzir ou facilitar prática de infração penal)</t>
        </is>
      </c>
      <c r="D297" s="7" t="n">
        <v>12</v>
      </c>
      <c r="E297" s="7" t="n">
        <v>48</v>
      </c>
      <c r="F297" s="7" t="inlineStr">
        <is>
          <t>Reclusão</t>
        </is>
      </c>
      <c r="G297" s="7" t="inlineStr">
        <is>
          <t>Pública Incondicionada</t>
        </is>
      </c>
      <c r="H297" s="7" t="inlineStr">
        <is>
          <t>Não</t>
        </is>
      </c>
      <c r="I297" s="7" t="inlineStr">
        <is>
          <t>Doloso</t>
        </is>
      </c>
      <c r="J297" s="7" t="inlineStr">
        <is>
          <t>Sim</t>
        </is>
      </c>
      <c r="K297" s="16" t="inlineStr">
        <is>
          <t>§1º: +1/3 se utilização de violência/grave ameaça. §2º: +2/3 se via internet</t>
        </is>
      </c>
      <c r="L297" s="16" t="inlineStr">
        <is>
          <t>Crime formal: Súmula 500 STJ — independe da prova de efetiva corrupção</t>
        </is>
      </c>
      <c r="M297" s="7" t="inlineStr">
        <is>
          <t>Sim</t>
        </is>
      </c>
      <c r="N297" s="7" t="inlineStr">
        <is>
          <t>Sim</t>
        </is>
      </c>
    </row>
    <row r="298">
      <c r="A298" s="17" t="inlineStr">
        <is>
          <t>Lei 13.260/16</t>
        </is>
      </c>
      <c r="B298" s="17" t="inlineStr">
        <is>
          <t>Art. 2º</t>
        </is>
      </c>
      <c r="C298" s="18" t="inlineStr">
        <is>
          <t>Terrorismo</t>
        </is>
      </c>
      <c r="D298" s="17" t="n">
        <v>144</v>
      </c>
      <c r="E298" s="17" t="n">
        <v>360</v>
      </c>
      <c r="F298" s="17" t="inlineStr">
        <is>
          <t>Reclusão</t>
        </is>
      </c>
      <c r="G298" s="17" t="inlineStr">
        <is>
          <t>Pública Incondicionada</t>
        </is>
      </c>
      <c r="H298" s="17" t="inlineStr">
        <is>
          <t>Sim</t>
        </is>
      </c>
      <c r="I298" s="17" t="inlineStr">
        <is>
          <t>Doloso</t>
        </is>
      </c>
      <c r="J298" s="17" t="inlineStr">
        <is>
          <t>Sim</t>
        </is>
      </c>
      <c r="K298" s="18" t="inlineStr">
        <is>
          <t>Art. 5º: +1/3 se funcionário público. Art. 7º: +até 1/2 se resultado morte</t>
        </is>
      </c>
      <c r="L298" s="18" t="inlineStr">
        <is>
          <t>Hediondo equiparado (Art. 5º, XLIII CF). Inafiançável. 12-30 anos</t>
        </is>
      </c>
      <c r="M298" s="17" t="inlineStr">
        <is>
          <t>Verificar</t>
        </is>
      </c>
      <c r="N298" s="17" t="inlineStr">
        <is>
          <t>Não</t>
        </is>
      </c>
    </row>
    <row r="299">
      <c r="A299" s="17" t="inlineStr">
        <is>
          <t>Lei 13.260/16</t>
        </is>
      </c>
      <c r="B299" s="17" t="inlineStr">
        <is>
          <t>Art. 3º</t>
        </is>
      </c>
      <c r="C299" s="18" t="inlineStr">
        <is>
          <t>Atos preparatórios de terrorismo</t>
        </is>
      </c>
      <c r="D299" s="17" t="n">
        <v>60</v>
      </c>
      <c r="E299" s="17" t="n">
        <v>180</v>
      </c>
      <c r="F299" s="17" t="inlineStr">
        <is>
          <t>Reclusão</t>
        </is>
      </c>
      <c r="G299" s="17" t="inlineStr">
        <is>
          <t>Pública Incondicionada</t>
        </is>
      </c>
      <c r="H299" s="17" t="inlineStr">
        <is>
          <t>Sim</t>
        </is>
      </c>
      <c r="I299" s="17" t="inlineStr">
        <is>
          <t>Doloso</t>
        </is>
      </c>
      <c r="J299" s="17" t="inlineStr">
        <is>
          <t>Sim</t>
        </is>
      </c>
      <c r="K299" s="18" t="inlineStr">
        <is>
          <t>—</t>
        </is>
      </c>
      <c r="L299" s="18" t="inlineStr">
        <is>
          <t>Punição excepcional de atos preparatórios</t>
        </is>
      </c>
      <c r="M299" s="17" t="inlineStr">
        <is>
          <t>Verificar</t>
        </is>
      </c>
      <c r="N299" s="17" t="inlineStr">
        <is>
          <t>Não</t>
        </is>
      </c>
    </row>
    <row r="300">
      <c r="A300" s="17" t="inlineStr">
        <is>
          <t>Lei 13.260/16</t>
        </is>
      </c>
      <c r="B300" s="17" t="inlineStr">
        <is>
          <t>Art. 6º</t>
        </is>
      </c>
      <c r="C300" s="18" t="inlineStr">
        <is>
          <t>Financiamento do terrorismo</t>
        </is>
      </c>
      <c r="D300" s="17" t="n">
        <v>180</v>
      </c>
      <c r="E300" s="17" t="n">
        <v>360</v>
      </c>
      <c r="F300" s="17" t="inlineStr">
        <is>
          <t>Reclusão</t>
        </is>
      </c>
      <c r="G300" s="17" t="inlineStr">
        <is>
          <t>Pública Incondicionada</t>
        </is>
      </c>
      <c r="H300" s="17" t="inlineStr">
        <is>
          <t>Sim</t>
        </is>
      </c>
      <c r="I300" s="17" t="inlineStr">
        <is>
          <t>Doloso</t>
        </is>
      </c>
      <c r="J300" s="17" t="inlineStr">
        <is>
          <t>Sim</t>
        </is>
      </c>
      <c r="K300" s="18" t="inlineStr">
        <is>
          <t>—</t>
        </is>
      </c>
      <c r="L300" s="18" t="inlineStr">
        <is>
          <t>15-30 anos</t>
        </is>
      </c>
      <c r="M300" s="17" t="inlineStr">
        <is>
          <t>Verificar</t>
        </is>
      </c>
      <c r="N300" s="17" t="inlineStr">
        <is>
          <t>Não</t>
        </is>
      </c>
    </row>
    <row r="301">
      <c r="A301" s="17" t="inlineStr">
        <is>
          <t>Lei 2.889/56</t>
        </is>
      </c>
      <c r="B301" s="17" t="inlineStr">
        <is>
          <t>Art. 1º</t>
        </is>
      </c>
      <c r="C301" s="18" t="inlineStr">
        <is>
          <t>Genocídio</t>
        </is>
      </c>
      <c r="D301" s="17" t="n">
        <v>144</v>
      </c>
      <c r="E301" s="17" t="n">
        <v>360</v>
      </c>
      <c r="F301" s="17" t="inlineStr">
        <is>
          <t>Reclusão</t>
        </is>
      </c>
      <c r="G301" s="17" t="inlineStr">
        <is>
          <t>Pública Incondicionada</t>
        </is>
      </c>
      <c r="H301" s="17" t="inlineStr">
        <is>
          <t>Sim</t>
        </is>
      </c>
      <c r="I301" s="17" t="inlineStr">
        <is>
          <t>Doloso</t>
        </is>
      </c>
      <c r="J301" s="17" t="inlineStr">
        <is>
          <t>Sim</t>
        </is>
      </c>
      <c r="K301" s="18" t="inlineStr">
        <is>
          <t>—</t>
        </is>
      </c>
      <c r="L301" s="18" t="inlineStr">
        <is>
          <t>Hediondo (Art. 1º, parágrafo único, Lei 8.072). Competência: Justiça Federal se houver tratado internacional. Punido com as penas do Art. 121 §2º (12-30a) se matar; Art. 129 §2º se lesar; etc.</t>
        </is>
      </c>
      <c r="M301" s="17" t="inlineStr">
        <is>
          <t>Verificar</t>
        </is>
      </c>
      <c r="N301" s="17" t="inlineStr">
        <is>
          <t>Não</t>
        </is>
      </c>
    </row>
    <row r="302">
      <c r="A302" s="19" t="inlineStr">
        <is>
          <t>Lei 8.429/92</t>
        </is>
      </c>
      <c r="B302" s="19" t="inlineStr">
        <is>
          <t>Arts. 9º-11</t>
        </is>
      </c>
      <c r="C302" s="20" t="inlineStr">
        <is>
          <t>Improbidade administrativa (referência — não é crime penal)</t>
        </is>
      </c>
      <c r="D302" s="19" t="inlineStr">
        <is>
          <t>—</t>
        </is>
      </c>
      <c r="E302" s="19" t="inlineStr">
        <is>
          <t>—</t>
        </is>
      </c>
      <c r="F302" s="19" t="inlineStr">
        <is>
          <t>—</t>
        </is>
      </c>
      <c r="G302" s="19" t="inlineStr">
        <is>
          <t>Civil (MP ou ente lesado)</t>
        </is>
      </c>
      <c r="H302" s="19" t="inlineStr">
        <is>
          <t>—</t>
        </is>
      </c>
      <c r="I302" s="19" t="inlineStr">
        <is>
          <t>Doloso</t>
        </is>
      </c>
      <c r="J302" s="19" t="inlineStr">
        <is>
          <t>—</t>
        </is>
      </c>
      <c r="K302" s="20" t="inlineStr">
        <is>
          <t>Art. 9º: enriquecimento ilícito — suspensão até 14 anos + perda bens + multa até 3x acréscimo patrimonial. Art. 10: prejuízo ao erário — suspensão até 12 anos + multa até 2x valor dano. Art. 11: violação de princípios — suspensão até 4 anos + multa até 24x remuneração</t>
        </is>
      </c>
      <c r="L302" s="20" t="inlineStr">
        <is>
          <t>NÃO é crime penal (é ação civil). Incluído como referência para criminalistas por conexão com crimes contra a AP. Reforma: Lei 14.230/2021 exige dolo em todas as modalidades</t>
        </is>
      </c>
      <c r="M302" s="19" t="inlineStr">
        <is>
          <t>—</t>
        </is>
      </c>
      <c r="N302" s="19" t="inlineStr">
        <is>
          <t>—</t>
        </is>
      </c>
    </row>
    <row r="303">
      <c r="A303" s="7" t="inlineStr">
        <is>
          <t>CP</t>
        </is>
      </c>
      <c r="B303" s="7" t="inlineStr">
        <is>
          <t>Art. 155, §3º</t>
        </is>
      </c>
      <c r="C303" s="16" t="inlineStr">
        <is>
          <t>Furto de energia (elétrica, água, gás, etc.)</t>
        </is>
      </c>
      <c r="D303" s="7" t="n">
        <v>12</v>
      </c>
      <c r="E303" s="7" t="n">
        <v>48</v>
      </c>
      <c r="F303" s="7" t="inlineStr">
        <is>
          <t>Reclusão</t>
        </is>
      </c>
      <c r="G303" s="7" t="inlineStr">
        <is>
          <t>Pública Incondicionada</t>
        </is>
      </c>
      <c r="H303" s="7" t="inlineStr">
        <is>
          <t>Não</t>
        </is>
      </c>
      <c r="I303" s="7" t="inlineStr">
        <is>
          <t>Doloso</t>
        </is>
      </c>
      <c r="J303" s="7" t="inlineStr">
        <is>
          <t>Sim</t>
        </is>
      </c>
      <c r="K303" s="16" t="inlineStr">
        <is>
          <t>Equipara-se a coisa móvel: energia elétrica, água, gás, etc.</t>
        </is>
      </c>
      <c r="L303" s="16" t="inlineStr">
        <is>
          <t>Súmula 83 STJ</t>
        </is>
      </c>
      <c r="M303" s="7" t="inlineStr">
        <is>
          <t>Sim</t>
        </is>
      </c>
      <c r="N303" s="7" t="inlineStr">
        <is>
          <t>Sim</t>
        </is>
      </c>
    </row>
    <row r="304">
      <c r="A304" s="7" t="inlineStr">
        <is>
          <t>CP</t>
        </is>
      </c>
      <c r="B304" s="7" t="inlineStr">
        <is>
          <t>Art. 157, §2º-A, I</t>
        </is>
      </c>
      <c r="C304" s="16" t="inlineStr">
        <is>
          <t>Roubo majorado — arma de fogo</t>
        </is>
      </c>
      <c r="D304" s="7" t="n">
        <v>48</v>
      </c>
      <c r="E304" s="7" t="n">
        <v>120</v>
      </c>
      <c r="F304" s="7" t="inlineStr">
        <is>
          <t>Reclusão</t>
        </is>
      </c>
      <c r="G304" s="7" t="inlineStr">
        <is>
          <t>Pública Incondicionada</t>
        </is>
      </c>
      <c r="H304" s="7" t="inlineStr">
        <is>
          <t>Não</t>
        </is>
      </c>
      <c r="I304" s="7" t="inlineStr">
        <is>
          <t>Doloso</t>
        </is>
      </c>
      <c r="J304" s="7" t="inlineStr">
        <is>
          <t>Sim</t>
        </is>
      </c>
      <c r="K304" s="16" t="inlineStr">
        <is>
          <t>Aumento de 2/3 se emprego de arma de fogo</t>
        </is>
      </c>
      <c r="L304" s="16" t="inlineStr">
        <is>
          <t>Pacote Anticrime. Se arma de uso restrito/ilegal: aumento de 2/3 ao dobro (§2º-B)</t>
        </is>
      </c>
      <c r="M304" s="7" t="inlineStr">
        <is>
          <t>Verificar</t>
        </is>
      </c>
      <c r="N304" s="7" t="inlineStr">
        <is>
          <t>Não</t>
        </is>
      </c>
    </row>
    <row r="305">
      <c r="A305" s="7" t="inlineStr">
        <is>
          <t>CP</t>
        </is>
      </c>
      <c r="B305" s="7" t="inlineStr">
        <is>
          <t>Art. 158, §3º</t>
        </is>
      </c>
      <c r="C305" s="16" t="inlineStr">
        <is>
          <t>Extorsão — sequestro-relâmpago</t>
        </is>
      </c>
      <c r="D305" s="7" t="n">
        <v>72</v>
      </c>
      <c r="E305" s="7" t="n">
        <v>144</v>
      </c>
      <c r="F305" s="7" t="inlineStr">
        <is>
          <t>Reclusão</t>
        </is>
      </c>
      <c r="G305" s="7" t="inlineStr">
        <is>
          <t>Pública Incondicionada</t>
        </is>
      </c>
      <c r="H305" s="7" t="inlineStr">
        <is>
          <t>Não</t>
        </is>
      </c>
      <c r="I305" s="7" t="inlineStr">
        <is>
          <t>Doloso</t>
        </is>
      </c>
      <c r="J305" s="7" t="inlineStr">
        <is>
          <t>Sim</t>
        </is>
      </c>
      <c r="K305" s="16" t="inlineStr">
        <is>
          <t>+1/3 se lesão grave; dobro se morte</t>
        </is>
      </c>
      <c r="L305" s="16" t="inlineStr">
        <is>
          <t>Restrição de liberdade da vítima como condição necessária para obtenção da vantagem</t>
        </is>
      </c>
      <c r="M305" s="7" t="inlineStr">
        <is>
          <t>Verificar</t>
        </is>
      </c>
      <c r="N305" s="7" t="inlineStr">
        <is>
          <t>Não</t>
        </is>
      </c>
    </row>
    <row r="306">
      <c r="A306" s="7" t="inlineStr">
        <is>
          <t>CP</t>
        </is>
      </c>
      <c r="B306" s="7" t="inlineStr">
        <is>
          <t>Art. 165</t>
        </is>
      </c>
      <c r="C306" s="16" t="inlineStr">
        <is>
          <t>Dano em coisa de valor artístico, arqueológico ou histórico</t>
        </is>
      </c>
      <c r="D306" s="7" t="n">
        <v>6</v>
      </c>
      <c r="E306" s="7" t="n">
        <v>24</v>
      </c>
      <c r="F306" s="7" t="inlineStr">
        <is>
          <t>Detenção</t>
        </is>
      </c>
      <c r="G306" s="7" t="inlineStr">
        <is>
          <t>Pública Incondicionada</t>
        </is>
      </c>
      <c r="H306" s="7" t="inlineStr">
        <is>
          <t>Não</t>
        </is>
      </c>
      <c r="I306" s="7" t="inlineStr">
        <is>
          <t>Doloso</t>
        </is>
      </c>
      <c r="J306" s="7" t="inlineStr">
        <is>
          <t>Sim</t>
        </is>
      </c>
      <c r="K306" s="16" t="inlineStr">
        <is>
          <t>—</t>
        </is>
      </c>
      <c r="L306" s="16" t="inlineStr">
        <is>
          <t>6 meses a 2 anos</t>
        </is>
      </c>
      <c r="M306" s="7" t="inlineStr">
        <is>
          <t>Sim</t>
        </is>
      </c>
      <c r="N306" s="7" t="inlineStr">
        <is>
          <t>Sim</t>
        </is>
      </c>
    </row>
    <row r="307">
      <c r="A307" s="7" t="inlineStr">
        <is>
          <t>CP</t>
        </is>
      </c>
      <c r="B307" s="7" t="inlineStr">
        <is>
          <t>Art. 166</t>
        </is>
      </c>
      <c r="C307" s="16" t="inlineStr">
        <is>
          <t>Alteração de local especialmente protegido</t>
        </is>
      </c>
      <c r="D307" s="7" t="n">
        <v>12</v>
      </c>
      <c r="E307" s="7" t="n">
        <v>36</v>
      </c>
      <c r="F307" s="7" t="inlineStr">
        <is>
          <t>Detenção</t>
        </is>
      </c>
      <c r="G307" s="7" t="inlineStr">
        <is>
          <t>Pública Incondicionada</t>
        </is>
      </c>
      <c r="H307" s="7" t="inlineStr">
        <is>
          <t>Não</t>
        </is>
      </c>
      <c r="I307" s="7" t="inlineStr">
        <is>
          <t>Doloso</t>
        </is>
      </c>
      <c r="J307" s="7" t="inlineStr">
        <is>
          <t>Sim</t>
        </is>
      </c>
      <c r="K307" s="16" t="inlineStr">
        <is>
          <t>—</t>
        </is>
      </c>
      <c r="L307" s="16" t="inlineStr">
        <is>
          <t>Sem licença da autoridade competente</t>
        </is>
      </c>
      <c r="M307" s="7" t="inlineStr">
        <is>
          <t>Sim</t>
        </is>
      </c>
      <c r="N307" s="7" t="inlineStr">
        <is>
          <t>Sim</t>
        </is>
      </c>
    </row>
    <row r="308">
      <c r="A308" s="19" t="inlineStr">
        <is>
          <t>CP</t>
        </is>
      </c>
      <c r="B308" s="19" t="inlineStr">
        <is>
          <t>Art. 167</t>
        </is>
      </c>
      <c r="C308" s="20" t="inlineStr">
        <is>
          <t>Ação penal — dano simples</t>
        </is>
      </c>
      <c r="D308" s="19" t="inlineStr">
        <is>
          <t>—</t>
        </is>
      </c>
      <c r="E308" s="19" t="inlineStr">
        <is>
          <t>—</t>
        </is>
      </c>
      <c r="F308" s="19" t="inlineStr">
        <is>
          <t>—</t>
        </is>
      </c>
      <c r="G308" s="19" t="inlineStr">
        <is>
          <t>—</t>
        </is>
      </c>
      <c r="H308" s="19" t="inlineStr">
        <is>
          <t>—</t>
        </is>
      </c>
      <c r="I308" s="19" t="inlineStr">
        <is>
          <t>—</t>
        </is>
      </c>
      <c r="J308" s="19" t="inlineStr">
        <is>
          <t>—</t>
        </is>
      </c>
      <c r="K308" s="20" t="inlineStr">
        <is>
          <t>—</t>
        </is>
      </c>
      <c r="L308" s="20" t="inlineStr">
        <is>
          <t>Dano simples e introdução de animais: ação privada. Dano qualificado: incondicionada</t>
        </is>
      </c>
      <c r="M308" s="19" t="inlineStr">
        <is>
          <t>—</t>
        </is>
      </c>
      <c r="N308" s="19" t="inlineStr">
        <is>
          <t>—</t>
        </is>
      </c>
    </row>
    <row r="309">
      <c r="A309" s="19" t="inlineStr">
        <is>
          <t>CP</t>
        </is>
      </c>
      <c r="B309" s="19" t="inlineStr">
        <is>
          <t>Art. 170</t>
        </is>
      </c>
      <c r="C309" s="20" t="inlineStr">
        <is>
          <t>Estelionato privilegiado</t>
        </is>
      </c>
      <c r="D309" s="19" t="inlineStr">
        <is>
          <t>—</t>
        </is>
      </c>
      <c r="E309" s="19" t="inlineStr">
        <is>
          <t>—</t>
        </is>
      </c>
      <c r="F309" s="19" t="inlineStr">
        <is>
          <t>—</t>
        </is>
      </c>
      <c r="G309" s="19" t="inlineStr">
        <is>
          <t>—</t>
        </is>
      </c>
      <c r="H309" s="19" t="inlineStr">
        <is>
          <t>—</t>
        </is>
      </c>
      <c r="I309" s="19" t="inlineStr">
        <is>
          <t>—</t>
        </is>
      </c>
      <c r="J309" s="19" t="inlineStr">
        <is>
          <t>—</t>
        </is>
      </c>
      <c r="K309" s="20" t="inlineStr">
        <is>
          <t>Se primário + pequeno valor: juiz pode substituir por multa ou aplicar §2º do Art. 155</t>
        </is>
      </c>
      <c r="L309" s="20" t="inlineStr">
        <is>
          <t>Aplicável a estelionato e receptação</t>
        </is>
      </c>
      <c r="M309" s="19" t="inlineStr">
        <is>
          <t>—</t>
        </is>
      </c>
      <c r="N309" s="19" t="inlineStr">
        <is>
          <t>—</t>
        </is>
      </c>
    </row>
    <row r="310">
      <c r="A310" s="7" t="inlineStr">
        <is>
          <t>CP</t>
        </is>
      </c>
      <c r="B310" s="7" t="inlineStr">
        <is>
          <t>Art. 171, §2º, V</t>
        </is>
      </c>
      <c r="C310" s="16" t="inlineStr">
        <is>
          <t>Estelionato — fraude no seguro</t>
        </is>
      </c>
      <c r="D310" s="7" t="n">
        <v>12</v>
      </c>
      <c r="E310" s="7" t="n">
        <v>60</v>
      </c>
      <c r="F310" s="7" t="inlineStr">
        <is>
          <t>Reclusão</t>
        </is>
      </c>
      <c r="G310" s="7" t="inlineStr">
        <is>
          <t>Pública Condicionada</t>
        </is>
      </c>
      <c r="H310" s="7" t="inlineStr">
        <is>
          <t>Não</t>
        </is>
      </c>
      <c r="I310" s="7" t="inlineStr">
        <is>
          <t>Doloso</t>
        </is>
      </c>
      <c r="J310" s="7" t="inlineStr">
        <is>
          <t>Sim</t>
        </is>
      </c>
      <c r="K310" s="16" t="inlineStr">
        <is>
          <t>Destruir/ocultar/danificar coisa própria ou lesar o próprio corpo para haver indenização</t>
        </is>
      </c>
      <c r="L310" s="16" t="inlineStr"/>
      <c r="M310" s="7" t="inlineStr">
        <is>
          <t>Sim</t>
        </is>
      </c>
      <c r="N310" s="7" t="inlineStr">
        <is>
          <t>Sim</t>
        </is>
      </c>
    </row>
    <row r="311">
      <c r="A311" s="7" t="inlineStr">
        <is>
          <t>CP</t>
        </is>
      </c>
      <c r="B311" s="7" t="inlineStr">
        <is>
          <t>Art. 171, §2º, VI</t>
        </is>
      </c>
      <c r="C311" s="16" t="inlineStr">
        <is>
          <t>Estelionato — fraude na obtenção de despacho de importação/exportação</t>
        </is>
      </c>
      <c r="D311" s="7" t="n">
        <v>12</v>
      </c>
      <c r="E311" s="7" t="n">
        <v>60</v>
      </c>
      <c r="F311" s="7" t="inlineStr">
        <is>
          <t>Reclusão</t>
        </is>
      </c>
      <c r="G311" s="7" t="inlineStr">
        <is>
          <t>Pública Incondicionada</t>
        </is>
      </c>
      <c r="H311" s="7" t="inlineStr">
        <is>
          <t>Não</t>
        </is>
      </c>
      <c r="I311" s="7" t="inlineStr">
        <is>
          <t>Doloso</t>
        </is>
      </c>
      <c r="J311" s="7" t="inlineStr">
        <is>
          <t>Sim</t>
        </is>
      </c>
      <c r="K311" s="16" t="inlineStr">
        <is>
          <t>—</t>
        </is>
      </c>
      <c r="L311" s="16" t="inlineStr"/>
      <c r="M311" s="7" t="inlineStr">
        <is>
          <t>Sim</t>
        </is>
      </c>
      <c r="N311" s="7" t="inlineStr">
        <is>
          <t>Sim</t>
        </is>
      </c>
    </row>
    <row r="312">
      <c r="A312" s="7" t="inlineStr">
        <is>
          <t>CP</t>
        </is>
      </c>
      <c r="B312" s="7" t="inlineStr">
        <is>
          <t>Art. 173</t>
        </is>
      </c>
      <c r="C312" s="16" t="inlineStr">
        <is>
          <t>Abuso de incapazes</t>
        </is>
      </c>
      <c r="D312" s="7" t="n">
        <v>24</v>
      </c>
      <c r="E312" s="7" t="n">
        <v>72</v>
      </c>
      <c r="F312" s="7" t="inlineStr">
        <is>
          <t>Reclusão</t>
        </is>
      </c>
      <c r="G312" s="7" t="inlineStr">
        <is>
          <t>Pública Incondicionada</t>
        </is>
      </c>
      <c r="H312" s="7" t="inlineStr">
        <is>
          <t>Não</t>
        </is>
      </c>
      <c r="I312" s="7" t="inlineStr">
        <is>
          <t>Doloso</t>
        </is>
      </c>
      <c r="J312" s="7" t="inlineStr">
        <is>
          <t>Sim</t>
        </is>
      </c>
      <c r="K312" s="16" t="inlineStr">
        <is>
          <t>—</t>
        </is>
      </c>
      <c r="L312" s="16" t="inlineStr">
        <is>
          <t>Abusar de necessidade, paixão ou inexperiência de menor ou alienado mental</t>
        </is>
      </c>
      <c r="M312" s="7" t="inlineStr">
        <is>
          <t>Sim</t>
        </is>
      </c>
      <c r="N312" s="7" t="inlineStr">
        <is>
          <t>Não</t>
        </is>
      </c>
    </row>
    <row r="313">
      <c r="A313" s="7" t="inlineStr">
        <is>
          <t>CP</t>
        </is>
      </c>
      <c r="B313" s="7" t="inlineStr">
        <is>
          <t>Art. 174</t>
        </is>
      </c>
      <c r="C313" s="16" t="inlineStr">
        <is>
          <t>Induzimento à especulação</t>
        </is>
      </c>
      <c r="D313" s="7" t="n">
        <v>6</v>
      </c>
      <c r="E313" s="7" t="n">
        <v>24</v>
      </c>
      <c r="F313" s="7" t="inlineStr">
        <is>
          <t>Detenção</t>
        </is>
      </c>
      <c r="G313" s="7" t="inlineStr">
        <is>
          <t>Pública Incondicionada</t>
        </is>
      </c>
      <c r="H313" s="7" t="inlineStr">
        <is>
          <t>Não</t>
        </is>
      </c>
      <c r="I313" s="7" t="inlineStr">
        <is>
          <t>Doloso</t>
        </is>
      </c>
      <c r="J313" s="7" t="inlineStr">
        <is>
          <t>Sim</t>
        </is>
      </c>
      <c r="K313" s="16" t="inlineStr">
        <is>
          <t>—</t>
        </is>
      </c>
      <c r="L313" s="16" t="inlineStr">
        <is>
          <t>Abusar de inexperiência/simplicidade para induzi-lo a especulação com prejuízo</t>
        </is>
      </c>
      <c r="M313" s="7" t="inlineStr">
        <is>
          <t>Sim</t>
        </is>
      </c>
      <c r="N313" s="7" t="inlineStr">
        <is>
          <t>Sim</t>
        </is>
      </c>
    </row>
    <row r="314">
      <c r="A314" s="7" t="inlineStr">
        <is>
          <t>CP</t>
        </is>
      </c>
      <c r="B314" s="7" t="inlineStr">
        <is>
          <t>Art. 176</t>
        </is>
      </c>
      <c r="C314" s="16" t="inlineStr">
        <is>
          <t>Outras fraudes — tomar refeição/hospedagem sem pagar</t>
        </is>
      </c>
      <c r="D314" s="7" t="n">
        <v>15</v>
      </c>
      <c r="E314" s="7" t="n">
        <v>2</v>
      </c>
      <c r="F314" s="7" t="inlineStr">
        <is>
          <t>Detenção</t>
        </is>
      </c>
      <c r="G314" s="7" t="inlineStr">
        <is>
          <t>Pública Incondicionada</t>
        </is>
      </c>
      <c r="H314" s="7" t="inlineStr">
        <is>
          <t>Não</t>
        </is>
      </c>
      <c r="I314" s="7" t="inlineStr">
        <is>
          <t>Doloso</t>
        </is>
      </c>
      <c r="J314" s="7" t="inlineStr">
        <is>
          <t>Sim</t>
        </is>
      </c>
      <c r="K314" s="16" t="inlineStr">
        <is>
          <t>—</t>
        </is>
      </c>
      <c r="L314" s="16" t="inlineStr">
        <is>
          <t>15 dias a 2 meses. Tomar refeição, alojar-se em hotel ou utilizar transporte sem pagar e sem dispor de recursos</t>
        </is>
      </c>
      <c r="M314" s="7" t="inlineStr">
        <is>
          <t>Sim</t>
        </is>
      </c>
      <c r="N314" s="7" t="inlineStr">
        <is>
          <t>Não</t>
        </is>
      </c>
    </row>
    <row r="315">
      <c r="A315" s="7" t="inlineStr">
        <is>
          <t>CP</t>
        </is>
      </c>
      <c r="B315" s="7" t="inlineStr">
        <is>
          <t>Art. 179</t>
        </is>
      </c>
      <c r="C315" s="16" t="inlineStr">
        <is>
          <t>Fraude à execução</t>
        </is>
      </c>
      <c r="D315" s="7" t="n">
        <v>6</v>
      </c>
      <c r="E315" s="7" t="n">
        <v>24</v>
      </c>
      <c r="F315" s="7" t="inlineStr">
        <is>
          <t>Detenção</t>
        </is>
      </c>
      <c r="G315" s="7" t="inlineStr">
        <is>
          <t>Privada</t>
        </is>
      </c>
      <c r="H315" s="7" t="inlineStr">
        <is>
          <t>Não</t>
        </is>
      </c>
      <c r="I315" s="7" t="inlineStr">
        <is>
          <t>Doloso</t>
        </is>
      </c>
      <c r="J315" s="7" t="inlineStr">
        <is>
          <t>Sim</t>
        </is>
      </c>
      <c r="K315" s="16" t="inlineStr">
        <is>
          <t>—</t>
        </is>
      </c>
      <c r="L315" s="16" t="inlineStr">
        <is>
          <t>Fraudar execução alienando/desviando/destruindo/danificando bens ou simulando dívidas</t>
        </is>
      </c>
      <c r="M315" s="7" t="inlineStr">
        <is>
          <t>Sim</t>
        </is>
      </c>
      <c r="N315" s="7" t="inlineStr">
        <is>
          <t>Sim</t>
        </is>
      </c>
    </row>
    <row r="316">
      <c r="A316" s="7" t="inlineStr">
        <is>
          <t>CP</t>
        </is>
      </c>
      <c r="B316" s="7" t="inlineStr">
        <is>
          <t>Art. 180, §3º</t>
        </is>
      </c>
      <c r="C316" s="16" t="inlineStr">
        <is>
          <t>Receptação culposa</t>
        </is>
      </c>
      <c r="D316" s="7" t="n">
        <v>1</v>
      </c>
      <c r="E316" s="7" t="n">
        <v>12</v>
      </c>
      <c r="F316" s="7" t="inlineStr">
        <is>
          <t>Detenção</t>
        </is>
      </c>
      <c r="G316" s="7" t="inlineStr">
        <is>
          <t>Pública Incondicionada</t>
        </is>
      </c>
      <c r="H316" s="7" t="inlineStr">
        <is>
          <t>Não</t>
        </is>
      </c>
      <c r="I316" s="7" t="inlineStr">
        <is>
          <t>Culposo</t>
        </is>
      </c>
      <c r="J316" s="7" t="inlineStr">
        <is>
          <t>Não</t>
        </is>
      </c>
      <c r="K316" s="16" t="inlineStr">
        <is>
          <t>—</t>
        </is>
      </c>
      <c r="L316" s="16" t="inlineStr">
        <is>
          <t>1 mês a 1 ano. Adquirir/receber coisa que por natureza/desproporção do preço deve presumir-se obtida por crime</t>
        </is>
      </c>
      <c r="M316" s="7" t="inlineStr">
        <is>
          <t>Sim</t>
        </is>
      </c>
      <c r="N316" s="7" t="inlineStr">
        <is>
          <t>Sim</t>
        </is>
      </c>
    </row>
    <row r="317">
      <c r="A317" s="7" t="inlineStr">
        <is>
          <t>CP</t>
        </is>
      </c>
      <c r="B317" s="7" t="inlineStr">
        <is>
          <t>Art. 185</t>
        </is>
      </c>
      <c r="C317" s="16" t="inlineStr">
        <is>
          <t>Usurpação de nome ou pseudônimo alheio (autoral)</t>
        </is>
      </c>
      <c r="D317" s="7" t="n">
        <v>6</v>
      </c>
      <c r="E317" s="7" t="n">
        <v>24</v>
      </c>
      <c r="F317" s="7" t="inlineStr">
        <is>
          <t>Detenção</t>
        </is>
      </c>
      <c r="G317" s="7" t="inlineStr">
        <is>
          <t>Privada</t>
        </is>
      </c>
      <c r="H317" s="7" t="inlineStr">
        <is>
          <t>Não</t>
        </is>
      </c>
      <c r="I317" s="7" t="inlineStr">
        <is>
          <t>Doloso</t>
        </is>
      </c>
      <c r="J317" s="7" t="inlineStr">
        <is>
          <t>Sim</t>
        </is>
      </c>
      <c r="K317" s="16" t="inlineStr">
        <is>
          <t>—</t>
        </is>
      </c>
      <c r="L317" s="16" t="inlineStr">
        <is>
          <t>Revogado parcialmente pela Lei 10.695/03. Verificar vigência</t>
        </is>
      </c>
      <c r="M317" s="7" t="inlineStr">
        <is>
          <t>Sim</t>
        </is>
      </c>
      <c r="N317" s="7" t="inlineStr">
        <is>
          <t>Sim</t>
        </is>
      </c>
    </row>
    <row r="318">
      <c r="A318" s="7" t="inlineStr">
        <is>
          <t>CP</t>
        </is>
      </c>
      <c r="B318" s="7" t="inlineStr">
        <is>
          <t>Art. 187</t>
        </is>
      </c>
      <c r="C318" s="16" t="inlineStr">
        <is>
          <t>Violação de privilégio de invenção (patente)</t>
        </is>
      </c>
      <c r="D318" s="7" t="n">
        <v>3</v>
      </c>
      <c r="E318" s="7" t="n">
        <v>12</v>
      </c>
      <c r="F318" s="7" t="inlineStr">
        <is>
          <t>Detenção</t>
        </is>
      </c>
      <c r="G318" s="7" t="inlineStr">
        <is>
          <t>Privada</t>
        </is>
      </c>
      <c r="H318" s="7" t="inlineStr">
        <is>
          <t>Não</t>
        </is>
      </c>
      <c r="I318" s="7" t="inlineStr">
        <is>
          <t>Doloso</t>
        </is>
      </c>
      <c r="J318" s="7" t="inlineStr">
        <is>
          <t>Sim</t>
        </is>
      </c>
      <c r="K318" s="16" t="inlineStr">
        <is>
          <t>—</t>
        </is>
      </c>
      <c r="L318" s="16" t="inlineStr">
        <is>
          <t>Norma especial: Lei 9.279/96 (propriedade industrial) prevê tipos próprios</t>
        </is>
      </c>
      <c r="M318" s="7" t="inlineStr">
        <is>
          <t>Sim</t>
        </is>
      </c>
      <c r="N318" s="7" t="inlineStr">
        <is>
          <t>Sim</t>
        </is>
      </c>
    </row>
    <row r="319">
      <c r="A319" s="7" t="inlineStr">
        <is>
          <t>CP</t>
        </is>
      </c>
      <c r="B319" s="7" t="inlineStr">
        <is>
          <t>Art. 191</t>
        </is>
      </c>
      <c r="C319" s="16" t="inlineStr">
        <is>
          <t>Violação de direito de marca</t>
        </is>
      </c>
      <c r="D319" s="7" t="n">
        <v>3</v>
      </c>
      <c r="E319" s="7" t="n">
        <v>12</v>
      </c>
      <c r="F319" s="7" t="inlineStr">
        <is>
          <t>Detenção</t>
        </is>
      </c>
      <c r="G319" s="7" t="inlineStr">
        <is>
          <t>Privada</t>
        </is>
      </c>
      <c r="H319" s="7" t="inlineStr">
        <is>
          <t>Não</t>
        </is>
      </c>
      <c r="I319" s="7" t="inlineStr">
        <is>
          <t>Doloso</t>
        </is>
      </c>
      <c r="J319" s="7" t="inlineStr">
        <is>
          <t>Sim</t>
        </is>
      </c>
      <c r="K319" s="16" t="inlineStr">
        <is>
          <t>—</t>
        </is>
      </c>
      <c r="L319" s="16" t="inlineStr">
        <is>
          <t>Norma especial: Lei 9.279/96</t>
        </is>
      </c>
      <c r="M319" s="7" t="inlineStr">
        <is>
          <t>Sim</t>
        </is>
      </c>
      <c r="N319" s="7" t="inlineStr">
        <is>
          <t>Sim</t>
        </is>
      </c>
    </row>
    <row r="320">
      <c r="A320" s="7" t="inlineStr">
        <is>
          <t>CP</t>
        </is>
      </c>
      <c r="B320" s="7" t="inlineStr">
        <is>
          <t>Art. 195</t>
        </is>
      </c>
      <c r="C320" s="16" t="inlineStr">
        <is>
          <t>Concorrência desleal</t>
        </is>
      </c>
      <c r="D320" s="7" t="n">
        <v>3</v>
      </c>
      <c r="E320" s="7" t="n">
        <v>12</v>
      </c>
      <c r="F320" s="7" t="inlineStr">
        <is>
          <t>Detenção</t>
        </is>
      </c>
      <c r="G320" s="7" t="inlineStr">
        <is>
          <t>Privada</t>
        </is>
      </c>
      <c r="H320" s="7" t="inlineStr">
        <is>
          <t>Não</t>
        </is>
      </c>
      <c r="I320" s="7" t="inlineStr">
        <is>
          <t>Doloso</t>
        </is>
      </c>
      <c r="J320" s="7" t="inlineStr">
        <is>
          <t>Sim</t>
        </is>
      </c>
      <c r="K320" s="16" t="inlineStr">
        <is>
          <t>—</t>
        </is>
      </c>
      <c r="L320" s="16" t="inlineStr">
        <is>
          <t>Norma especial: Lei 9.279/96, Art. 195</t>
        </is>
      </c>
      <c r="M320" s="7" t="inlineStr">
        <is>
          <t>Sim</t>
        </is>
      </c>
      <c r="N320" s="7" t="inlineStr">
        <is>
          <t>Sim</t>
        </is>
      </c>
    </row>
    <row r="321">
      <c r="A321" s="7" t="inlineStr">
        <is>
          <t>CP</t>
        </is>
      </c>
      <c r="B321" s="7" t="inlineStr">
        <is>
          <t>Art. 201</t>
        </is>
      </c>
      <c r="C321" s="16" t="inlineStr">
        <is>
          <t>Paralisação de trabalho de interesse coletivo</t>
        </is>
      </c>
      <c r="D321" s="7" t="n">
        <v>6</v>
      </c>
      <c r="E321" s="7" t="n">
        <v>24</v>
      </c>
      <c r="F321" s="7" t="inlineStr">
        <is>
          <t>Detenção</t>
        </is>
      </c>
      <c r="G321" s="7" t="inlineStr">
        <is>
          <t>Pública Incondicionada</t>
        </is>
      </c>
      <c r="H321" s="7" t="inlineStr">
        <is>
          <t>Não</t>
        </is>
      </c>
      <c r="I321" s="7" t="inlineStr">
        <is>
          <t>Doloso</t>
        </is>
      </c>
      <c r="J321" s="7" t="inlineStr">
        <is>
          <t>Sim</t>
        </is>
      </c>
      <c r="K321" s="16" t="inlineStr">
        <is>
          <t>—</t>
        </is>
      </c>
      <c r="L321" s="16" t="inlineStr">
        <is>
          <t>Participar de suspensão ou abandono coletivo de trabalho provocando interrupção de obra/serviço de interesse coletivo</t>
        </is>
      </c>
      <c r="M321" s="7" t="inlineStr">
        <is>
          <t>Sim</t>
        </is>
      </c>
      <c r="N321" s="7" t="inlineStr">
        <is>
          <t>Sim</t>
        </is>
      </c>
    </row>
    <row r="322">
      <c r="A322" s="7" t="inlineStr">
        <is>
          <t>CP</t>
        </is>
      </c>
      <c r="B322" s="7" t="inlineStr">
        <is>
          <t>Art. 202</t>
        </is>
      </c>
      <c r="C322" s="16" t="inlineStr">
        <is>
          <t>Invasão de estabelecimento industrial, comercial ou agrícola. Sabotagem</t>
        </is>
      </c>
      <c r="D322" s="7" t="n">
        <v>1</v>
      </c>
      <c r="E322" s="7" t="n">
        <v>6</v>
      </c>
      <c r="F322" s="7" t="inlineStr">
        <is>
          <t>Detenção</t>
        </is>
      </c>
      <c r="G322" s="7" t="inlineStr">
        <is>
          <t>Pública Incondicionada</t>
        </is>
      </c>
      <c r="H322" s="7" t="inlineStr">
        <is>
          <t>Não</t>
        </is>
      </c>
      <c r="I322" s="7" t="inlineStr">
        <is>
          <t>Doloso</t>
        </is>
      </c>
      <c r="J322" s="7" t="inlineStr">
        <is>
          <t>Sim</t>
        </is>
      </c>
      <c r="K322" s="16" t="inlineStr">
        <is>
          <t>—</t>
        </is>
      </c>
      <c r="L322" s="16" t="inlineStr">
        <is>
          <t>1-6 meses. Invadir/ocupar estabelecimento ou sabotar</t>
        </is>
      </c>
      <c r="M322" s="7" t="inlineStr">
        <is>
          <t>Sim</t>
        </is>
      </c>
      <c r="N322" s="7" t="inlineStr">
        <is>
          <t>Sim</t>
        </is>
      </c>
    </row>
    <row r="323">
      <c r="A323" s="7" t="inlineStr">
        <is>
          <t>CP</t>
        </is>
      </c>
      <c r="B323" s="7" t="inlineStr">
        <is>
          <t>Art. 204</t>
        </is>
      </c>
      <c r="C323" s="16" t="inlineStr">
        <is>
          <t>Frustração de lei sobre a nacionalização do trabalho</t>
        </is>
      </c>
      <c r="D323" s="7" t="n">
        <v>1</v>
      </c>
      <c r="E323" s="7" t="n">
        <v>12</v>
      </c>
      <c r="F323" s="7" t="inlineStr">
        <is>
          <t>Detenção</t>
        </is>
      </c>
      <c r="G323" s="7" t="inlineStr">
        <is>
          <t>Pública Incondicionada</t>
        </is>
      </c>
      <c r="H323" s="7" t="inlineStr">
        <is>
          <t>Não</t>
        </is>
      </c>
      <c r="I323" s="7" t="inlineStr">
        <is>
          <t>Doloso</t>
        </is>
      </c>
      <c r="J323" s="7" t="inlineStr">
        <is>
          <t>Sim</t>
        </is>
      </c>
      <c r="K323" s="16" t="inlineStr">
        <is>
          <t>—</t>
        </is>
      </c>
      <c r="L323" s="16" t="inlineStr">
        <is>
          <t>1 mês a 1 ano. Fraudar lei de proporcionalidade de brasileiros no trabalho</t>
        </is>
      </c>
      <c r="M323" s="7" t="inlineStr">
        <is>
          <t>Sim</t>
        </is>
      </c>
      <c r="N323" s="7" t="inlineStr">
        <is>
          <t>Sim</t>
        </is>
      </c>
    </row>
    <row r="324">
      <c r="A324" s="7" t="inlineStr">
        <is>
          <t>CP</t>
        </is>
      </c>
      <c r="B324" s="7" t="inlineStr">
        <is>
          <t>Art. 205</t>
        </is>
      </c>
      <c r="C324" s="16" t="inlineStr">
        <is>
          <t>Exercício de atividade com infração de decisão administrativa</t>
        </is>
      </c>
      <c r="D324" s="7" t="n">
        <v>3</v>
      </c>
      <c r="E324" s="7" t="n">
        <v>12</v>
      </c>
      <c r="F324" s="7" t="inlineStr">
        <is>
          <t>Detenção</t>
        </is>
      </c>
      <c r="G324" s="7" t="inlineStr">
        <is>
          <t>Pública Incondicionada</t>
        </is>
      </c>
      <c r="H324" s="7" t="inlineStr">
        <is>
          <t>Não</t>
        </is>
      </c>
      <c r="I324" s="7" t="inlineStr">
        <is>
          <t>Doloso</t>
        </is>
      </c>
      <c r="J324" s="7" t="inlineStr">
        <is>
          <t>Controverso</t>
        </is>
      </c>
      <c r="K324" s="16" t="inlineStr">
        <is>
          <t>—</t>
        </is>
      </c>
      <c r="L324" s="16" t="inlineStr">
        <is>
          <t>3 meses a 1 ano. Exercer atividade proibida por decisão administrativa</t>
        </is>
      </c>
      <c r="M324" s="7" t="inlineStr">
        <is>
          <t>Sim</t>
        </is>
      </c>
      <c r="N324" s="7" t="inlineStr">
        <is>
          <t>Sim</t>
        </is>
      </c>
    </row>
    <row r="325">
      <c r="A325" s="7" t="inlineStr">
        <is>
          <t>CP</t>
        </is>
      </c>
      <c r="B325" s="7" t="inlineStr">
        <is>
          <t>Art. 206</t>
        </is>
      </c>
      <c r="C325" s="16" t="inlineStr">
        <is>
          <t>Aliciamento para fins de emigração</t>
        </is>
      </c>
      <c r="D325" s="7" t="n">
        <v>12</v>
      </c>
      <c r="E325" s="7" t="n">
        <v>36</v>
      </c>
      <c r="F325" s="7" t="inlineStr">
        <is>
          <t>Detenção</t>
        </is>
      </c>
      <c r="G325" s="7" t="inlineStr">
        <is>
          <t>Pública Incondicionada</t>
        </is>
      </c>
      <c r="H325" s="7" t="inlineStr">
        <is>
          <t>Não</t>
        </is>
      </c>
      <c r="I325" s="7" t="inlineStr">
        <is>
          <t>Doloso</t>
        </is>
      </c>
      <c r="J325" s="7" t="inlineStr">
        <is>
          <t>Sim</t>
        </is>
      </c>
      <c r="K325" s="16" t="inlineStr">
        <is>
          <t>—</t>
        </is>
      </c>
      <c r="L325" s="16" t="inlineStr">
        <is>
          <t>Recrutar trabalhadores para fins de emigração do território nacional</t>
        </is>
      </c>
      <c r="M325" s="7" t="inlineStr">
        <is>
          <t>Sim</t>
        </is>
      </c>
      <c r="N325" s="7" t="inlineStr">
        <is>
          <t>Sim</t>
        </is>
      </c>
    </row>
    <row r="326">
      <c r="A326" s="7" t="inlineStr">
        <is>
          <t>CP</t>
        </is>
      </c>
      <c r="B326" s="7" t="inlineStr">
        <is>
          <t>Art. 253</t>
        </is>
      </c>
      <c r="C326" s="16" t="inlineStr">
        <is>
          <t>Fabrico, fornecimento, aquisição ou posse de explosivo (clandestino)</t>
        </is>
      </c>
      <c r="D326" s="7" t="n">
        <v>36</v>
      </c>
      <c r="E326" s="7" t="n">
        <v>72</v>
      </c>
      <c r="F326" s="7" t="inlineStr">
        <is>
          <t>Reclusão</t>
        </is>
      </c>
      <c r="G326" s="7" t="inlineStr">
        <is>
          <t>Pública Incondicionada</t>
        </is>
      </c>
      <c r="H326" s="7" t="inlineStr">
        <is>
          <t>Não</t>
        </is>
      </c>
      <c r="I326" s="7" t="inlineStr">
        <is>
          <t>Doloso</t>
        </is>
      </c>
      <c r="J326" s="7" t="inlineStr">
        <is>
          <t>Sim</t>
        </is>
      </c>
      <c r="K326" s="16" t="inlineStr">
        <is>
          <t>—</t>
        </is>
      </c>
      <c r="L326" s="16" t="inlineStr">
        <is>
          <t>3-6 anos. Fabricar/fornecer/adquirir/possuir/transportar explosivo sem autorização</t>
        </is>
      </c>
      <c r="M326" s="7" t="inlineStr">
        <is>
          <t>Sim</t>
        </is>
      </c>
      <c r="N326" s="7" t="inlineStr">
        <is>
          <t>Não</t>
        </is>
      </c>
    </row>
    <row r="327">
      <c r="A327" s="7" t="inlineStr">
        <is>
          <t>CP</t>
        </is>
      </c>
      <c r="B327" s="7" t="inlineStr">
        <is>
          <t>Art. 255</t>
        </is>
      </c>
      <c r="C327" s="16" t="inlineStr">
        <is>
          <t>Perigo de inundação</t>
        </is>
      </c>
      <c r="D327" s="7" t="n">
        <v>12</v>
      </c>
      <c r="E327" s="7" t="n">
        <v>24</v>
      </c>
      <c r="F327" s="7" t="inlineStr">
        <is>
          <t>Reclusão</t>
        </is>
      </c>
      <c r="G327" s="7" t="inlineStr">
        <is>
          <t>Pública Incondicionada</t>
        </is>
      </c>
      <c r="H327" s="7" t="inlineStr">
        <is>
          <t>Não</t>
        </is>
      </c>
      <c r="I327" s="7" t="inlineStr">
        <is>
          <t>Doloso</t>
        </is>
      </c>
      <c r="J327" s="7" t="inlineStr">
        <is>
          <t>Sim</t>
        </is>
      </c>
      <c r="K327" s="16" t="inlineStr">
        <is>
          <t>—</t>
        </is>
      </c>
      <c r="L327" s="16" t="inlineStr">
        <is>
          <t>1-2 anos. Remover/destruir/inutilizar obstáculo natural ou artificial para prevenir inundação</t>
        </is>
      </c>
      <c r="M327" s="7" t="inlineStr">
        <is>
          <t>Sim</t>
        </is>
      </c>
      <c r="N327" s="7" t="inlineStr">
        <is>
          <t>Sim</t>
        </is>
      </c>
    </row>
    <row r="328">
      <c r="A328" s="7" t="inlineStr">
        <is>
          <t>CP</t>
        </is>
      </c>
      <c r="B328" s="7" t="inlineStr">
        <is>
          <t>Art. 257</t>
        </is>
      </c>
      <c r="C328" s="16" t="inlineStr">
        <is>
          <t>Subtração, ocultação ou inutilização de material de salvamento</t>
        </is>
      </c>
      <c r="D328" s="7" t="n">
        <v>12</v>
      </c>
      <c r="E328" s="7" t="n">
        <v>36</v>
      </c>
      <c r="F328" s="7" t="inlineStr">
        <is>
          <t>Detenção</t>
        </is>
      </c>
      <c r="G328" s="7" t="inlineStr">
        <is>
          <t>Pública Incondicionada</t>
        </is>
      </c>
      <c r="H328" s="7" t="inlineStr">
        <is>
          <t>Não</t>
        </is>
      </c>
      <c r="I328" s="7" t="inlineStr">
        <is>
          <t>Doloso</t>
        </is>
      </c>
      <c r="J328" s="7" t="inlineStr">
        <is>
          <t>Sim</t>
        </is>
      </c>
      <c r="K328" s="16" t="inlineStr">
        <is>
          <t>+1/3 se evento sinistro</t>
        </is>
      </c>
      <c r="L328" s="16" t="inlineStr">
        <is>
          <t>1-3 anos</t>
        </is>
      </c>
      <c r="M328" s="7" t="inlineStr">
        <is>
          <t>Sim</t>
        </is>
      </c>
      <c r="N328" s="7" t="inlineStr">
        <is>
          <t>Sim</t>
        </is>
      </c>
    </row>
    <row r="329">
      <c r="A329" s="19" t="inlineStr">
        <is>
          <t>CP</t>
        </is>
      </c>
      <c r="B329" s="19" t="inlineStr">
        <is>
          <t>Art. 258</t>
        </is>
      </c>
      <c r="C329" s="20" t="inlineStr">
        <is>
          <t>Formas qualificadas de crimes de perigo comum — resultado lesão grave ou morte</t>
        </is>
      </c>
      <c r="D329" s="19" t="inlineStr">
        <is>
          <t>—</t>
        </is>
      </c>
      <c r="E329" s="19" t="inlineStr">
        <is>
          <t>—</t>
        </is>
      </c>
      <c r="F329" s="19" t="inlineStr">
        <is>
          <t>—</t>
        </is>
      </c>
      <c r="G329" s="19" t="inlineStr">
        <is>
          <t>—</t>
        </is>
      </c>
      <c r="H329" s="19" t="inlineStr">
        <is>
          <t>—</t>
        </is>
      </c>
      <c r="I329" s="19" t="inlineStr">
        <is>
          <t>—</t>
        </is>
      </c>
      <c r="J329" s="19" t="inlineStr">
        <is>
          <t>—</t>
        </is>
      </c>
      <c r="K329" s="20" t="inlineStr">
        <is>
          <t>Se doloso e resulta lesão grave: pena +metade. Se morte: pena dobrada. Se culposo e lesão grave: pena dobra. Se culposo e morte: pena triplica</t>
        </is>
      </c>
      <c r="L329" s="20" t="inlineStr">
        <is>
          <t>Causa de aumento genérica para crimes dos Arts. 250 a 259</t>
        </is>
      </c>
      <c r="M329" s="19" t="inlineStr">
        <is>
          <t>—</t>
        </is>
      </c>
      <c r="N329" s="19" t="inlineStr">
        <is>
          <t>—</t>
        </is>
      </c>
    </row>
    <row r="330">
      <c r="A330" s="7" t="inlineStr">
        <is>
          <t>CP</t>
        </is>
      </c>
      <c r="B330" s="7" t="inlineStr">
        <is>
          <t>Art. 259</t>
        </is>
      </c>
      <c r="C330" s="16" t="inlineStr">
        <is>
          <t>Difusão de doença ou praga em plantação</t>
        </is>
      </c>
      <c r="D330" s="7" t="n">
        <v>24</v>
      </c>
      <c r="E330" s="7" t="n">
        <v>96</v>
      </c>
      <c r="F330" s="7" t="inlineStr">
        <is>
          <t>Reclusão</t>
        </is>
      </c>
      <c r="G330" s="7" t="inlineStr">
        <is>
          <t>Pública Incondicionada</t>
        </is>
      </c>
      <c r="H330" s="7" t="inlineStr">
        <is>
          <t>Não</t>
        </is>
      </c>
      <c r="I330" s="7" t="inlineStr">
        <is>
          <t>Doloso e Culposo</t>
        </is>
      </c>
      <c r="J330" s="7" t="inlineStr">
        <is>
          <t>Sim</t>
        </is>
      </c>
      <c r="K330" s="16" t="inlineStr">
        <is>
          <t>Culposo: 1-3 anos</t>
        </is>
      </c>
      <c r="L330" s="16" t="inlineStr">
        <is>
          <t>2-8 anos se doloso</t>
        </is>
      </c>
      <c r="M330" s="7" t="inlineStr">
        <is>
          <t>Sim</t>
        </is>
      </c>
      <c r="N330" s="7" t="inlineStr">
        <is>
          <t>Não</t>
        </is>
      </c>
    </row>
    <row r="331">
      <c r="A331" s="7" t="inlineStr">
        <is>
          <t>CP</t>
        </is>
      </c>
      <c r="B331" s="7" t="inlineStr">
        <is>
          <t>Art. 260</t>
        </is>
      </c>
      <c r="C331" s="16" t="inlineStr">
        <is>
          <t>Perigo de desastre ferroviário</t>
        </is>
      </c>
      <c r="D331" s="7" t="n">
        <v>24</v>
      </c>
      <c r="E331" s="7" t="n">
        <v>60</v>
      </c>
      <c r="F331" s="7" t="inlineStr">
        <is>
          <t>Reclusão</t>
        </is>
      </c>
      <c r="G331" s="7" t="inlineStr">
        <is>
          <t>Pública Incondicionada</t>
        </is>
      </c>
      <c r="H331" s="7" t="inlineStr">
        <is>
          <t>Não</t>
        </is>
      </c>
      <c r="I331" s="7" t="inlineStr">
        <is>
          <t>Doloso e Culposo</t>
        </is>
      </c>
      <c r="J331" s="7" t="inlineStr">
        <is>
          <t>Sim</t>
        </is>
      </c>
      <c r="K331" s="16" t="inlineStr">
        <is>
          <t>§1º: se resulta desastre = 4-12a. Culposo: 6m-2a</t>
        </is>
      </c>
      <c r="L331" s="16" t="inlineStr"/>
      <c r="M331" s="7" t="inlineStr">
        <is>
          <t>Sim</t>
        </is>
      </c>
      <c r="N331" s="7" t="inlineStr">
        <is>
          <t>Não</t>
        </is>
      </c>
    </row>
    <row r="332">
      <c r="A332" s="7" t="inlineStr">
        <is>
          <t>CP</t>
        </is>
      </c>
      <c r="B332" s="7" t="inlineStr">
        <is>
          <t>Art. 262</t>
        </is>
      </c>
      <c r="C332" s="16" t="inlineStr">
        <is>
          <t>Atentado contra segurança de outro meio de transporte</t>
        </is>
      </c>
      <c r="D332" s="7" t="n">
        <v>12</v>
      </c>
      <c r="E332" s="7" t="n">
        <v>24</v>
      </c>
      <c r="F332" s="7" t="inlineStr">
        <is>
          <t>Detenção</t>
        </is>
      </c>
      <c r="G332" s="7" t="inlineStr">
        <is>
          <t>Pública Incondicionada</t>
        </is>
      </c>
      <c r="H332" s="7" t="inlineStr">
        <is>
          <t>Não</t>
        </is>
      </c>
      <c r="I332" s="7" t="inlineStr">
        <is>
          <t>Doloso e Culposo</t>
        </is>
      </c>
      <c r="J332" s="7" t="inlineStr">
        <is>
          <t>Sim</t>
        </is>
      </c>
      <c r="K332" s="16" t="inlineStr">
        <is>
          <t>Culposo: 15 dias a 3 meses</t>
        </is>
      </c>
      <c r="L332" s="16" t="inlineStr">
        <is>
          <t>Expor a perigo outro meio de transporte</t>
        </is>
      </c>
      <c r="M332" s="7" t="inlineStr">
        <is>
          <t>Sim</t>
        </is>
      </c>
      <c r="N332" s="7" t="inlineStr">
        <is>
          <t>Sim</t>
        </is>
      </c>
    </row>
    <row r="333">
      <c r="A333" s="7" t="inlineStr">
        <is>
          <t>CP</t>
        </is>
      </c>
      <c r="B333" s="7" t="inlineStr">
        <is>
          <t>Art. 263</t>
        </is>
      </c>
      <c r="C333" s="16" t="inlineStr">
        <is>
          <t>Arremesso de projétil</t>
        </is>
      </c>
      <c r="D333" s="7" t="n">
        <v>1</v>
      </c>
      <c r="E333" s="7" t="n">
        <v>6</v>
      </c>
      <c r="F333" s="7" t="inlineStr">
        <is>
          <t>Detenção</t>
        </is>
      </c>
      <c r="G333" s="7" t="inlineStr">
        <is>
          <t>Pública Incondicionada</t>
        </is>
      </c>
      <c r="H333" s="7" t="inlineStr">
        <is>
          <t>Não</t>
        </is>
      </c>
      <c r="I333" s="7" t="inlineStr">
        <is>
          <t>Doloso</t>
        </is>
      </c>
      <c r="J333" s="7" t="inlineStr">
        <is>
          <t>Sim</t>
        </is>
      </c>
      <c r="K333" s="16" t="inlineStr">
        <is>
          <t>—</t>
        </is>
      </c>
      <c r="L333" s="16" t="inlineStr">
        <is>
          <t>1-6 meses. Arremessar projétil contra veículo em movimento (trem, carro, etc.)</t>
        </is>
      </c>
      <c r="M333" s="7" t="inlineStr">
        <is>
          <t>Sim</t>
        </is>
      </c>
      <c r="N333" s="7" t="inlineStr">
        <is>
          <t>Sim</t>
        </is>
      </c>
    </row>
    <row r="334">
      <c r="A334" s="7" t="inlineStr">
        <is>
          <t>CP</t>
        </is>
      </c>
      <c r="B334" s="7" t="inlineStr">
        <is>
          <t>Art. 264</t>
        </is>
      </c>
      <c r="C334" s="16" t="inlineStr">
        <is>
          <t>Arremesso de projétil (resultado dano)</t>
        </is>
      </c>
      <c r="D334" s="7" t="n">
        <v>6</v>
      </c>
      <c r="E334" s="7" t="n">
        <v>24</v>
      </c>
      <c r="F334" s="7" t="inlineStr">
        <is>
          <t>Detenção</t>
        </is>
      </c>
      <c r="G334" s="7" t="inlineStr">
        <is>
          <t>Pública Incondicionada</t>
        </is>
      </c>
      <c r="H334" s="7" t="inlineStr">
        <is>
          <t>Não</t>
        </is>
      </c>
      <c r="I334" s="7" t="inlineStr">
        <is>
          <t>Doloso</t>
        </is>
      </c>
      <c r="J334" s="7" t="inlineStr">
        <is>
          <t>Sim</t>
        </is>
      </c>
      <c r="K334" s="16" t="inlineStr">
        <is>
          <t>—</t>
        </is>
      </c>
      <c r="L334" s="16" t="inlineStr">
        <is>
          <t>Se resulta lesão grave: 1-4 anos. Se resulta morte: 4-12 anos</t>
        </is>
      </c>
      <c r="M334" s="7" t="inlineStr">
        <is>
          <t>Sim</t>
        </is>
      </c>
      <c r="N334" s="7" t="inlineStr">
        <is>
          <t>Sim</t>
        </is>
      </c>
    </row>
    <row r="335">
      <c r="A335" s="7" t="inlineStr">
        <is>
          <t>CP</t>
        </is>
      </c>
      <c r="B335" s="7" t="inlineStr">
        <is>
          <t>Art. 265</t>
        </is>
      </c>
      <c r="C335" s="16" t="inlineStr">
        <is>
          <t>Atentado contra a segurança de serviço de utilidade pública</t>
        </is>
      </c>
      <c r="D335" s="7" t="n">
        <v>12</v>
      </c>
      <c r="E335" s="7" t="n">
        <v>60</v>
      </c>
      <c r="F335" s="7" t="inlineStr">
        <is>
          <t>Reclusão</t>
        </is>
      </c>
      <c r="G335" s="7" t="inlineStr">
        <is>
          <t>Pública Incondicionada</t>
        </is>
      </c>
      <c r="H335" s="7" t="inlineStr">
        <is>
          <t>Não</t>
        </is>
      </c>
      <c r="I335" s="7" t="inlineStr">
        <is>
          <t>Doloso</t>
        </is>
      </c>
      <c r="J335" s="7" t="inlineStr">
        <is>
          <t>Sim</t>
        </is>
      </c>
      <c r="K335" s="16" t="inlineStr">
        <is>
          <t>—</t>
        </is>
      </c>
      <c r="L335" s="16" t="inlineStr">
        <is>
          <t>Atentar contra segurança/funcionamento de serviço de água/luz/força/calor/telecomunicações</t>
        </is>
      </c>
      <c r="M335" s="7" t="inlineStr">
        <is>
          <t>Sim</t>
        </is>
      </c>
      <c r="N335" s="7" t="inlineStr">
        <is>
          <t>Sim</t>
        </is>
      </c>
    </row>
    <row r="336">
      <c r="A336" s="7" t="inlineStr">
        <is>
          <t>CP</t>
        </is>
      </c>
      <c r="B336" s="7" t="inlineStr">
        <is>
          <t>Art. 266</t>
        </is>
      </c>
      <c r="C336" s="16" t="inlineStr">
        <is>
          <t>Interrupção ou perturbação de serviço telegráfico, telefônico, informático ou de informação de utilidade pública</t>
        </is>
      </c>
      <c r="D336" s="7" t="n">
        <v>12</v>
      </c>
      <c r="E336" s="7" t="n">
        <v>36</v>
      </c>
      <c r="F336" s="7" t="inlineStr">
        <is>
          <t>Detenção</t>
        </is>
      </c>
      <c r="G336" s="7" t="inlineStr">
        <is>
          <t>Pública Incondicionada</t>
        </is>
      </c>
      <c r="H336" s="7" t="inlineStr">
        <is>
          <t>Não</t>
        </is>
      </c>
      <c r="I336" s="7" t="inlineStr">
        <is>
          <t>Doloso</t>
        </is>
      </c>
      <c r="J336" s="7" t="inlineStr">
        <is>
          <t>Sim</t>
        </is>
      </c>
      <c r="K336" s="16" t="inlineStr">
        <is>
          <t>§1º: +1/3 a +1/2 se afeta serviço telefônico/informático/telemático que atenda emergência (190, SAMU). §2º: +1/3 a +1/2 se durante calamidade pública</t>
        </is>
      </c>
      <c r="L336" s="16" t="inlineStr">
        <is>
          <t>Lei 14.155/2021 atualizou para incluir serviços informáticos</t>
        </is>
      </c>
      <c r="M336" s="7" t="inlineStr">
        <is>
          <t>Sim</t>
        </is>
      </c>
      <c r="N336" s="7" t="inlineStr">
        <is>
          <t>Sim</t>
        </is>
      </c>
    </row>
    <row r="337">
      <c r="A337" s="7" t="inlineStr">
        <is>
          <t>CP</t>
        </is>
      </c>
      <c r="B337" s="7" t="inlineStr">
        <is>
          <t>Art. 269</t>
        </is>
      </c>
      <c r="C337" s="16" t="inlineStr">
        <is>
          <t>Omissão de notificação de doença</t>
        </is>
      </c>
      <c r="D337" s="7" t="n">
        <v>6</v>
      </c>
      <c r="E337" s="7" t="n">
        <v>24</v>
      </c>
      <c r="F337" s="7" t="inlineStr">
        <is>
          <t>Detenção</t>
        </is>
      </c>
      <c r="G337" s="7" t="inlineStr">
        <is>
          <t>Pública Incondicionada</t>
        </is>
      </c>
      <c r="H337" s="7" t="inlineStr">
        <is>
          <t>Não</t>
        </is>
      </c>
      <c r="I337" s="7" t="inlineStr">
        <is>
          <t>Doloso</t>
        </is>
      </c>
      <c r="J337" s="7" t="inlineStr">
        <is>
          <t>Controverso</t>
        </is>
      </c>
      <c r="K337" s="16" t="inlineStr">
        <is>
          <t>—</t>
        </is>
      </c>
      <c r="L337" s="16" t="inlineStr">
        <is>
          <t>Crime próprio: médico que não denuncia doença cuja notificação é compulsória</t>
        </is>
      </c>
      <c r="M337" s="7" t="inlineStr">
        <is>
          <t>Sim</t>
        </is>
      </c>
      <c r="N337" s="7" t="inlineStr">
        <is>
          <t>Sim</t>
        </is>
      </c>
    </row>
    <row r="338">
      <c r="A338" s="7" t="inlineStr">
        <is>
          <t>CP</t>
        </is>
      </c>
      <c r="B338" s="7" t="inlineStr">
        <is>
          <t>Art. 271</t>
        </is>
      </c>
      <c r="C338" s="16" t="inlineStr">
        <is>
          <t>Corrupção ou poluição de água potável</t>
        </is>
      </c>
      <c r="D338" s="7" t="n">
        <v>24</v>
      </c>
      <c r="E338" s="7" t="n">
        <v>60</v>
      </c>
      <c r="F338" s="7" t="inlineStr">
        <is>
          <t>Reclusão</t>
        </is>
      </c>
      <c r="G338" s="7" t="inlineStr">
        <is>
          <t>Pública Incondicionada</t>
        </is>
      </c>
      <c r="H338" s="7" t="inlineStr">
        <is>
          <t>Não</t>
        </is>
      </c>
      <c r="I338" s="7" t="inlineStr">
        <is>
          <t>Doloso e Culposo</t>
        </is>
      </c>
      <c r="J338" s="7" t="inlineStr">
        <is>
          <t>Sim</t>
        </is>
      </c>
      <c r="K338" s="16" t="inlineStr">
        <is>
          <t>Culposo: 6m-2a</t>
        </is>
      </c>
      <c r="L338" s="16" t="inlineStr">
        <is>
          <t>Tornar imprestável água potável para consumo</t>
        </is>
      </c>
      <c r="M338" s="7" t="inlineStr">
        <is>
          <t>Sim</t>
        </is>
      </c>
      <c r="N338" s="7" t="inlineStr">
        <is>
          <t>Não</t>
        </is>
      </c>
    </row>
    <row r="339">
      <c r="A339" s="7" t="inlineStr">
        <is>
          <t>CP</t>
        </is>
      </c>
      <c r="B339" s="7" t="inlineStr">
        <is>
          <t>Art. 274</t>
        </is>
      </c>
      <c r="C339" s="16" t="inlineStr">
        <is>
          <t>Emprego de processo proibido ou substância não permitida (alimentos)</t>
        </is>
      </c>
      <c r="D339" s="7" t="n">
        <v>12</v>
      </c>
      <c r="E339" s="7" t="n">
        <v>48</v>
      </c>
      <c r="F339" s="7" t="inlineStr">
        <is>
          <t>Reclusão</t>
        </is>
      </c>
      <c r="G339" s="7" t="inlineStr">
        <is>
          <t>Pública Incondicionada</t>
        </is>
      </c>
      <c r="H339" s="7" t="inlineStr">
        <is>
          <t>Não</t>
        </is>
      </c>
      <c r="I339" s="7" t="inlineStr">
        <is>
          <t>Doloso</t>
        </is>
      </c>
      <c r="J339" s="7" t="inlineStr">
        <is>
          <t>Sim</t>
        </is>
      </c>
      <c r="K339" s="16" t="inlineStr">
        <is>
          <t>—</t>
        </is>
      </c>
      <c r="L339" s="16" t="inlineStr">
        <is>
          <t>1-4 anos. Empregar processo proscrito ou substância não permitida na fabricação de alimento</t>
        </is>
      </c>
      <c r="M339" s="7" t="inlineStr">
        <is>
          <t>Sim</t>
        </is>
      </c>
      <c r="N339" s="7" t="inlineStr">
        <is>
          <t>Sim</t>
        </is>
      </c>
    </row>
    <row r="340">
      <c r="A340" s="7" t="inlineStr">
        <is>
          <t>CP</t>
        </is>
      </c>
      <c r="B340" s="7" t="inlineStr">
        <is>
          <t>Art. 275</t>
        </is>
      </c>
      <c r="C340" s="16" t="inlineStr">
        <is>
          <t>Invólucro ou recipiente com falsa indicação</t>
        </is>
      </c>
      <c r="D340" s="7" t="n">
        <v>12</v>
      </c>
      <c r="E340" s="7" t="n">
        <v>48</v>
      </c>
      <c r="F340" s="7" t="inlineStr">
        <is>
          <t>Reclusão</t>
        </is>
      </c>
      <c r="G340" s="7" t="inlineStr">
        <is>
          <t>Pública Incondicionada</t>
        </is>
      </c>
      <c r="H340" s="7" t="inlineStr">
        <is>
          <t>Não</t>
        </is>
      </c>
      <c r="I340" s="7" t="inlineStr">
        <is>
          <t>Doloso</t>
        </is>
      </c>
      <c r="J340" s="7" t="inlineStr">
        <is>
          <t>Sim</t>
        </is>
      </c>
      <c r="K340" s="16" t="inlineStr">
        <is>
          <t>—</t>
        </is>
      </c>
      <c r="L340" s="16" t="inlineStr">
        <is>
          <t>Inculcar em invólucro/recipiente substância diversa da que contém ou que nele deveria estar</t>
        </is>
      </c>
      <c r="M340" s="7" t="inlineStr">
        <is>
          <t>Sim</t>
        </is>
      </c>
      <c r="N340" s="7" t="inlineStr">
        <is>
          <t>Sim</t>
        </is>
      </c>
    </row>
    <row r="341">
      <c r="A341" s="7" t="inlineStr">
        <is>
          <t>CP</t>
        </is>
      </c>
      <c r="B341" s="7" t="inlineStr">
        <is>
          <t>Art. 276</t>
        </is>
      </c>
      <c r="C341" s="16" t="inlineStr">
        <is>
          <t>Produto ou substância com indicações terapêuticas falsas</t>
        </is>
      </c>
      <c r="D341" s="7" t="n">
        <v>12</v>
      </c>
      <c r="E341" s="7" t="n">
        <v>48</v>
      </c>
      <c r="F341" s="7" t="inlineStr">
        <is>
          <t>Reclusão</t>
        </is>
      </c>
      <c r="G341" s="7" t="inlineStr">
        <is>
          <t>Pública Incondicionada</t>
        </is>
      </c>
      <c r="H341" s="7" t="inlineStr">
        <is>
          <t>Não</t>
        </is>
      </c>
      <c r="I341" s="7" t="inlineStr">
        <is>
          <t>Doloso</t>
        </is>
      </c>
      <c r="J341" s="7" t="inlineStr">
        <is>
          <t>Sim</t>
        </is>
      </c>
      <c r="K341" s="16" t="inlineStr">
        <is>
          <t>—</t>
        </is>
      </c>
      <c r="L341" s="16" t="inlineStr">
        <is>
          <t>Vender/expor à venda substância com indicações terapêuticas ou profiláticas que sabe não ter</t>
        </is>
      </c>
      <c r="M341" s="7" t="inlineStr">
        <is>
          <t>Sim</t>
        </is>
      </c>
      <c r="N341" s="7" t="inlineStr">
        <is>
          <t>Sim</t>
        </is>
      </c>
    </row>
    <row r="342">
      <c r="A342" s="7" t="inlineStr">
        <is>
          <t>CP</t>
        </is>
      </c>
      <c r="B342" s="7" t="inlineStr">
        <is>
          <t>Art. 277</t>
        </is>
      </c>
      <c r="C342" s="16" t="inlineStr">
        <is>
          <t>Substância destinada à falsificação</t>
        </is>
      </c>
      <c r="D342" s="7" t="n">
        <v>12</v>
      </c>
      <c r="E342" s="7" t="n">
        <v>48</v>
      </c>
      <c r="F342" s="7" t="inlineStr">
        <is>
          <t>Reclusão</t>
        </is>
      </c>
      <c r="G342" s="7" t="inlineStr">
        <is>
          <t>Pública Incondicionada</t>
        </is>
      </c>
      <c r="H342" s="7" t="inlineStr">
        <is>
          <t>Não</t>
        </is>
      </c>
      <c r="I342" s="7" t="inlineStr">
        <is>
          <t>Doloso</t>
        </is>
      </c>
      <c r="J342" s="7" t="inlineStr">
        <is>
          <t>Sim</t>
        </is>
      </c>
      <c r="K342" s="16" t="inlineStr">
        <is>
          <t>—</t>
        </is>
      </c>
      <c r="L342" s="16" t="inlineStr">
        <is>
          <t>Vender/importar/ter em depósito substância destinada à falsificação de alimento/produto terapêutico</t>
        </is>
      </c>
      <c r="M342" s="7" t="inlineStr">
        <is>
          <t>Sim</t>
        </is>
      </c>
      <c r="N342" s="7" t="inlineStr">
        <is>
          <t>Sim</t>
        </is>
      </c>
    </row>
    <row r="343">
      <c r="A343" s="7" t="inlineStr">
        <is>
          <t>CP</t>
        </is>
      </c>
      <c r="B343" s="7" t="inlineStr">
        <is>
          <t>Art. 280</t>
        </is>
      </c>
      <c r="C343" s="16" t="inlineStr">
        <is>
          <t>Medicamento em desacordo com receita médica</t>
        </is>
      </c>
      <c r="D343" s="7" t="n">
        <v>12</v>
      </c>
      <c r="E343" s="7" t="n">
        <v>36</v>
      </c>
      <c r="F343" s="7" t="inlineStr">
        <is>
          <t>Detenção</t>
        </is>
      </c>
      <c r="G343" s="7" t="inlineStr">
        <is>
          <t>Pública Incondicionada</t>
        </is>
      </c>
      <c r="H343" s="7" t="inlineStr">
        <is>
          <t>Não</t>
        </is>
      </c>
      <c r="I343" s="7" t="inlineStr">
        <is>
          <t>Doloso e Culposo</t>
        </is>
      </c>
      <c r="J343" s="7" t="inlineStr">
        <is>
          <t>Sim</t>
        </is>
      </c>
      <c r="K343" s="16" t="inlineStr">
        <is>
          <t>Culposo: 2m-1a</t>
        </is>
      </c>
      <c r="L343" s="16" t="inlineStr">
        <is>
          <t>Crime próprio: farmacêutico ou quem exerce arte farmacêutica</t>
        </is>
      </c>
      <c r="M343" s="7" t="inlineStr">
        <is>
          <t>Sim</t>
        </is>
      </c>
      <c r="N343" s="7" t="inlineStr">
        <is>
          <t>Sim</t>
        </is>
      </c>
    </row>
    <row r="344">
      <c r="A344" s="7" t="inlineStr">
        <is>
          <t>CP</t>
        </is>
      </c>
      <c r="B344" s="7" t="inlineStr">
        <is>
          <t>Art. 281</t>
        </is>
      </c>
      <c r="C344" s="16" t="inlineStr">
        <is>
          <t>Exercício ilegal da medicina, arte dentária ou farmacêutica</t>
        </is>
      </c>
      <c r="D344" s="7" t="n">
        <v>6</v>
      </c>
      <c r="E344" s="7" t="n">
        <v>24</v>
      </c>
      <c r="F344" s="7" t="inlineStr">
        <is>
          <t>Detenção</t>
        </is>
      </c>
      <c r="G344" s="7" t="inlineStr">
        <is>
          <t>Pública Incondicionada</t>
        </is>
      </c>
      <c r="H344" s="7" t="inlineStr">
        <is>
          <t>Não</t>
        </is>
      </c>
      <c r="I344" s="7" t="inlineStr">
        <is>
          <t>Doloso</t>
        </is>
      </c>
      <c r="J344" s="7" t="inlineStr">
        <is>
          <t>Sim</t>
        </is>
      </c>
      <c r="K344" s="16" t="inlineStr">
        <is>
          <t>§1º: se com título falso = 1-3 anos</t>
        </is>
      </c>
      <c r="L344" s="16" t="inlineStr"/>
      <c r="M344" s="7" t="inlineStr">
        <is>
          <t>Sim</t>
        </is>
      </c>
      <c r="N344" s="7" t="inlineStr">
        <is>
          <t>Sim</t>
        </is>
      </c>
    </row>
    <row r="345">
      <c r="A345" s="7" t="inlineStr">
        <is>
          <t>CP</t>
        </is>
      </c>
      <c r="B345" s="7" t="inlineStr">
        <is>
          <t>Art. 282</t>
        </is>
      </c>
      <c r="C345" s="16" t="inlineStr">
        <is>
          <t>Exercício ilegal da medicina (curandeirismo)</t>
        </is>
      </c>
      <c r="D345" s="7" t="n">
        <v>6</v>
      </c>
      <c r="E345" s="7" t="n">
        <v>24</v>
      </c>
      <c r="F345" s="7" t="inlineStr">
        <is>
          <t>Detenção</t>
        </is>
      </c>
      <c r="G345" s="7" t="inlineStr">
        <is>
          <t>Pública Incondicionada</t>
        </is>
      </c>
      <c r="H345" s="7" t="inlineStr">
        <is>
          <t>Não</t>
        </is>
      </c>
      <c r="I345" s="7" t="inlineStr">
        <is>
          <t>Doloso</t>
        </is>
      </c>
      <c r="J345" s="7" t="inlineStr">
        <is>
          <t>Sim</t>
        </is>
      </c>
      <c r="K345" s="16" t="inlineStr">
        <is>
          <t>§1º: +1/3 se com fim de lucro</t>
        </is>
      </c>
      <c r="L345" s="16" t="inlineStr">
        <is>
          <t>Exercer a arte de curar, prescrevendo, ministrando ou aplicando qualquer substância</t>
        </is>
      </c>
      <c r="M345" s="7" t="inlineStr">
        <is>
          <t>Sim</t>
        </is>
      </c>
      <c r="N345" s="7" t="inlineStr">
        <is>
          <t>Sim</t>
        </is>
      </c>
    </row>
    <row r="346">
      <c r="A346" s="7" t="inlineStr">
        <is>
          <t>CP</t>
        </is>
      </c>
      <c r="B346" s="7" t="inlineStr">
        <is>
          <t>Art. 283</t>
        </is>
      </c>
      <c r="C346" s="16" t="inlineStr">
        <is>
          <t>Charlatanismo</t>
        </is>
      </c>
      <c r="D346" s="7" t="n">
        <v>3</v>
      </c>
      <c r="E346" s="7" t="n">
        <v>12</v>
      </c>
      <c r="F346" s="7" t="inlineStr">
        <is>
          <t>Detenção</t>
        </is>
      </c>
      <c r="G346" s="7" t="inlineStr">
        <is>
          <t>Pública Incondicionada</t>
        </is>
      </c>
      <c r="H346" s="7" t="inlineStr">
        <is>
          <t>Não</t>
        </is>
      </c>
      <c r="I346" s="7" t="inlineStr">
        <is>
          <t>Doloso</t>
        </is>
      </c>
      <c r="J346" s="7" t="inlineStr">
        <is>
          <t>Sim</t>
        </is>
      </c>
      <c r="K346" s="16" t="inlineStr">
        <is>
          <t>+1/3 se com fim de lucro</t>
        </is>
      </c>
      <c r="L346" s="16" t="inlineStr">
        <is>
          <t>Inculcar ou anunciar cura de doenças por meio secreto ou infalível</t>
        </is>
      </c>
      <c r="M346" s="7" t="inlineStr">
        <is>
          <t>Sim</t>
        </is>
      </c>
      <c r="N346" s="7" t="inlineStr">
        <is>
          <t>Sim</t>
        </is>
      </c>
    </row>
    <row r="347">
      <c r="A347" s="7" t="inlineStr">
        <is>
          <t>CP</t>
        </is>
      </c>
      <c r="B347" s="7" t="inlineStr">
        <is>
          <t>Art. 284</t>
        </is>
      </c>
      <c r="C347" s="16" t="inlineStr">
        <is>
          <t>Curandeirismo</t>
        </is>
      </c>
      <c r="D347" s="7" t="n">
        <v>6</v>
      </c>
      <c r="E347" s="7" t="n">
        <v>24</v>
      </c>
      <c r="F347" s="7" t="inlineStr">
        <is>
          <t>Detenção</t>
        </is>
      </c>
      <c r="G347" s="7" t="inlineStr">
        <is>
          <t>Pública Incondicionada</t>
        </is>
      </c>
      <c r="H347" s="7" t="inlineStr">
        <is>
          <t>Não</t>
        </is>
      </c>
      <c r="I347" s="7" t="inlineStr">
        <is>
          <t>Doloso</t>
        </is>
      </c>
      <c r="J347" s="7" t="inlineStr">
        <is>
          <t>Sim</t>
        </is>
      </c>
      <c r="K347" s="16" t="inlineStr">
        <is>
          <t>§1º: +1/3 se com fim de lucro</t>
        </is>
      </c>
      <c r="L347" s="16" t="inlineStr">
        <is>
          <t>Exercer curandeirismo: I-prescrever/administrar substância; II-usar gestos/palavras/qualquer outro meio; III-fazer diagnóstico</t>
        </is>
      </c>
      <c r="M347" s="7" t="inlineStr">
        <is>
          <t>Sim</t>
        </is>
      </c>
      <c r="N347" s="7" t="inlineStr">
        <is>
          <t>Sim</t>
        </is>
      </c>
    </row>
    <row r="348">
      <c r="A348" s="19" t="inlineStr">
        <is>
          <t>CP</t>
        </is>
      </c>
      <c r="B348" s="19" t="inlineStr">
        <is>
          <t>Art. 285</t>
        </is>
      </c>
      <c r="C348" s="20" t="inlineStr">
        <is>
          <t>Tráfico de drogas (revogado)</t>
        </is>
      </c>
      <c r="D348" s="19" t="inlineStr">
        <is>
          <t>—</t>
        </is>
      </c>
      <c r="E348" s="19" t="inlineStr">
        <is>
          <t>—</t>
        </is>
      </c>
      <c r="F348" s="19" t="inlineStr">
        <is>
          <t>—</t>
        </is>
      </c>
      <c r="G348" s="19" t="inlineStr">
        <is>
          <t>—</t>
        </is>
      </c>
      <c r="H348" s="19" t="inlineStr">
        <is>
          <t>—</t>
        </is>
      </c>
      <c r="I348" s="19" t="inlineStr">
        <is>
          <t>—</t>
        </is>
      </c>
      <c r="J348" s="19" t="inlineStr">
        <is>
          <t>—</t>
        </is>
      </c>
      <c r="K348" s="20" t="inlineStr">
        <is>
          <t>—</t>
        </is>
      </c>
      <c r="L348" s="20" t="inlineStr">
        <is>
          <t>REVOGADO. Substituído pela Lei 11.343/2006 (Lei de Drogas)</t>
        </is>
      </c>
      <c r="M348" s="19" t="inlineStr">
        <is>
          <t>—</t>
        </is>
      </c>
      <c r="N348" s="19" t="inlineStr">
        <is>
          <t>—</t>
        </is>
      </c>
    </row>
    <row r="349">
      <c r="A349" s="19" t="inlineStr">
        <is>
          <t>CP</t>
        </is>
      </c>
      <c r="B349" s="19" t="inlineStr">
        <is>
          <t>Art. 288-B</t>
        </is>
      </c>
      <c r="C349" s="20" t="inlineStr">
        <is>
          <t>Associação criminosa armada (referência)</t>
        </is>
      </c>
      <c r="D349" s="19" t="inlineStr">
        <is>
          <t>—</t>
        </is>
      </c>
      <c r="E349" s="19" t="inlineStr">
        <is>
          <t>—</t>
        </is>
      </c>
      <c r="F349" s="19" t="inlineStr">
        <is>
          <t>—</t>
        </is>
      </c>
      <c r="G349" s="19" t="inlineStr">
        <is>
          <t>—</t>
        </is>
      </c>
      <c r="H349" s="19" t="inlineStr">
        <is>
          <t>—</t>
        </is>
      </c>
      <c r="I349" s="19" t="inlineStr">
        <is>
          <t>—</t>
        </is>
      </c>
      <c r="J349" s="19" t="inlineStr">
        <is>
          <t>—</t>
        </is>
      </c>
      <c r="K349" s="20" t="inlineStr">
        <is>
          <t>Art. 288, parágrafo único: pena +1/2 se associação armada ou com participação de criança/adolescente</t>
        </is>
      </c>
      <c r="L349" s="20" t="inlineStr">
        <is>
          <t>Não é tipo autônomo, é qualificadora do Art. 288</t>
        </is>
      </c>
      <c r="M349" s="19" t="inlineStr">
        <is>
          <t>—</t>
        </is>
      </c>
      <c r="N349" s="19" t="inlineStr">
        <is>
          <t>—</t>
        </is>
      </c>
    </row>
    <row r="350">
      <c r="A350" s="7" t="inlineStr">
        <is>
          <t>CP</t>
        </is>
      </c>
      <c r="B350" s="7" t="inlineStr">
        <is>
          <t>Art. 290</t>
        </is>
      </c>
      <c r="C350" s="16" t="inlineStr">
        <is>
          <t>Crimes assimilados ao de moeda falsa (papel-moeda falso)</t>
        </is>
      </c>
      <c r="D350" s="7" t="n">
        <v>36</v>
      </c>
      <c r="E350" s="7" t="n">
        <v>180</v>
      </c>
      <c r="F350" s="7" t="inlineStr">
        <is>
          <t>Reclusão</t>
        </is>
      </c>
      <c r="G350" s="7" t="inlineStr">
        <is>
          <t>Pública Incondicionada</t>
        </is>
      </c>
      <c r="H350" s="7" t="inlineStr">
        <is>
          <t>Não</t>
        </is>
      </c>
      <c r="I350" s="7" t="inlineStr">
        <is>
          <t>Doloso</t>
        </is>
      </c>
      <c r="J350" s="7" t="inlineStr">
        <is>
          <t>Sim</t>
        </is>
      </c>
      <c r="K350" s="16" t="inlineStr">
        <is>
          <t>—</t>
        </is>
      </c>
      <c r="L350" s="16" t="inlineStr">
        <is>
          <t>Formar cédula/moeda com fragmentos de cédulas verdadeiras</t>
        </is>
      </c>
      <c r="M350" s="7" t="inlineStr">
        <is>
          <t>Sim</t>
        </is>
      </c>
      <c r="N350" s="7" t="inlineStr">
        <is>
          <t>Não</t>
        </is>
      </c>
    </row>
    <row r="351">
      <c r="A351" s="7" t="inlineStr">
        <is>
          <t>CP</t>
        </is>
      </c>
      <c r="B351" s="7" t="inlineStr">
        <is>
          <t>Art. 291</t>
        </is>
      </c>
      <c r="C351" s="16" t="inlineStr">
        <is>
          <t>Petrechos para falsificação de moeda</t>
        </is>
      </c>
      <c r="D351" s="7" t="n">
        <v>24</v>
      </c>
      <c r="E351" s="7" t="n">
        <v>72</v>
      </c>
      <c r="F351" s="7" t="inlineStr">
        <is>
          <t>Reclusão</t>
        </is>
      </c>
      <c r="G351" s="7" t="inlineStr">
        <is>
          <t>Pública Incondicionada</t>
        </is>
      </c>
      <c r="H351" s="7" t="inlineStr">
        <is>
          <t>Não</t>
        </is>
      </c>
      <c r="I351" s="7" t="inlineStr">
        <is>
          <t>Doloso</t>
        </is>
      </c>
      <c r="J351" s="7" t="inlineStr">
        <is>
          <t>Sim</t>
        </is>
      </c>
      <c r="K351" s="16" t="inlineStr">
        <is>
          <t>—</t>
        </is>
      </c>
      <c r="L351" s="16" t="inlineStr">
        <is>
          <t>Fabricar/adquirir/fornecer/possuir/guardar petrechos para falsificação de moeda</t>
        </is>
      </c>
      <c r="M351" s="7" t="inlineStr">
        <is>
          <t>Sim</t>
        </is>
      </c>
      <c r="N351" s="7" t="inlineStr">
        <is>
          <t>Não</t>
        </is>
      </c>
    </row>
    <row r="352">
      <c r="A352" s="7" t="inlineStr">
        <is>
          <t>CP</t>
        </is>
      </c>
      <c r="B352" s="7" t="inlineStr">
        <is>
          <t>Art. 292</t>
        </is>
      </c>
      <c r="C352" s="16" t="inlineStr">
        <is>
          <t>Emissão de título ao portador sem permissão legal</t>
        </is>
      </c>
      <c r="D352" s="7" t="n">
        <v>12</v>
      </c>
      <c r="E352" s="7" t="n">
        <v>36</v>
      </c>
      <c r="F352" s="7" t="inlineStr">
        <is>
          <t>Detenção</t>
        </is>
      </c>
      <c r="G352" s="7" t="inlineStr">
        <is>
          <t>Pública Incondicionada</t>
        </is>
      </c>
      <c r="H352" s="7" t="inlineStr">
        <is>
          <t>Não</t>
        </is>
      </c>
      <c r="I352" s="7" t="inlineStr">
        <is>
          <t>Doloso</t>
        </is>
      </c>
      <c r="J352" s="7" t="inlineStr">
        <is>
          <t>Sim</t>
        </is>
      </c>
      <c r="K352" s="16" t="inlineStr">
        <is>
          <t>—</t>
        </is>
      </c>
      <c r="L352" s="16" t="inlineStr">
        <is>
          <t>1-3 anos</t>
        </is>
      </c>
      <c r="M352" s="7" t="inlineStr">
        <is>
          <t>Sim</t>
        </is>
      </c>
      <c r="N352" s="7" t="inlineStr">
        <is>
          <t>Sim</t>
        </is>
      </c>
    </row>
    <row r="353">
      <c r="A353" s="7" t="inlineStr">
        <is>
          <t>CP</t>
        </is>
      </c>
      <c r="B353" s="7" t="inlineStr">
        <is>
          <t>Art. 293</t>
        </is>
      </c>
      <c r="C353" s="16" t="inlineStr">
        <is>
          <t>Falsificação de papéis públicos (selo, estampilha, papel selado, vale postal)</t>
        </is>
      </c>
      <c r="D353" s="7" t="n">
        <v>24</v>
      </c>
      <c r="E353" s="7" t="n">
        <v>96</v>
      </c>
      <c r="F353" s="7" t="inlineStr">
        <is>
          <t>Reclusão</t>
        </is>
      </c>
      <c r="G353" s="7" t="inlineStr">
        <is>
          <t>Pública Incondicionada</t>
        </is>
      </c>
      <c r="H353" s="7" t="inlineStr">
        <is>
          <t>Não</t>
        </is>
      </c>
      <c r="I353" s="7" t="inlineStr">
        <is>
          <t>Doloso</t>
        </is>
      </c>
      <c r="J353" s="7" t="inlineStr">
        <is>
          <t>Sim</t>
        </is>
      </c>
      <c r="K353" s="16" t="inlineStr">
        <is>
          <t>§1º-§5º: diversas formas de falsificação de papéis públicos, bilhetes de transporte, etc.</t>
        </is>
      </c>
      <c r="L353" s="16" t="inlineStr">
        <is>
          <t>2-8 anos para selo/estampilha/papel selado. 1-5 anos para bilhetes de transporte</t>
        </is>
      </c>
      <c r="M353" s="7" t="inlineStr">
        <is>
          <t>Sim</t>
        </is>
      </c>
      <c r="N353" s="7" t="inlineStr">
        <is>
          <t>Não</t>
        </is>
      </c>
    </row>
    <row r="354">
      <c r="A354" s="7" t="inlineStr">
        <is>
          <t>CP</t>
        </is>
      </c>
      <c r="B354" s="7" t="inlineStr">
        <is>
          <t>Art. 294</t>
        </is>
      </c>
      <c r="C354" s="16" t="inlineStr">
        <is>
          <t>Petrechos de falsificação de papéis públicos</t>
        </is>
      </c>
      <c r="D354" s="7" t="n">
        <v>12</v>
      </c>
      <c r="E354" s="7" t="n">
        <v>72</v>
      </c>
      <c r="F354" s="7" t="inlineStr">
        <is>
          <t>Reclusão</t>
        </is>
      </c>
      <c r="G354" s="7" t="inlineStr">
        <is>
          <t>Pública Incondicionada</t>
        </is>
      </c>
      <c r="H354" s="7" t="inlineStr">
        <is>
          <t>Não</t>
        </is>
      </c>
      <c r="I354" s="7" t="inlineStr">
        <is>
          <t>Doloso</t>
        </is>
      </c>
      <c r="J354" s="7" t="inlineStr">
        <is>
          <t>Sim</t>
        </is>
      </c>
      <c r="K354" s="16" t="inlineStr">
        <is>
          <t>—</t>
        </is>
      </c>
      <c r="L354" s="16" t="inlineStr">
        <is>
          <t>Fabricar/adquirir/fornecer petrechos para falsificação de papéis públicos</t>
        </is>
      </c>
      <c r="M354" s="7" t="inlineStr">
        <is>
          <t>Sim</t>
        </is>
      </c>
      <c r="N354" s="7" t="inlineStr">
        <is>
          <t>Sim</t>
        </is>
      </c>
    </row>
    <row r="355">
      <c r="A355" s="19" t="inlineStr">
        <is>
          <t>CP</t>
        </is>
      </c>
      <c r="B355" s="19" t="inlineStr">
        <is>
          <t>Art. 295</t>
        </is>
      </c>
      <c r="C355" s="20" t="inlineStr">
        <is>
          <t>Falsificação em prejuízo da fazenda pública (equiparada a documento público)</t>
        </is>
      </c>
      <c r="D355" s="19" t="inlineStr">
        <is>
          <t>—</t>
        </is>
      </c>
      <c r="E355" s="19" t="inlineStr">
        <is>
          <t>—</t>
        </is>
      </c>
      <c r="F355" s="19" t="inlineStr">
        <is>
          <t>—</t>
        </is>
      </c>
      <c r="G355" s="19" t="inlineStr">
        <is>
          <t>—</t>
        </is>
      </c>
      <c r="H355" s="19" t="inlineStr">
        <is>
          <t>—</t>
        </is>
      </c>
      <c r="I355" s="19" t="inlineStr">
        <is>
          <t>—</t>
        </is>
      </c>
      <c r="J355" s="19" t="inlineStr">
        <is>
          <t>—</t>
        </is>
      </c>
      <c r="K355" s="20" t="inlineStr">
        <is>
          <t>Equipara-se a documento público o emanado de entidade paraestatal, título ao portador ou transmissível por endosso, ações de sociedade comercial, livros mercantis, testamento particular</t>
        </is>
      </c>
      <c r="L355" s="20" t="inlineStr">
        <is>
          <t>Norma extensiva do conceito de documento público para fins dos Arts. 297 e 298</t>
        </is>
      </c>
      <c r="M355" s="19" t="inlineStr">
        <is>
          <t>—</t>
        </is>
      </c>
      <c r="N355" s="19" t="inlineStr">
        <is>
          <t>—</t>
        </is>
      </c>
    </row>
    <row r="356">
      <c r="A356" s="7" t="inlineStr">
        <is>
          <t>CP</t>
        </is>
      </c>
      <c r="B356" s="7" t="inlineStr">
        <is>
          <t>Art. 296</t>
        </is>
      </c>
      <c r="C356" s="16" t="inlineStr">
        <is>
          <t>Falsificação de selo ou sinal público</t>
        </is>
      </c>
      <c r="D356" s="7" t="n">
        <v>24</v>
      </c>
      <c r="E356" s="7" t="n">
        <v>72</v>
      </c>
      <c r="F356" s="7" t="inlineStr">
        <is>
          <t>Reclusão</t>
        </is>
      </c>
      <c r="G356" s="7" t="inlineStr">
        <is>
          <t>Pública Incondicionada</t>
        </is>
      </c>
      <c r="H356" s="7" t="inlineStr">
        <is>
          <t>Não</t>
        </is>
      </c>
      <c r="I356" s="7" t="inlineStr">
        <is>
          <t>Doloso</t>
        </is>
      </c>
      <c r="J356" s="7" t="inlineStr">
        <is>
          <t>Sim</t>
        </is>
      </c>
      <c r="K356" s="16" t="inlineStr">
        <is>
          <t>§1º: mesma pena para falsificação de selo de tabelião, autenticação, carimbo de órgão público. §2º: +1/3 se funcionário público</t>
        </is>
      </c>
      <c r="L356" s="16" t="inlineStr">
        <is>
          <t>Falsificar selo público destinado a autenticar atos oficiais</t>
        </is>
      </c>
      <c r="M356" s="7" t="inlineStr">
        <is>
          <t>Sim</t>
        </is>
      </c>
      <c r="N356" s="7" t="inlineStr">
        <is>
          <t>Não</t>
        </is>
      </c>
    </row>
    <row r="357">
      <c r="A357" s="7" t="inlineStr">
        <is>
          <t>CP</t>
        </is>
      </c>
      <c r="B357" s="7" t="inlineStr">
        <is>
          <t>Art. 300</t>
        </is>
      </c>
      <c r="C357" s="16" t="inlineStr">
        <is>
          <t>Reconhecimento de firma ou letra falsa</t>
        </is>
      </c>
      <c r="D357" s="7" t="n">
        <v>12</v>
      </c>
      <c r="E357" s="7" t="n">
        <v>60</v>
      </c>
      <c r="F357" s="7" t="inlineStr">
        <is>
          <t>Reclusão</t>
        </is>
      </c>
      <c r="G357" s="7" t="inlineStr">
        <is>
          <t>Pública Incondicionada</t>
        </is>
      </c>
      <c r="H357" s="7" t="inlineStr">
        <is>
          <t>Não</t>
        </is>
      </c>
      <c r="I357" s="7" t="inlineStr">
        <is>
          <t>Doloso</t>
        </is>
      </c>
      <c r="J357" s="7" t="inlineStr">
        <is>
          <t>Sim</t>
        </is>
      </c>
      <c r="K357" s="16" t="inlineStr">
        <is>
          <t>—</t>
        </is>
      </c>
      <c r="L357" s="16" t="inlineStr">
        <is>
          <t>Crime próprio: tabelião/oficial de registro</t>
        </is>
      </c>
      <c r="M357" s="7" t="inlineStr">
        <is>
          <t>Sim</t>
        </is>
      </c>
      <c r="N357" s="7" t="inlineStr">
        <is>
          <t>Sim</t>
        </is>
      </c>
    </row>
    <row r="358">
      <c r="A358" s="7" t="inlineStr">
        <is>
          <t>CP</t>
        </is>
      </c>
      <c r="B358" s="7" t="inlineStr">
        <is>
          <t>Art. 301</t>
        </is>
      </c>
      <c r="C358" s="16" t="inlineStr">
        <is>
          <t>Certidão ou atestado ideologicamente falso</t>
        </is>
      </c>
      <c r="D358" s="7" t="n">
        <v>2</v>
      </c>
      <c r="E358" s="7" t="n">
        <v>6</v>
      </c>
      <c r="F358" s="7" t="inlineStr">
        <is>
          <t>Detenção</t>
        </is>
      </c>
      <c r="G358" s="7" t="inlineStr">
        <is>
          <t>Pública Incondicionada</t>
        </is>
      </c>
      <c r="H358" s="7" t="inlineStr">
        <is>
          <t>Não</t>
        </is>
      </c>
      <c r="I358" s="7" t="inlineStr">
        <is>
          <t>Doloso</t>
        </is>
      </c>
      <c r="J358" s="7" t="inlineStr">
        <is>
          <t>Sim</t>
        </is>
      </c>
      <c r="K358" s="16" t="inlineStr">
        <is>
          <t>§1º: falsidade material de atestado ou certidão = mesma pena. §2º: uso de atestado falso = mesma pena</t>
        </is>
      </c>
      <c r="L358" s="16" t="inlineStr">
        <is>
          <t>2-6 meses</t>
        </is>
      </c>
      <c r="M358" s="7" t="inlineStr">
        <is>
          <t>Sim</t>
        </is>
      </c>
      <c r="N358" s="7" t="inlineStr">
        <is>
          <t>Sim</t>
        </is>
      </c>
    </row>
    <row r="359">
      <c r="A359" s="7" t="inlineStr">
        <is>
          <t>CP</t>
        </is>
      </c>
      <c r="B359" s="7" t="inlineStr">
        <is>
          <t>Art. 303</t>
        </is>
      </c>
      <c r="C359" s="16" t="inlineStr">
        <is>
          <t>Reprodução ou adulteração de selo ou peça filatélica com valor para coleção</t>
        </is>
      </c>
      <c r="D359" s="7" t="n">
        <v>12</v>
      </c>
      <c r="E359" s="7" t="n">
        <v>36</v>
      </c>
      <c r="F359" s="7" t="inlineStr">
        <is>
          <t>Detenção</t>
        </is>
      </c>
      <c r="G359" s="7" t="inlineStr">
        <is>
          <t>Pública Incondicionada</t>
        </is>
      </c>
      <c r="H359" s="7" t="inlineStr">
        <is>
          <t>Não</t>
        </is>
      </c>
      <c r="I359" s="7" t="inlineStr">
        <is>
          <t>Doloso</t>
        </is>
      </c>
      <c r="J359" s="7" t="inlineStr">
        <is>
          <t>Sim</t>
        </is>
      </c>
      <c r="K359" s="16" t="inlineStr">
        <is>
          <t>—</t>
        </is>
      </c>
      <c r="L359" s="16" t="inlineStr">
        <is>
          <t>1-3 anos</t>
        </is>
      </c>
      <c r="M359" s="7" t="inlineStr">
        <is>
          <t>Sim</t>
        </is>
      </c>
      <c r="N359" s="7" t="inlineStr">
        <is>
          <t>Sim</t>
        </is>
      </c>
    </row>
    <row r="360">
      <c r="A360" s="7" t="inlineStr">
        <is>
          <t>CP</t>
        </is>
      </c>
      <c r="B360" s="7" t="inlineStr">
        <is>
          <t>Art. 305</t>
        </is>
      </c>
      <c r="C360" s="16" t="inlineStr">
        <is>
          <t>Supressão de documento</t>
        </is>
      </c>
      <c r="D360" s="7" t="n">
        <v>24</v>
      </c>
      <c r="E360" s="7" t="n">
        <v>72</v>
      </c>
      <c r="F360" s="7" t="inlineStr">
        <is>
          <t>Reclusão</t>
        </is>
      </c>
      <c r="G360" s="7" t="inlineStr">
        <is>
          <t>Pública Incondicionada</t>
        </is>
      </c>
      <c r="H360" s="7" t="inlineStr">
        <is>
          <t>Não</t>
        </is>
      </c>
      <c r="I360" s="7" t="inlineStr">
        <is>
          <t>Doloso</t>
        </is>
      </c>
      <c r="J360" s="7" t="inlineStr">
        <is>
          <t>Sim</t>
        </is>
      </c>
      <c r="K360" s="16" t="inlineStr">
        <is>
          <t>—</t>
        </is>
      </c>
      <c r="L360" s="16" t="inlineStr">
        <is>
          <t>Destruir/suprimir/ocultar documento público ou particular verdadeiro de que não podia dispor</t>
        </is>
      </c>
      <c r="M360" s="7" t="inlineStr">
        <is>
          <t>Sim</t>
        </is>
      </c>
      <c r="N360" s="7" t="inlineStr">
        <is>
          <t>Não</t>
        </is>
      </c>
    </row>
    <row r="361">
      <c r="A361" s="7" t="inlineStr">
        <is>
          <t>CP</t>
        </is>
      </c>
      <c r="B361" s="7" t="inlineStr">
        <is>
          <t>Art. 306</t>
        </is>
      </c>
      <c r="C361" s="16" t="inlineStr">
        <is>
          <t>Falsificação do sinal empregado no contraste de metal precioso</t>
        </is>
      </c>
      <c r="D361" s="7" t="n">
        <v>24</v>
      </c>
      <c r="E361" s="7" t="n">
        <v>72</v>
      </c>
      <c r="F361" s="7" t="inlineStr">
        <is>
          <t>Reclusão</t>
        </is>
      </c>
      <c r="G361" s="7" t="inlineStr">
        <is>
          <t>Pública Incondicionada</t>
        </is>
      </c>
      <c r="H361" s="7" t="inlineStr">
        <is>
          <t>Não</t>
        </is>
      </c>
      <c r="I361" s="7" t="inlineStr">
        <is>
          <t>Doloso</t>
        </is>
      </c>
      <c r="J361" s="7" t="inlineStr">
        <is>
          <t>Sim</t>
        </is>
      </c>
      <c r="K361" s="16" t="inlineStr">
        <is>
          <t>—</t>
        </is>
      </c>
      <c r="L361" s="16" t="inlineStr">
        <is>
          <t>2-6 anos</t>
        </is>
      </c>
      <c r="M361" s="7" t="inlineStr">
        <is>
          <t>Sim</t>
        </is>
      </c>
      <c r="N361" s="7" t="inlineStr">
        <is>
          <t>Não</t>
        </is>
      </c>
    </row>
    <row r="362">
      <c r="A362" s="7" t="inlineStr">
        <is>
          <t>CP</t>
        </is>
      </c>
      <c r="B362" s="7" t="inlineStr">
        <is>
          <t>Art. 309</t>
        </is>
      </c>
      <c r="C362" s="16" t="inlineStr">
        <is>
          <t>Fraude de lei sobre estrangeiros</t>
        </is>
      </c>
      <c r="D362" s="7" t="n">
        <v>12</v>
      </c>
      <c r="E362" s="7" t="n">
        <v>48</v>
      </c>
      <c r="F362" s="7" t="inlineStr">
        <is>
          <t>Detenção</t>
        </is>
      </c>
      <c r="G362" s="7" t="inlineStr">
        <is>
          <t>Pública Incondicionada</t>
        </is>
      </c>
      <c r="H362" s="7" t="inlineStr">
        <is>
          <t>Não</t>
        </is>
      </c>
      <c r="I362" s="7" t="inlineStr">
        <is>
          <t>Doloso</t>
        </is>
      </c>
      <c r="J362" s="7" t="inlineStr">
        <is>
          <t>Sim</t>
        </is>
      </c>
      <c r="K362" s="16" t="inlineStr">
        <is>
          <t>—</t>
        </is>
      </c>
      <c r="L362" s="16" t="inlineStr">
        <is>
          <t>Usar nome diferente do registrado no documento de ingresso no país</t>
        </is>
      </c>
      <c r="M362" s="7" t="inlineStr">
        <is>
          <t>Sim</t>
        </is>
      </c>
      <c r="N362" s="7" t="inlineStr">
        <is>
          <t>Sim</t>
        </is>
      </c>
    </row>
    <row r="363">
      <c r="A363" s="7" t="inlineStr">
        <is>
          <t>CP</t>
        </is>
      </c>
      <c r="B363" s="7" t="inlineStr">
        <is>
          <t>Art. 310</t>
        </is>
      </c>
      <c r="C363" s="16" t="inlineStr">
        <is>
          <t>Prestação de informação falsa sobre estrangeiro</t>
        </is>
      </c>
      <c r="D363" s="7" t="n">
        <v>3</v>
      </c>
      <c r="E363" s="7" t="n">
        <v>12</v>
      </c>
      <c r="F363" s="7" t="inlineStr">
        <is>
          <t>Detenção</t>
        </is>
      </c>
      <c r="G363" s="7" t="inlineStr">
        <is>
          <t>Pública Incondicionada</t>
        </is>
      </c>
      <c r="H363" s="7" t="inlineStr">
        <is>
          <t>Não</t>
        </is>
      </c>
      <c r="I363" s="7" t="inlineStr">
        <is>
          <t>Doloso</t>
        </is>
      </c>
      <c r="J363" s="7" t="inlineStr">
        <is>
          <t>Sim</t>
        </is>
      </c>
      <c r="K363" s="16" t="inlineStr">
        <is>
          <t>—</t>
        </is>
      </c>
      <c r="L363" s="16" t="inlineStr">
        <is>
          <t>3 meses a 1 ano</t>
        </is>
      </c>
      <c r="M363" s="7" t="inlineStr">
        <is>
          <t>Sim</t>
        </is>
      </c>
      <c r="N363" s="7" t="inlineStr">
        <is>
          <t>Sim</t>
        </is>
      </c>
    </row>
    <row r="364">
      <c r="A364" s="7" t="inlineStr">
        <is>
          <t>CP</t>
        </is>
      </c>
      <c r="B364" s="7" t="inlineStr">
        <is>
          <t>Art. 311</t>
        </is>
      </c>
      <c r="C364" s="16" t="inlineStr">
        <is>
          <t>Adulteração de sinal identificador de veículo automotor</t>
        </is>
      </c>
      <c r="D364" s="7" t="n">
        <v>36</v>
      </c>
      <c r="E364" s="7" t="n">
        <v>72</v>
      </c>
      <c r="F364" s="7" t="inlineStr">
        <is>
          <t>Reclusão</t>
        </is>
      </c>
      <c r="G364" s="7" t="inlineStr">
        <is>
          <t>Pública Incondicionada</t>
        </is>
      </c>
      <c r="H364" s="7" t="inlineStr">
        <is>
          <t>Não</t>
        </is>
      </c>
      <c r="I364" s="7" t="inlineStr">
        <is>
          <t>Doloso</t>
        </is>
      </c>
      <c r="J364" s="7" t="inlineStr">
        <is>
          <t>Sim</t>
        </is>
      </c>
      <c r="K364" s="16" t="inlineStr">
        <is>
          <t>§1º: mesma pena se remarca chassi. §2º: +1/3 a +1/2 se para facilitar crime contra patrimônio</t>
        </is>
      </c>
      <c r="L364" s="16" t="inlineStr">
        <is>
          <t>Adulterar/remarcar nº chassi/placa de veículo automotor</t>
        </is>
      </c>
      <c r="M364" s="7" t="inlineStr">
        <is>
          <t>Sim</t>
        </is>
      </c>
      <c r="N364" s="7" t="inlineStr">
        <is>
          <t>Não</t>
        </is>
      </c>
    </row>
    <row r="365">
      <c r="A365" s="7" t="inlineStr">
        <is>
          <t>CP</t>
        </is>
      </c>
      <c r="B365" s="7" t="inlineStr">
        <is>
          <t>Art. 316, §2º</t>
        </is>
      </c>
      <c r="C365" s="16" t="inlineStr">
        <is>
          <t>Excesso de exação — desvio</t>
        </is>
      </c>
      <c r="D365" s="7" t="n">
        <v>24</v>
      </c>
      <c r="E365" s="7" t="n">
        <v>144</v>
      </c>
      <c r="F365" s="7" t="inlineStr">
        <is>
          <t>Reclusão</t>
        </is>
      </c>
      <c r="G365" s="7" t="inlineStr">
        <is>
          <t>Pública Incondicionada</t>
        </is>
      </c>
      <c r="H365" s="7" t="inlineStr">
        <is>
          <t>Não</t>
        </is>
      </c>
      <c r="I365" s="7" t="inlineStr">
        <is>
          <t>Doloso</t>
        </is>
      </c>
      <c r="J365" s="7" t="inlineStr">
        <is>
          <t>Sim</t>
        </is>
      </c>
      <c r="K365" s="16" t="inlineStr">
        <is>
          <t>—</t>
        </is>
      </c>
      <c r="L365" s="16" t="inlineStr">
        <is>
          <t>Desviar em proveito próprio/alheio o que recebeu indevidamente no exercício do cargo</t>
        </is>
      </c>
      <c r="M365" s="7" t="inlineStr">
        <is>
          <t>Sim</t>
        </is>
      </c>
      <c r="N365" s="7" t="inlineStr">
        <is>
          <t>Não</t>
        </is>
      </c>
    </row>
    <row r="366">
      <c r="A366" s="7" t="inlineStr">
        <is>
          <t>CP</t>
        </is>
      </c>
      <c r="B366" s="7" t="inlineStr">
        <is>
          <t>Art. 322</t>
        </is>
      </c>
      <c r="C366" s="16" t="inlineStr">
        <is>
          <t>Violência arbitrária</t>
        </is>
      </c>
      <c r="D366" s="7" t="n">
        <v>6</v>
      </c>
      <c r="E366" s="7" t="n">
        <v>36</v>
      </c>
      <c r="F366" s="7" t="inlineStr">
        <is>
          <t>Detenção</t>
        </is>
      </c>
      <c r="G366" s="7" t="inlineStr">
        <is>
          <t>Pública Incondicionada</t>
        </is>
      </c>
      <c r="H366" s="7" t="inlineStr">
        <is>
          <t>Não</t>
        </is>
      </c>
      <c r="I366" s="7" t="inlineStr">
        <is>
          <t>Doloso</t>
        </is>
      </c>
      <c r="J366" s="7" t="inlineStr">
        <is>
          <t>Sim</t>
        </is>
      </c>
      <c r="K366" s="16" t="inlineStr">
        <is>
          <t>—</t>
        </is>
      </c>
      <c r="L366" s="16" t="inlineStr">
        <is>
          <t>Praticar violência no exercício da função ou a pretexto de exercê-la. Art. revogado tacitamente pela Lei de Abuso de Autoridade (13.869/19) segundo parte da doutrina</t>
        </is>
      </c>
      <c r="M366" s="7" t="inlineStr">
        <is>
          <t>Verificar</t>
        </is>
      </c>
      <c r="N366" s="7" t="inlineStr">
        <is>
          <t>Sim</t>
        </is>
      </c>
    </row>
    <row r="367">
      <c r="A367" s="7" t="inlineStr">
        <is>
          <t>CP</t>
        </is>
      </c>
      <c r="B367" s="7" t="inlineStr">
        <is>
          <t>Art. 323</t>
        </is>
      </c>
      <c r="C367" s="16" t="inlineStr">
        <is>
          <t>Abandono de função</t>
        </is>
      </c>
      <c r="D367" s="7" t="n">
        <v>15</v>
      </c>
      <c r="E367" s="7" t="n">
        <v>1</v>
      </c>
      <c r="F367" s="7" t="inlineStr">
        <is>
          <t>Detenção</t>
        </is>
      </c>
      <c r="G367" s="7" t="inlineStr">
        <is>
          <t>Pública Incondicionada</t>
        </is>
      </c>
      <c r="H367" s="7" t="inlineStr">
        <is>
          <t>Não</t>
        </is>
      </c>
      <c r="I367" s="7" t="inlineStr">
        <is>
          <t>Doloso</t>
        </is>
      </c>
      <c r="J367" s="7" t="inlineStr">
        <is>
          <t>Controverso</t>
        </is>
      </c>
      <c r="K367" s="16" t="inlineStr">
        <is>
          <t>§1º: +1/3 se resulta prejuízo público. §2º: 1-3 meses se cargo em região de fronteira</t>
        </is>
      </c>
      <c r="L367" s="16" t="inlineStr">
        <is>
          <t>15 dias a 1 mês</t>
        </is>
      </c>
      <c r="M367" s="7" t="inlineStr">
        <is>
          <t>Sim</t>
        </is>
      </c>
      <c r="N367" s="7" t="inlineStr">
        <is>
          <t>Não</t>
        </is>
      </c>
    </row>
    <row r="368">
      <c r="A368" s="7" t="inlineStr">
        <is>
          <t>CP</t>
        </is>
      </c>
      <c r="B368" s="7" t="inlineStr">
        <is>
          <t>Art. 324</t>
        </is>
      </c>
      <c r="C368" s="16" t="inlineStr">
        <is>
          <t>Exercício funcional ilegalmente antecipado ou prolongado</t>
        </is>
      </c>
      <c r="D368" s="7" t="n">
        <v>15</v>
      </c>
      <c r="E368" s="7" t="n">
        <v>1</v>
      </c>
      <c r="F368" s="7" t="inlineStr">
        <is>
          <t>Detenção</t>
        </is>
      </c>
      <c r="G368" s="7" t="inlineStr">
        <is>
          <t>Pública Incondicionada</t>
        </is>
      </c>
      <c r="H368" s="7" t="inlineStr">
        <is>
          <t>Não</t>
        </is>
      </c>
      <c r="I368" s="7" t="inlineStr">
        <is>
          <t>Doloso</t>
        </is>
      </c>
      <c r="J368" s="7" t="inlineStr">
        <is>
          <t>Controverso</t>
        </is>
      </c>
      <c r="K368" s="16" t="inlineStr">
        <is>
          <t>—</t>
        </is>
      </c>
      <c r="L368" s="16" t="inlineStr">
        <is>
          <t>15 dias a 1 mês. Entrar no exercício antes do ato de nomeação ou continuar após saber da exoneração</t>
        </is>
      </c>
      <c r="M368" s="7" t="inlineStr">
        <is>
          <t>Sim</t>
        </is>
      </c>
      <c r="N368" s="7" t="inlineStr">
        <is>
          <t>Não</t>
        </is>
      </c>
    </row>
    <row r="369">
      <c r="A369" s="7" t="inlineStr">
        <is>
          <t>CP</t>
        </is>
      </c>
      <c r="B369" s="7" t="inlineStr">
        <is>
          <t>Art. 326</t>
        </is>
      </c>
      <c r="C369" s="16" t="inlineStr">
        <is>
          <t>Violação do sigilo de proposta de concorrência</t>
        </is>
      </c>
      <c r="D369" s="7" t="n">
        <v>3</v>
      </c>
      <c r="E369" s="7" t="n">
        <v>12</v>
      </c>
      <c r="F369" s="7" t="inlineStr">
        <is>
          <t>Detenção</t>
        </is>
      </c>
      <c r="G369" s="7" t="inlineStr">
        <is>
          <t>Pública Incondicionada</t>
        </is>
      </c>
      <c r="H369" s="7" t="inlineStr">
        <is>
          <t>Não</t>
        </is>
      </c>
      <c r="I369" s="7" t="inlineStr">
        <is>
          <t>Doloso</t>
        </is>
      </c>
      <c r="J369" s="7" t="inlineStr">
        <is>
          <t>Sim</t>
        </is>
      </c>
      <c r="K369" s="16" t="inlineStr">
        <is>
          <t>—</t>
        </is>
      </c>
      <c r="L369" s="16" t="inlineStr">
        <is>
          <t>3 meses a 1 ano. Revogado tacitamente pela Lei 14.133/2021 segundo parte da doutrina</t>
        </is>
      </c>
      <c r="M369" s="7" t="inlineStr">
        <is>
          <t>Sim</t>
        </is>
      </c>
      <c r="N369" s="7" t="inlineStr">
        <is>
          <t>Sim</t>
        </is>
      </c>
    </row>
    <row r="370">
      <c r="A370" s="19" t="inlineStr">
        <is>
          <t>CP</t>
        </is>
      </c>
      <c r="B370" s="19" t="inlineStr">
        <is>
          <t>Art. 327</t>
        </is>
      </c>
      <c r="C370" s="20" t="inlineStr">
        <is>
          <t>Funcionário público — conceito (não é tipo penal)</t>
        </is>
      </c>
      <c r="D370" s="19" t="inlineStr">
        <is>
          <t>—</t>
        </is>
      </c>
      <c r="E370" s="19" t="inlineStr">
        <is>
          <t>—</t>
        </is>
      </c>
      <c r="F370" s="19" t="inlineStr">
        <is>
          <t>—</t>
        </is>
      </c>
      <c r="G370" s="19" t="inlineStr">
        <is>
          <t>—</t>
        </is>
      </c>
      <c r="H370" s="19" t="inlineStr">
        <is>
          <t>—</t>
        </is>
      </c>
      <c r="I370" s="19" t="inlineStr">
        <is>
          <t>—</t>
        </is>
      </c>
      <c r="J370" s="19" t="inlineStr">
        <is>
          <t>—</t>
        </is>
      </c>
      <c r="K370" s="20" t="inlineStr">
        <is>
          <t>Caput: quem exerce cargo/emprego/função pública, mesmo transitoriamente/sem remuneração. §1º: equiparado: empregado de empresa prestadora de serviço contratada/conveniada para execução de atividade da AP. §2º: +1/3 se funcionário público que ocupa função de direção/assessoramento (cargo em comissão/função de confiança)</t>
        </is>
      </c>
      <c r="L370" s="20" t="inlineStr">
        <is>
          <t>Norma interpretativa — define quem é funcionário público para fins penais. §1º: funcionário público por equiparação. §2º: causa de aumento genérica</t>
        </is>
      </c>
      <c r="M370" s="19" t="inlineStr">
        <is>
          <t>—</t>
        </is>
      </c>
      <c r="N370" s="19" t="inlineStr">
        <is>
          <t>—</t>
        </is>
      </c>
    </row>
    <row r="371">
      <c r="A371" s="7" t="inlineStr">
        <is>
          <t>CP</t>
        </is>
      </c>
      <c r="B371" s="7" t="inlineStr">
        <is>
          <t>Art. 335</t>
        </is>
      </c>
      <c r="C371" s="16" t="inlineStr">
        <is>
          <t>Impedimento, perturbação ou fraude de concorrência</t>
        </is>
      </c>
      <c r="D371" s="7" t="n">
        <v>6</v>
      </c>
      <c r="E371" s="7" t="n">
        <v>24</v>
      </c>
      <c r="F371" s="7" t="inlineStr">
        <is>
          <t>Detenção</t>
        </is>
      </c>
      <c r="G371" s="7" t="inlineStr">
        <is>
          <t>Pública Incondicionada</t>
        </is>
      </c>
      <c r="H371" s="7" t="inlineStr">
        <is>
          <t>Não</t>
        </is>
      </c>
      <c r="I371" s="7" t="inlineStr">
        <is>
          <t>Doloso</t>
        </is>
      </c>
      <c r="J371" s="7" t="inlineStr">
        <is>
          <t>Sim</t>
        </is>
      </c>
      <c r="K371" s="16" t="inlineStr">
        <is>
          <t>—</t>
        </is>
      </c>
      <c r="L371" s="16" t="inlineStr">
        <is>
          <t>Impedir/perturbar/fraudar concorrência pública ou venda em hasta pública</t>
        </is>
      </c>
      <c r="M371" s="7" t="inlineStr">
        <is>
          <t>Sim</t>
        </is>
      </c>
      <c r="N371" s="7" t="inlineStr">
        <is>
          <t>Sim</t>
        </is>
      </c>
    </row>
    <row r="372">
      <c r="A372" s="7" t="inlineStr">
        <is>
          <t>CP</t>
        </is>
      </c>
      <c r="B372" s="7" t="inlineStr">
        <is>
          <t>Art. 336</t>
        </is>
      </c>
      <c r="C372" s="16" t="inlineStr">
        <is>
          <t>Inutilização de edital ou sinal</t>
        </is>
      </c>
      <c r="D372" s="7" t="n">
        <v>1</v>
      </c>
      <c r="E372" s="7" t="n">
        <v>12</v>
      </c>
      <c r="F372" s="7" t="inlineStr">
        <is>
          <t>Detenção</t>
        </is>
      </c>
      <c r="G372" s="7" t="inlineStr">
        <is>
          <t>Pública Incondicionada</t>
        </is>
      </c>
      <c r="H372" s="7" t="inlineStr">
        <is>
          <t>Não</t>
        </is>
      </c>
      <c r="I372" s="7" t="inlineStr">
        <is>
          <t>Doloso</t>
        </is>
      </c>
      <c r="J372" s="7" t="inlineStr">
        <is>
          <t>Sim</t>
        </is>
      </c>
      <c r="K372" s="16" t="inlineStr">
        <is>
          <t>—</t>
        </is>
      </c>
      <c r="L372" s="16" t="inlineStr">
        <is>
          <t>1 mês a 1 ano. Rasgar/inutilizar edital afixado por ordem de funcionário público</t>
        </is>
      </c>
      <c r="M372" s="7" t="inlineStr">
        <is>
          <t>Sim</t>
        </is>
      </c>
      <c r="N372" s="7" t="inlineStr">
        <is>
          <t>Sim</t>
        </is>
      </c>
    </row>
    <row r="373">
      <c r="A373" s="7" t="inlineStr">
        <is>
          <t>CP</t>
        </is>
      </c>
      <c r="B373" s="7" t="inlineStr">
        <is>
          <t>Art. 337</t>
        </is>
      </c>
      <c r="C373" s="16" t="inlineStr">
        <is>
          <t>Subtração ou inutilização de livro ou documento</t>
        </is>
      </c>
      <c r="D373" s="7" t="n">
        <v>24</v>
      </c>
      <c r="E373" s="7" t="n">
        <v>60</v>
      </c>
      <c r="F373" s="7" t="inlineStr">
        <is>
          <t>Reclusão</t>
        </is>
      </c>
      <c r="G373" s="7" t="inlineStr">
        <is>
          <t>Pública Incondicionada</t>
        </is>
      </c>
      <c r="H373" s="7" t="inlineStr">
        <is>
          <t>Não</t>
        </is>
      </c>
      <c r="I373" s="7" t="inlineStr">
        <is>
          <t>Doloso</t>
        </is>
      </c>
      <c r="J373" s="7" t="inlineStr">
        <is>
          <t>Sim</t>
        </is>
      </c>
      <c r="K373" s="16" t="inlineStr">
        <is>
          <t>—</t>
        </is>
      </c>
      <c r="L373" s="16" t="inlineStr">
        <is>
          <t>Subtrair/ocultar/inutilizar/destruir livro ou documento de que tem guarda em razão da função. Crime praticado por particular contra a AP (diferente do Art. 314 que é praticado por funcionário)</t>
        </is>
      </c>
      <c r="M373" s="7" t="inlineStr">
        <is>
          <t>Sim</t>
        </is>
      </c>
      <c r="N373" s="7" t="inlineStr">
        <is>
          <t>Não</t>
        </is>
      </c>
    </row>
    <row r="374">
      <c r="A374" s="7" t="inlineStr">
        <is>
          <t>CP</t>
        </is>
      </c>
      <c r="B374" s="7" t="inlineStr">
        <is>
          <t>Art. 338</t>
        </is>
      </c>
      <c r="C374" s="16" t="inlineStr">
        <is>
          <t>Reingresso de estrangeiro expulso</t>
        </is>
      </c>
      <c r="D374" s="7" t="n">
        <v>12</v>
      </c>
      <c r="E374" s="7" t="n">
        <v>48</v>
      </c>
      <c r="F374" s="7" t="inlineStr">
        <is>
          <t>Reclusão</t>
        </is>
      </c>
      <c r="G374" s="7" t="inlineStr">
        <is>
          <t>Pública Incondicionada</t>
        </is>
      </c>
      <c r="H374" s="7" t="inlineStr">
        <is>
          <t>Não</t>
        </is>
      </c>
      <c r="I374" s="7" t="inlineStr">
        <is>
          <t>Doloso</t>
        </is>
      </c>
      <c r="J374" s="7" t="inlineStr">
        <is>
          <t>Sim</t>
        </is>
      </c>
      <c r="K374" s="16" t="inlineStr">
        <is>
          <t>—</t>
        </is>
      </c>
      <c r="L374" s="16" t="inlineStr">
        <is>
          <t>Reingressar no território nacional após ter sido dele expulso. Competência: Justiça Federal</t>
        </is>
      </c>
      <c r="M374" s="7" t="inlineStr">
        <is>
          <t>Sim</t>
        </is>
      </c>
      <c r="N374" s="7" t="inlineStr">
        <is>
          <t>Sim</t>
        </is>
      </c>
    </row>
    <row r="375">
      <c r="A375" s="7" t="inlineStr">
        <is>
          <t>CP</t>
        </is>
      </c>
      <c r="B375" s="7" t="inlineStr">
        <is>
          <t>Art. 346</t>
        </is>
      </c>
      <c r="C375" s="16" t="inlineStr">
        <is>
          <t>Tirar, suprimir, destruir ou danificar coisa própria sob custódia/apreensão</t>
        </is>
      </c>
      <c r="D375" s="7" t="n">
        <v>6</v>
      </c>
      <c r="E375" s="7" t="n">
        <v>24</v>
      </c>
      <c r="F375" s="7" t="inlineStr">
        <is>
          <t>Detenção</t>
        </is>
      </c>
      <c r="G375" s="7" t="inlineStr">
        <is>
          <t>Pública Incondicionada</t>
        </is>
      </c>
      <c r="H375" s="7" t="inlineStr">
        <is>
          <t>Não</t>
        </is>
      </c>
      <c r="I375" s="7" t="inlineStr">
        <is>
          <t>Doloso</t>
        </is>
      </c>
      <c r="J375" s="7" t="inlineStr">
        <is>
          <t>Sim</t>
        </is>
      </c>
      <c r="K375" s="16" t="inlineStr">
        <is>
          <t>—</t>
        </is>
      </c>
      <c r="L375" s="16" t="inlineStr">
        <is>
          <t>6 meses a 2 anos. Tirar/suprimir/destruir/danificar coisa própria que se acha em poder de terceiro por determinação judicial ou convenção</t>
        </is>
      </c>
      <c r="M375" s="7" t="inlineStr">
        <is>
          <t>Sim</t>
        </is>
      </c>
      <c r="N375" s="7" t="inlineStr">
        <is>
          <t>Sim</t>
        </is>
      </c>
    </row>
    <row r="376">
      <c r="A376" s="7" t="inlineStr">
        <is>
          <t>CP</t>
        </is>
      </c>
      <c r="B376" s="7" t="inlineStr">
        <is>
          <t>Art. 353</t>
        </is>
      </c>
      <c r="C376" s="16" t="inlineStr">
        <is>
          <t>Arrebatamento de preso</t>
        </is>
      </c>
      <c r="D376" s="7" t="n">
        <v>12</v>
      </c>
      <c r="E376" s="7" t="n">
        <v>36</v>
      </c>
      <c r="F376" s="7" t="inlineStr">
        <is>
          <t>Reclusão</t>
        </is>
      </c>
      <c r="G376" s="7" t="inlineStr">
        <is>
          <t>Pública Incondicionada</t>
        </is>
      </c>
      <c r="H376" s="7" t="inlineStr">
        <is>
          <t>Não</t>
        </is>
      </c>
      <c r="I376" s="7" t="inlineStr">
        <is>
          <t>Doloso</t>
        </is>
      </c>
      <c r="J376" s="7" t="inlineStr">
        <is>
          <t>Sim</t>
        </is>
      </c>
      <c r="K376" s="16" t="inlineStr">
        <is>
          <t>—</t>
        </is>
      </c>
      <c r="L376" s="16" t="inlineStr">
        <is>
          <t>Arrebatar preso para maltratá-lo. Linchamento</t>
        </is>
      </c>
      <c r="M376" s="7" t="inlineStr">
        <is>
          <t>Sim</t>
        </is>
      </c>
      <c r="N376" s="7" t="inlineStr">
        <is>
          <t>Sim</t>
        </is>
      </c>
    </row>
    <row r="377">
      <c r="A377" s="7" t="inlineStr">
        <is>
          <t>CP</t>
        </is>
      </c>
      <c r="B377" s="7" t="inlineStr">
        <is>
          <t>Art. 355</t>
        </is>
      </c>
      <c r="C377" s="16" t="inlineStr">
        <is>
          <t>Patrocínio infiel</t>
        </is>
      </c>
      <c r="D377" s="7" t="n">
        <v>6</v>
      </c>
      <c r="E377" s="7" t="n">
        <v>36</v>
      </c>
      <c r="F377" s="7" t="inlineStr">
        <is>
          <t>Detenção</t>
        </is>
      </c>
      <c r="G377" s="7" t="inlineStr">
        <is>
          <t>Pública Incondicionada</t>
        </is>
      </c>
      <c r="H377" s="7" t="inlineStr">
        <is>
          <t>Não</t>
        </is>
      </c>
      <c r="I377" s="7" t="inlineStr">
        <is>
          <t>Doloso</t>
        </is>
      </c>
      <c r="J377" s="7" t="inlineStr">
        <is>
          <t>Sim</t>
        </is>
      </c>
      <c r="K377" s="16" t="inlineStr">
        <is>
          <t>Parágrafo único: patrocínio simultâneo (mesma pena) — defender simultaneamente partes contrárias</t>
        </is>
      </c>
      <c r="L377" s="16" t="inlineStr">
        <is>
          <t>Crime próprio: advogado/procurador que trai o dever profissional, prejudicando interesse confiado a seu patrocínio</t>
        </is>
      </c>
      <c r="M377" s="7" t="inlineStr">
        <is>
          <t>Sim</t>
        </is>
      </c>
      <c r="N377" s="7" t="inlineStr">
        <is>
          <t>Sim</t>
        </is>
      </c>
    </row>
    <row r="378">
      <c r="A378" s="7" t="inlineStr">
        <is>
          <t>CP</t>
        </is>
      </c>
      <c r="B378" s="7" t="inlineStr">
        <is>
          <t>Art. 356</t>
        </is>
      </c>
      <c r="C378" s="16" t="inlineStr">
        <is>
          <t>Sonegação de papel ou objeto de valor probatório</t>
        </is>
      </c>
      <c r="D378" s="7" t="n">
        <v>6</v>
      </c>
      <c r="E378" s="7" t="n">
        <v>36</v>
      </c>
      <c r="F378" s="7" t="inlineStr">
        <is>
          <t>Detenção</t>
        </is>
      </c>
      <c r="G378" s="7" t="inlineStr">
        <is>
          <t>Pública Incondicionada</t>
        </is>
      </c>
      <c r="H378" s="7" t="inlineStr">
        <is>
          <t>Não</t>
        </is>
      </c>
      <c r="I378" s="7" t="inlineStr">
        <is>
          <t>Doloso</t>
        </is>
      </c>
      <c r="J378" s="7" t="inlineStr">
        <is>
          <t>Sim</t>
        </is>
      </c>
      <c r="K378" s="16" t="inlineStr">
        <is>
          <t>—</t>
        </is>
      </c>
      <c r="L378" s="16" t="inlineStr">
        <is>
          <t>Crime próprio: advogado/procurador que inutiliza em todo ou parte documento que tem obrigação de produzir em juízo</t>
        </is>
      </c>
      <c r="M378" s="7" t="inlineStr">
        <is>
          <t>Sim</t>
        </is>
      </c>
      <c r="N378" s="7" t="inlineStr">
        <is>
          <t>Sim</t>
        </is>
      </c>
    </row>
    <row r="379">
      <c r="A379" s="7" t="inlineStr">
        <is>
          <t>CP</t>
        </is>
      </c>
      <c r="B379" s="7" t="inlineStr">
        <is>
          <t>Art. 358</t>
        </is>
      </c>
      <c r="C379" s="16" t="inlineStr">
        <is>
          <t>Violência ou fraude em arrematação judicial</t>
        </is>
      </c>
      <c r="D379" s="7" t="n">
        <v>2</v>
      </c>
      <c r="E379" s="7" t="n">
        <v>6</v>
      </c>
      <c r="F379" s="7" t="inlineStr">
        <is>
          <t>Detenção</t>
        </is>
      </c>
      <c r="G379" s="7" t="inlineStr">
        <is>
          <t>Pública Incondicionada</t>
        </is>
      </c>
      <c r="H379" s="7" t="inlineStr">
        <is>
          <t>Não</t>
        </is>
      </c>
      <c r="I379" s="7" t="inlineStr">
        <is>
          <t>Doloso</t>
        </is>
      </c>
      <c r="J379" s="7" t="inlineStr">
        <is>
          <t>Sim</t>
        </is>
      </c>
      <c r="K379" s="16" t="inlineStr">
        <is>
          <t>—</t>
        </is>
      </c>
      <c r="L379" s="16" t="inlineStr">
        <is>
          <t>2-6 meses. Impedir/perturbar/fraudar arrematação judicial por meio de violência/ameaça/fraude</t>
        </is>
      </c>
      <c r="M379" s="7" t="inlineStr">
        <is>
          <t>Verificar</t>
        </is>
      </c>
      <c r="N379" s="7" t="inlineStr">
        <is>
          <t>Sim</t>
        </is>
      </c>
    </row>
    <row r="380">
      <c r="A380" s="7" t="inlineStr">
        <is>
          <t>CP</t>
        </is>
      </c>
      <c r="B380" s="7" t="inlineStr">
        <is>
          <t>Art. 359-A</t>
        </is>
      </c>
      <c r="C380" s="16" t="inlineStr">
        <is>
          <t>Contratação de operação de crédito</t>
        </is>
      </c>
      <c r="D380" s="7" t="n">
        <v>12</v>
      </c>
      <c r="E380" s="7" t="n">
        <v>24</v>
      </c>
      <c r="F380" s="7" t="inlineStr">
        <is>
          <t>Reclusão</t>
        </is>
      </c>
      <c r="G380" s="7" t="inlineStr">
        <is>
          <t>Pública Incondicionada</t>
        </is>
      </c>
      <c r="H380" s="7" t="inlineStr">
        <is>
          <t>Não</t>
        </is>
      </c>
      <c r="I380" s="7" t="inlineStr">
        <is>
          <t>Doloso</t>
        </is>
      </c>
      <c r="J380" s="7" t="inlineStr">
        <is>
          <t>Sim</t>
        </is>
      </c>
      <c r="K380" s="16" t="inlineStr">
        <is>
          <t>—</t>
        </is>
      </c>
      <c r="L380" s="16" t="inlineStr">
        <is>
          <t>Ordenar/autorizar/realizar operação de crédito interno/externo sem prévia autorização legislativa. Crime próprio: agente público</t>
        </is>
      </c>
      <c r="M380" s="7" t="inlineStr">
        <is>
          <t>Sim</t>
        </is>
      </c>
      <c r="N380" s="7" t="inlineStr">
        <is>
          <t>Sim</t>
        </is>
      </c>
    </row>
    <row r="381">
      <c r="A381" s="7" t="inlineStr">
        <is>
          <t>CP</t>
        </is>
      </c>
      <c r="B381" s="7" t="inlineStr">
        <is>
          <t>Art. 359-B</t>
        </is>
      </c>
      <c r="C381" s="16" t="inlineStr">
        <is>
          <t>Inscrição de despesas não empenhadas em restos a pagar</t>
        </is>
      </c>
      <c r="D381" s="7" t="n">
        <v>6</v>
      </c>
      <c r="E381" s="7" t="n">
        <v>24</v>
      </c>
      <c r="F381" s="7" t="inlineStr">
        <is>
          <t>Detenção</t>
        </is>
      </c>
      <c r="G381" s="7" t="inlineStr">
        <is>
          <t>Pública Incondicionada</t>
        </is>
      </c>
      <c r="H381" s="7" t="inlineStr">
        <is>
          <t>Não</t>
        </is>
      </c>
      <c r="I381" s="7" t="inlineStr">
        <is>
          <t>Doloso</t>
        </is>
      </c>
      <c r="J381" s="7" t="inlineStr">
        <is>
          <t>Sim</t>
        </is>
      </c>
      <c r="K381" s="16" t="inlineStr">
        <is>
          <t>—</t>
        </is>
      </c>
      <c r="L381" s="16" t="inlineStr">
        <is>
          <t>Ordenar/autorizar inscrição em restos a pagar de despesa que não tenha sido previamente empenhada</t>
        </is>
      </c>
      <c r="M381" s="7" t="inlineStr">
        <is>
          <t>Sim</t>
        </is>
      </c>
      <c r="N381" s="7" t="inlineStr">
        <is>
          <t>Sim</t>
        </is>
      </c>
    </row>
    <row r="382">
      <c r="A382" s="7" t="inlineStr">
        <is>
          <t>CP</t>
        </is>
      </c>
      <c r="B382" s="7" t="inlineStr">
        <is>
          <t>Art. 359-C</t>
        </is>
      </c>
      <c r="C382" s="16" t="inlineStr">
        <is>
          <t>Assunção de obrigação no último ano do mandato</t>
        </is>
      </c>
      <c r="D382" s="7" t="n">
        <v>12</v>
      </c>
      <c r="E382" s="7" t="n">
        <v>48</v>
      </c>
      <c r="F382" s="7" t="inlineStr">
        <is>
          <t>Reclusão</t>
        </is>
      </c>
      <c r="G382" s="7" t="inlineStr">
        <is>
          <t>Pública Incondicionada</t>
        </is>
      </c>
      <c r="H382" s="7" t="inlineStr">
        <is>
          <t>Não</t>
        </is>
      </c>
      <c r="I382" s="7" t="inlineStr">
        <is>
          <t>Doloso</t>
        </is>
      </c>
      <c r="J382" s="7" t="inlineStr">
        <is>
          <t>Sim</t>
        </is>
      </c>
      <c r="K382" s="16" t="inlineStr">
        <is>
          <t>—</t>
        </is>
      </c>
      <c r="L382" s="16" t="inlineStr">
        <is>
          <t>Nos últimos 2 quadrimestres do mandato, assumir obrigação de despesa que não possa ser cumprida integralmente dentro dele</t>
        </is>
      </c>
      <c r="M382" s="7" t="inlineStr">
        <is>
          <t>Sim</t>
        </is>
      </c>
      <c r="N382" s="7" t="inlineStr">
        <is>
          <t>Sim</t>
        </is>
      </c>
    </row>
    <row r="383">
      <c r="A383" s="7" t="inlineStr">
        <is>
          <t>CP</t>
        </is>
      </c>
      <c r="B383" s="7" t="inlineStr">
        <is>
          <t>Art. 359-D</t>
        </is>
      </c>
      <c r="C383" s="16" t="inlineStr">
        <is>
          <t>Ordenação de despesa não autorizada</t>
        </is>
      </c>
      <c r="D383" s="7" t="n">
        <v>12</v>
      </c>
      <c r="E383" s="7" t="n">
        <v>48</v>
      </c>
      <c r="F383" s="7" t="inlineStr">
        <is>
          <t>Reclusão</t>
        </is>
      </c>
      <c r="G383" s="7" t="inlineStr">
        <is>
          <t>Pública Incondicionada</t>
        </is>
      </c>
      <c r="H383" s="7" t="inlineStr">
        <is>
          <t>Não</t>
        </is>
      </c>
      <c r="I383" s="7" t="inlineStr">
        <is>
          <t>Doloso</t>
        </is>
      </c>
      <c r="J383" s="7" t="inlineStr">
        <is>
          <t>Sim</t>
        </is>
      </c>
      <c r="K383" s="16" t="inlineStr">
        <is>
          <t>—</t>
        </is>
      </c>
      <c r="L383" s="16" t="inlineStr">
        <is>
          <t>Ordenar despesa não autorizada por lei</t>
        </is>
      </c>
      <c r="M383" s="7" t="inlineStr">
        <is>
          <t>Sim</t>
        </is>
      </c>
      <c r="N383" s="7" t="inlineStr">
        <is>
          <t>Sim</t>
        </is>
      </c>
    </row>
    <row r="384">
      <c r="A384" s="7" t="inlineStr">
        <is>
          <t>CP</t>
        </is>
      </c>
      <c r="B384" s="7" t="inlineStr">
        <is>
          <t>Art. 359-E</t>
        </is>
      </c>
      <c r="C384" s="16" t="inlineStr">
        <is>
          <t>Prestação de garantia graciosa</t>
        </is>
      </c>
      <c r="D384" s="7" t="n">
        <v>3</v>
      </c>
      <c r="E384" s="7" t="n">
        <v>12</v>
      </c>
      <c r="F384" s="7" t="inlineStr">
        <is>
          <t>Detenção</t>
        </is>
      </c>
      <c r="G384" s="7" t="inlineStr">
        <is>
          <t>Pública Incondicionada</t>
        </is>
      </c>
      <c r="H384" s="7" t="inlineStr">
        <is>
          <t>Não</t>
        </is>
      </c>
      <c r="I384" s="7" t="inlineStr">
        <is>
          <t>Doloso</t>
        </is>
      </c>
      <c r="J384" s="7" t="inlineStr">
        <is>
          <t>Sim</t>
        </is>
      </c>
      <c r="K384" s="16" t="inlineStr">
        <is>
          <t>—</t>
        </is>
      </c>
      <c r="L384" s="16" t="inlineStr">
        <is>
          <t>Prestar garantia em operação de crédito sem que haja contragarantia em valor igual ou superior</t>
        </is>
      </c>
      <c r="M384" s="7" t="inlineStr">
        <is>
          <t>Sim</t>
        </is>
      </c>
      <c r="N384" s="7" t="inlineStr">
        <is>
          <t>Sim</t>
        </is>
      </c>
    </row>
    <row r="385">
      <c r="A385" s="7" t="inlineStr">
        <is>
          <t>CP</t>
        </is>
      </c>
      <c r="B385" s="7" t="inlineStr">
        <is>
          <t>Art. 359-F</t>
        </is>
      </c>
      <c r="C385" s="16" t="inlineStr">
        <is>
          <t>Não cancelamento de restos a pagar</t>
        </is>
      </c>
      <c r="D385" s="7" t="n">
        <v>6</v>
      </c>
      <c r="E385" s="7" t="n">
        <v>24</v>
      </c>
      <c r="F385" s="7" t="inlineStr">
        <is>
          <t>Detenção</t>
        </is>
      </c>
      <c r="G385" s="7" t="inlineStr">
        <is>
          <t>Pública Incondicionada</t>
        </is>
      </c>
      <c r="H385" s="7" t="inlineStr">
        <is>
          <t>Não</t>
        </is>
      </c>
      <c r="I385" s="7" t="inlineStr">
        <is>
          <t>Doloso</t>
        </is>
      </c>
      <c r="J385" s="7" t="inlineStr">
        <is>
          <t>Controverso</t>
        </is>
      </c>
      <c r="K385" s="16" t="inlineStr">
        <is>
          <t>—</t>
        </is>
      </c>
      <c r="L385" s="16" t="inlineStr">
        <is>
          <t>Deixar de ordenar/promover/executar o cancelamento de restos a pagar inscritos em desacordo</t>
        </is>
      </c>
      <c r="M385" s="7" t="inlineStr">
        <is>
          <t>Sim</t>
        </is>
      </c>
      <c r="N385" s="7" t="inlineStr">
        <is>
          <t>Sim</t>
        </is>
      </c>
    </row>
    <row r="386">
      <c r="A386" s="7" t="inlineStr">
        <is>
          <t>CP</t>
        </is>
      </c>
      <c r="B386" s="7" t="inlineStr">
        <is>
          <t>Art. 359-G</t>
        </is>
      </c>
      <c r="C386" s="16" t="inlineStr">
        <is>
          <t>Aumento de despesa total com pessoal no último ano do mandato</t>
        </is>
      </c>
      <c r="D386" s="7" t="n">
        <v>12</v>
      </c>
      <c r="E386" s="7" t="n">
        <v>48</v>
      </c>
      <c r="F386" s="7" t="inlineStr">
        <is>
          <t>Reclusão</t>
        </is>
      </c>
      <c r="G386" s="7" t="inlineStr">
        <is>
          <t>Pública Incondicionada</t>
        </is>
      </c>
      <c r="H386" s="7" t="inlineStr">
        <is>
          <t>Não</t>
        </is>
      </c>
      <c r="I386" s="7" t="inlineStr">
        <is>
          <t>Doloso</t>
        </is>
      </c>
      <c r="J386" s="7" t="inlineStr">
        <is>
          <t>Sim</t>
        </is>
      </c>
      <c r="K386" s="16" t="inlineStr">
        <is>
          <t>—</t>
        </is>
      </c>
      <c r="L386" s="16" t="inlineStr">
        <is>
          <t>Nos 180 dias anteriores ao final do mandato, ordenar/autorizar aumento de despesa com pessoal que não possa ser cumprida dentro dele</t>
        </is>
      </c>
      <c r="M386" s="7" t="inlineStr">
        <is>
          <t>Sim</t>
        </is>
      </c>
      <c r="N386" s="7" t="inlineStr">
        <is>
          <t>Sim</t>
        </is>
      </c>
    </row>
    <row r="387">
      <c r="A387" s="7" t="inlineStr">
        <is>
          <t>CP</t>
        </is>
      </c>
      <c r="B387" s="7" t="inlineStr">
        <is>
          <t>Art. 359-H</t>
        </is>
      </c>
      <c r="C387" s="16" t="inlineStr">
        <is>
          <t>Oferta pública ou colocação de títulos no mercado</t>
        </is>
      </c>
      <c r="D387" s="7" t="n">
        <v>12</v>
      </c>
      <c r="E387" s="7" t="n">
        <v>48</v>
      </c>
      <c r="F387" s="7" t="inlineStr">
        <is>
          <t>Reclusão</t>
        </is>
      </c>
      <c r="G387" s="7" t="inlineStr">
        <is>
          <t>Pública Incondicionada</t>
        </is>
      </c>
      <c r="H387" s="7" t="inlineStr">
        <is>
          <t>Não</t>
        </is>
      </c>
      <c r="I387" s="7" t="inlineStr">
        <is>
          <t>Doloso</t>
        </is>
      </c>
      <c r="J387" s="7" t="inlineStr">
        <is>
          <t>Sim</t>
        </is>
      </c>
      <c r="K387" s="16" t="inlineStr">
        <is>
          <t>—</t>
        </is>
      </c>
      <c r="L387" s="16" t="inlineStr">
        <is>
          <t>Ordenar/autorizar/promover oferta pública ou colocação de títulos da dívida pública no mercado sem autorização legal ou em desacordo com lei</t>
        </is>
      </c>
      <c r="M387" s="7" t="inlineStr">
        <is>
          <t>Sim</t>
        </is>
      </c>
      <c r="N387" s="7" t="inlineStr">
        <is>
          <t>Sim</t>
        </is>
      </c>
    </row>
    <row r="388">
      <c r="A388" s="7" t="inlineStr">
        <is>
          <t>Lei 11.340/06</t>
        </is>
      </c>
      <c r="B388" s="7" t="inlineStr">
        <is>
          <t>Art. 24-A</t>
        </is>
      </c>
      <c r="C388" s="16" t="inlineStr">
        <is>
          <t>Descumprimento de medida protetiva de urgência</t>
        </is>
      </c>
      <c r="D388" s="7" t="n">
        <v>3</v>
      </c>
      <c r="E388" s="7" t="n">
        <v>24</v>
      </c>
      <c r="F388" s="7" t="inlineStr">
        <is>
          <t>Detenção</t>
        </is>
      </c>
      <c r="G388" s="7" t="inlineStr">
        <is>
          <t>Pública Incondicionada</t>
        </is>
      </c>
      <c r="H388" s="7" t="inlineStr">
        <is>
          <t>Não</t>
        </is>
      </c>
      <c r="I388" s="7" t="inlineStr">
        <is>
          <t>Doloso</t>
        </is>
      </c>
      <c r="J388" s="7" t="inlineStr">
        <is>
          <t>Sim</t>
        </is>
      </c>
      <c r="K388" s="16" t="inlineStr">
        <is>
          <t>—</t>
        </is>
      </c>
      <c r="L388" s="16" t="inlineStr">
        <is>
          <t>3 meses a 2 anos. Descumprir decisão judicial que defere medida protetiva de urgência. Admite prisão preventiva (§3º)</t>
        </is>
      </c>
      <c r="M388" s="7" t="inlineStr">
        <is>
          <t>Sim</t>
        </is>
      </c>
      <c r="N388" s="7" t="inlineStr">
        <is>
          <t>Sim</t>
        </is>
      </c>
    </row>
    <row r="389">
      <c r="A389" s="7" t="inlineStr">
        <is>
          <t>Lei 9.296/96</t>
        </is>
      </c>
      <c r="B389" s="7" t="inlineStr">
        <is>
          <t>Art. 10</t>
        </is>
      </c>
      <c r="C389" s="16" t="inlineStr">
        <is>
          <t>Interceptação telefônica sem autorização judicial</t>
        </is>
      </c>
      <c r="D389" s="7" t="n">
        <v>24</v>
      </c>
      <c r="E389" s="7" t="n">
        <v>48</v>
      </c>
      <c r="F389" s="7" t="inlineStr">
        <is>
          <t>Reclusão</t>
        </is>
      </c>
      <c r="G389" s="7" t="inlineStr">
        <is>
          <t>Pública Incondicionada</t>
        </is>
      </c>
      <c r="H389" s="7" t="inlineStr">
        <is>
          <t>Não</t>
        </is>
      </c>
      <c r="I389" s="7" t="inlineStr">
        <is>
          <t>Doloso</t>
        </is>
      </c>
      <c r="J389" s="7" t="inlineStr">
        <is>
          <t>Sim</t>
        </is>
      </c>
      <c r="K389" s="16" t="inlineStr">
        <is>
          <t>—</t>
        </is>
      </c>
      <c r="L389" s="16" t="inlineStr">
        <is>
          <t>Realizar interceptação de comunicações telefônicas/informáticas/telemáticas ou quebrar segredo de Justiça sem autorização judicial. Lei 13.869/2019 acrescentou o Art. 10-A (gravar conversa com autorização de um dos interlocutores = lícito)</t>
        </is>
      </c>
      <c r="M389" s="7" t="inlineStr">
        <is>
          <t>Sim</t>
        </is>
      </c>
      <c r="N389" s="7" t="inlineStr">
        <is>
          <t>Não</t>
        </is>
      </c>
    </row>
    <row r="390">
      <c r="A390" s="7" t="inlineStr">
        <is>
          <t>Lei 7.716/89</t>
        </is>
      </c>
      <c r="B390" s="7" t="inlineStr">
        <is>
          <t>Art. 3º</t>
        </is>
      </c>
      <c r="C390" s="16" t="inlineStr">
        <is>
          <t>Impedir/obstar acesso a cargo público (racismo)</t>
        </is>
      </c>
      <c r="D390" s="7" t="n">
        <v>24</v>
      </c>
      <c r="E390" s="7" t="n">
        <v>60</v>
      </c>
      <c r="F390" s="7" t="inlineStr">
        <is>
          <t>Reclusão</t>
        </is>
      </c>
      <c r="G390" s="7" t="inlineStr">
        <is>
          <t>Pública Incondicionada</t>
        </is>
      </c>
      <c r="H390" s="7" t="inlineStr">
        <is>
          <t>Não</t>
        </is>
      </c>
      <c r="I390" s="7" t="inlineStr">
        <is>
          <t>Doloso</t>
        </is>
      </c>
      <c r="J390" s="7" t="inlineStr">
        <is>
          <t>Sim</t>
        </is>
      </c>
      <c r="K390" s="16" t="inlineStr">
        <is>
          <t>—</t>
        </is>
      </c>
      <c r="L390" s="16" t="inlineStr">
        <is>
          <t>Inafiançável e imprescritível</t>
        </is>
      </c>
      <c r="M390" s="7" t="inlineStr">
        <is>
          <t>Sim</t>
        </is>
      </c>
      <c r="N390" s="7" t="inlineStr">
        <is>
          <t>Não</t>
        </is>
      </c>
    </row>
    <row r="391">
      <c r="A391" s="7" t="inlineStr">
        <is>
          <t>Lei 7.716/89</t>
        </is>
      </c>
      <c r="B391" s="7" t="inlineStr">
        <is>
          <t>Art. 4º</t>
        </is>
      </c>
      <c r="C391" s="16" t="inlineStr">
        <is>
          <t>Negar/obstar emprego em empresa privada (racismo)</t>
        </is>
      </c>
      <c r="D391" s="7" t="n">
        <v>24</v>
      </c>
      <c r="E391" s="7" t="n">
        <v>60</v>
      </c>
      <c r="F391" s="7" t="inlineStr">
        <is>
          <t>Reclusão</t>
        </is>
      </c>
      <c r="G391" s="7" t="inlineStr">
        <is>
          <t>Pública Incondicionada</t>
        </is>
      </c>
      <c r="H391" s="7" t="inlineStr">
        <is>
          <t>Não</t>
        </is>
      </c>
      <c r="I391" s="7" t="inlineStr">
        <is>
          <t>Doloso</t>
        </is>
      </c>
      <c r="J391" s="7" t="inlineStr">
        <is>
          <t>Sim</t>
        </is>
      </c>
      <c r="K391" s="16" t="inlineStr">
        <is>
          <t>—</t>
        </is>
      </c>
      <c r="L391" s="16" t="inlineStr"/>
      <c r="M391" s="7" t="inlineStr">
        <is>
          <t>Sim</t>
        </is>
      </c>
      <c r="N391" s="7" t="inlineStr">
        <is>
          <t>Não</t>
        </is>
      </c>
    </row>
    <row r="392">
      <c r="A392" s="7" t="inlineStr">
        <is>
          <t>Lei 7.716/89</t>
        </is>
      </c>
      <c r="B392" s="7" t="inlineStr">
        <is>
          <t>Art. 5º</t>
        </is>
      </c>
      <c r="C392" s="16" t="inlineStr">
        <is>
          <t>Recusar/impedir acesso a estabelecimento comercial (racismo)</t>
        </is>
      </c>
      <c r="D392" s="7" t="n">
        <v>12</v>
      </c>
      <c r="E392" s="7" t="n">
        <v>36</v>
      </c>
      <c r="F392" s="7" t="inlineStr">
        <is>
          <t>Reclusão</t>
        </is>
      </c>
      <c r="G392" s="7" t="inlineStr">
        <is>
          <t>Pública Incondicionada</t>
        </is>
      </c>
      <c r="H392" s="7" t="inlineStr">
        <is>
          <t>Não</t>
        </is>
      </c>
      <c r="I392" s="7" t="inlineStr">
        <is>
          <t>Doloso</t>
        </is>
      </c>
      <c r="J392" s="7" t="inlineStr">
        <is>
          <t>Sim</t>
        </is>
      </c>
      <c r="K392" s="16" t="inlineStr">
        <is>
          <t>—</t>
        </is>
      </c>
      <c r="L392" s="16" t="inlineStr"/>
      <c r="M392" s="7" t="inlineStr">
        <is>
          <t>Sim</t>
        </is>
      </c>
      <c r="N392" s="7" t="inlineStr">
        <is>
          <t>Sim</t>
        </is>
      </c>
    </row>
    <row r="393">
      <c r="A393" s="7" t="inlineStr">
        <is>
          <t>Lei 7.716/89</t>
        </is>
      </c>
      <c r="B393" s="7" t="inlineStr">
        <is>
          <t>Art. 6º</t>
        </is>
      </c>
      <c r="C393" s="16" t="inlineStr">
        <is>
          <t>Recusar/impedir inscrição em escola (racismo)</t>
        </is>
      </c>
      <c r="D393" s="7" t="n">
        <v>36</v>
      </c>
      <c r="E393" s="7" t="n">
        <v>60</v>
      </c>
      <c r="F393" s="7" t="inlineStr">
        <is>
          <t>Reclusão</t>
        </is>
      </c>
      <c r="G393" s="7" t="inlineStr">
        <is>
          <t>Pública Incondicionada</t>
        </is>
      </c>
      <c r="H393" s="7" t="inlineStr">
        <is>
          <t>Não</t>
        </is>
      </c>
      <c r="I393" s="7" t="inlineStr">
        <is>
          <t>Doloso</t>
        </is>
      </c>
      <c r="J393" s="7" t="inlineStr">
        <is>
          <t>Sim</t>
        </is>
      </c>
      <c r="K393" s="16" t="inlineStr">
        <is>
          <t>—</t>
        </is>
      </c>
      <c r="L393" s="16" t="inlineStr"/>
      <c r="M393" s="7" t="inlineStr">
        <is>
          <t>Sim</t>
        </is>
      </c>
      <c r="N393" s="7" t="inlineStr">
        <is>
          <t>Não</t>
        </is>
      </c>
    </row>
    <row r="394">
      <c r="A394" s="7" t="inlineStr">
        <is>
          <t>Lei 7.716/89</t>
        </is>
      </c>
      <c r="B394" s="7" t="inlineStr">
        <is>
          <t>Art. 7º</t>
        </is>
      </c>
      <c r="C394" s="16" t="inlineStr">
        <is>
          <t>Impedir acesso a hotel/restaurante/bar (racismo)</t>
        </is>
      </c>
      <c r="D394" s="7" t="n">
        <v>12</v>
      </c>
      <c r="E394" s="7" t="n">
        <v>36</v>
      </c>
      <c r="F394" s="7" t="inlineStr">
        <is>
          <t>Reclusão</t>
        </is>
      </c>
      <c r="G394" s="7" t="inlineStr">
        <is>
          <t>Pública Incondicionada</t>
        </is>
      </c>
      <c r="H394" s="7" t="inlineStr">
        <is>
          <t>Não</t>
        </is>
      </c>
      <c r="I394" s="7" t="inlineStr">
        <is>
          <t>Doloso</t>
        </is>
      </c>
      <c r="J394" s="7" t="inlineStr">
        <is>
          <t>Sim</t>
        </is>
      </c>
      <c r="K394" s="16" t="inlineStr">
        <is>
          <t>—</t>
        </is>
      </c>
      <c r="L394" s="16" t="inlineStr"/>
      <c r="M394" s="7" t="inlineStr">
        <is>
          <t>Sim</t>
        </is>
      </c>
      <c r="N394" s="7" t="inlineStr">
        <is>
          <t>Sim</t>
        </is>
      </c>
    </row>
    <row r="395">
      <c r="A395" s="7" t="inlineStr">
        <is>
          <t>Lei 7.716/89</t>
        </is>
      </c>
      <c r="B395" s="7" t="inlineStr">
        <is>
          <t>Art. 8º</t>
        </is>
      </c>
      <c r="C395" s="16" t="inlineStr">
        <is>
          <t>Impedir acesso a edifício/elevador/escada (racismo)</t>
        </is>
      </c>
      <c r="D395" s="7" t="n">
        <v>12</v>
      </c>
      <c r="E395" s="7" t="n">
        <v>36</v>
      </c>
      <c r="F395" s="7" t="inlineStr">
        <is>
          <t>Reclusão</t>
        </is>
      </c>
      <c r="G395" s="7" t="inlineStr">
        <is>
          <t>Pública Incondicionada</t>
        </is>
      </c>
      <c r="H395" s="7" t="inlineStr">
        <is>
          <t>Não</t>
        </is>
      </c>
      <c r="I395" s="7" t="inlineStr">
        <is>
          <t>Doloso</t>
        </is>
      </c>
      <c r="J395" s="7" t="inlineStr">
        <is>
          <t>Sim</t>
        </is>
      </c>
      <c r="K395" s="16" t="inlineStr">
        <is>
          <t>—</t>
        </is>
      </c>
      <c r="L395" s="16" t="inlineStr"/>
      <c r="M395" s="7" t="inlineStr">
        <is>
          <t>Sim</t>
        </is>
      </c>
      <c r="N395" s="7" t="inlineStr">
        <is>
          <t>Sim</t>
        </is>
      </c>
    </row>
    <row r="396">
      <c r="A396" s="7" t="inlineStr">
        <is>
          <t>Lei 7.716/89</t>
        </is>
      </c>
      <c r="B396" s="7" t="inlineStr">
        <is>
          <t>Art. 9º</t>
        </is>
      </c>
      <c r="C396" s="16" t="inlineStr">
        <is>
          <t>Impedir acesso a transporte público (racismo)</t>
        </is>
      </c>
      <c r="D396" s="7" t="n">
        <v>12</v>
      </c>
      <c r="E396" s="7" t="n">
        <v>36</v>
      </c>
      <c r="F396" s="7" t="inlineStr">
        <is>
          <t>Reclusão</t>
        </is>
      </c>
      <c r="G396" s="7" t="inlineStr">
        <is>
          <t>Pública Incondicionada</t>
        </is>
      </c>
      <c r="H396" s="7" t="inlineStr">
        <is>
          <t>Não</t>
        </is>
      </c>
      <c r="I396" s="7" t="inlineStr">
        <is>
          <t>Doloso</t>
        </is>
      </c>
      <c r="J396" s="7" t="inlineStr">
        <is>
          <t>Sim</t>
        </is>
      </c>
      <c r="K396" s="16" t="inlineStr">
        <is>
          <t>—</t>
        </is>
      </c>
      <c r="L396" s="16" t="inlineStr"/>
      <c r="M396" s="7" t="inlineStr">
        <is>
          <t>Sim</t>
        </is>
      </c>
      <c r="N396" s="7" t="inlineStr">
        <is>
          <t>Sim</t>
        </is>
      </c>
    </row>
    <row r="397">
      <c r="A397" s="7" t="inlineStr">
        <is>
          <t>Lei 7.716/89</t>
        </is>
      </c>
      <c r="B397" s="7" t="inlineStr">
        <is>
          <t>Art. 10</t>
        </is>
      </c>
      <c r="C397" s="16" t="inlineStr">
        <is>
          <t>Impedir acesso a serviço militar (racismo)</t>
        </is>
      </c>
      <c r="D397" s="7" t="n">
        <v>24</v>
      </c>
      <c r="E397" s="7" t="n">
        <v>60</v>
      </c>
      <c r="F397" s="7" t="inlineStr">
        <is>
          <t>Reclusão</t>
        </is>
      </c>
      <c r="G397" s="7" t="inlineStr">
        <is>
          <t>Pública Incondicionada</t>
        </is>
      </c>
      <c r="H397" s="7" t="inlineStr">
        <is>
          <t>Não</t>
        </is>
      </c>
      <c r="I397" s="7" t="inlineStr">
        <is>
          <t>Doloso</t>
        </is>
      </c>
      <c r="J397" s="7" t="inlineStr">
        <is>
          <t>Sim</t>
        </is>
      </c>
      <c r="K397" s="16" t="inlineStr">
        <is>
          <t>—</t>
        </is>
      </c>
      <c r="L397" s="16" t="inlineStr"/>
      <c r="M397" s="7" t="inlineStr">
        <is>
          <t>Sim</t>
        </is>
      </c>
      <c r="N397" s="7" t="inlineStr">
        <is>
          <t>Não</t>
        </is>
      </c>
    </row>
    <row r="398">
      <c r="A398" s="7" t="inlineStr">
        <is>
          <t>Lei 7.716/89</t>
        </is>
      </c>
      <c r="B398" s="7" t="inlineStr">
        <is>
          <t>Art. 12</t>
        </is>
      </c>
      <c r="C398" s="16" t="inlineStr">
        <is>
          <t>Impedir casamento/convivência familiar (racismo)</t>
        </is>
      </c>
      <c r="D398" s="7" t="n">
        <v>24</v>
      </c>
      <c r="E398" s="7" t="n">
        <v>60</v>
      </c>
      <c r="F398" s="7" t="inlineStr">
        <is>
          <t>Reclusão</t>
        </is>
      </c>
      <c r="G398" s="7" t="inlineStr">
        <is>
          <t>Pública Incondicionada</t>
        </is>
      </c>
      <c r="H398" s="7" t="inlineStr">
        <is>
          <t>Não</t>
        </is>
      </c>
      <c r="I398" s="7" t="inlineStr">
        <is>
          <t>Doloso</t>
        </is>
      </c>
      <c r="J398" s="7" t="inlineStr">
        <is>
          <t>Sim</t>
        </is>
      </c>
      <c r="K398" s="16" t="inlineStr">
        <is>
          <t>—</t>
        </is>
      </c>
      <c r="L398" s="16" t="inlineStr"/>
      <c r="M398" s="7" t="inlineStr">
        <is>
          <t>Sim</t>
        </is>
      </c>
      <c r="N398" s="7" t="inlineStr">
        <is>
          <t>Não</t>
        </is>
      </c>
    </row>
    <row r="399">
      <c r="A399" s="7" t="inlineStr">
        <is>
          <t>Lei 7.716/89</t>
        </is>
      </c>
      <c r="B399" s="7" t="inlineStr">
        <is>
          <t>Art. 14</t>
        </is>
      </c>
      <c r="C399" s="16" t="inlineStr">
        <is>
          <t>Impedir testemunho em processo (racismo)</t>
        </is>
      </c>
      <c r="D399" s="7" t="n">
        <v>24</v>
      </c>
      <c r="E399" s="7" t="n">
        <v>60</v>
      </c>
      <c r="F399" s="7" t="inlineStr">
        <is>
          <t>Reclusão</t>
        </is>
      </c>
      <c r="G399" s="7" t="inlineStr">
        <is>
          <t>Pública Incondicionada</t>
        </is>
      </c>
      <c r="H399" s="7" t="inlineStr">
        <is>
          <t>Não</t>
        </is>
      </c>
      <c r="I399" s="7" t="inlineStr">
        <is>
          <t>Doloso</t>
        </is>
      </c>
      <c r="J399" s="7" t="inlineStr">
        <is>
          <t>Sim</t>
        </is>
      </c>
      <c r="K399" s="16" t="inlineStr">
        <is>
          <t>—</t>
        </is>
      </c>
      <c r="L399" s="16" t="inlineStr"/>
      <c r="M399" s="7" t="inlineStr">
        <is>
          <t>Sim</t>
        </is>
      </c>
      <c r="N399" s="7" t="inlineStr">
        <is>
          <t>Não</t>
        </is>
      </c>
    </row>
    <row r="400">
      <c r="A400" s="7" t="inlineStr">
        <is>
          <t>Lei 9.279/96</t>
        </is>
      </c>
      <c r="B400" s="7" t="inlineStr">
        <is>
          <t>Art. 183</t>
        </is>
      </c>
      <c r="C400" s="16" t="inlineStr">
        <is>
          <t>Crime contra patente de invenção</t>
        </is>
      </c>
      <c r="D400" s="7" t="n">
        <v>3</v>
      </c>
      <c r="E400" s="7" t="n">
        <v>12</v>
      </c>
      <c r="F400" s="7" t="inlineStr">
        <is>
          <t>Detenção</t>
        </is>
      </c>
      <c r="G400" s="7" t="inlineStr">
        <is>
          <t>Privada</t>
        </is>
      </c>
      <c r="H400" s="7" t="inlineStr">
        <is>
          <t>Não</t>
        </is>
      </c>
      <c r="I400" s="7" t="inlineStr">
        <is>
          <t>Doloso</t>
        </is>
      </c>
      <c r="J400" s="7" t="inlineStr">
        <is>
          <t>Sim</t>
        </is>
      </c>
      <c r="K400" s="16" t="inlineStr">
        <is>
          <t>—</t>
        </is>
      </c>
      <c r="L400" s="16" t="inlineStr">
        <is>
          <t>3 meses a 1 ano. Fabricar/usar/vender produto patenteado sem autorização</t>
        </is>
      </c>
      <c r="M400" s="7" t="inlineStr">
        <is>
          <t>Sim</t>
        </is>
      </c>
      <c r="N400" s="7" t="inlineStr">
        <is>
          <t>Sim</t>
        </is>
      </c>
    </row>
    <row r="401">
      <c r="A401" s="7" t="inlineStr">
        <is>
          <t>Lei 9.279/96</t>
        </is>
      </c>
      <c r="B401" s="7" t="inlineStr">
        <is>
          <t>Art. 184</t>
        </is>
      </c>
      <c r="C401" s="16" t="inlineStr">
        <is>
          <t>Crime contra patente de modelo de utilidade</t>
        </is>
      </c>
      <c r="D401" s="7" t="n">
        <v>1</v>
      </c>
      <c r="E401" s="7" t="n">
        <v>3</v>
      </c>
      <c r="F401" s="7" t="inlineStr">
        <is>
          <t>Detenção</t>
        </is>
      </c>
      <c r="G401" s="7" t="inlineStr">
        <is>
          <t>Privada</t>
        </is>
      </c>
      <c r="H401" s="7" t="inlineStr">
        <is>
          <t>Não</t>
        </is>
      </c>
      <c r="I401" s="7" t="inlineStr">
        <is>
          <t>Doloso</t>
        </is>
      </c>
      <c r="J401" s="7" t="inlineStr">
        <is>
          <t>Sim</t>
        </is>
      </c>
      <c r="K401" s="16" t="inlineStr">
        <is>
          <t>—</t>
        </is>
      </c>
      <c r="L401" s="16" t="inlineStr">
        <is>
          <t>1-3 meses</t>
        </is>
      </c>
      <c r="M401" s="7" t="inlineStr">
        <is>
          <t>Sim</t>
        </is>
      </c>
      <c r="N401" s="7" t="inlineStr">
        <is>
          <t>Sim</t>
        </is>
      </c>
    </row>
    <row r="402">
      <c r="A402" s="7" t="inlineStr">
        <is>
          <t>Lei 9.279/96</t>
        </is>
      </c>
      <c r="B402" s="7" t="inlineStr">
        <is>
          <t>Art. 187</t>
        </is>
      </c>
      <c r="C402" s="16" t="inlineStr">
        <is>
          <t>Crime contra desenho industrial</t>
        </is>
      </c>
      <c r="D402" s="7" t="n">
        <v>3</v>
      </c>
      <c r="E402" s="7" t="n">
        <v>12</v>
      </c>
      <c r="F402" s="7" t="inlineStr">
        <is>
          <t>Detenção</t>
        </is>
      </c>
      <c r="G402" s="7" t="inlineStr">
        <is>
          <t>Privada</t>
        </is>
      </c>
      <c r="H402" s="7" t="inlineStr">
        <is>
          <t>Não</t>
        </is>
      </c>
      <c r="I402" s="7" t="inlineStr">
        <is>
          <t>Doloso</t>
        </is>
      </c>
      <c r="J402" s="7" t="inlineStr">
        <is>
          <t>Sim</t>
        </is>
      </c>
      <c r="K402" s="16" t="inlineStr">
        <is>
          <t>—</t>
        </is>
      </c>
      <c r="L402" s="16" t="inlineStr">
        <is>
          <t>3 meses a 1 ano</t>
        </is>
      </c>
      <c r="M402" s="7" t="inlineStr">
        <is>
          <t>Sim</t>
        </is>
      </c>
      <c r="N402" s="7" t="inlineStr">
        <is>
          <t>Sim</t>
        </is>
      </c>
    </row>
    <row r="403">
      <c r="A403" s="7" t="inlineStr">
        <is>
          <t>Lei 9.279/96</t>
        </is>
      </c>
      <c r="B403" s="7" t="inlineStr">
        <is>
          <t>Art. 189</t>
        </is>
      </c>
      <c r="C403" s="16" t="inlineStr">
        <is>
          <t>Crime contra marca</t>
        </is>
      </c>
      <c r="D403" s="7" t="n">
        <v>3</v>
      </c>
      <c r="E403" s="7" t="n">
        <v>12</v>
      </c>
      <c r="F403" s="7" t="inlineStr">
        <is>
          <t>Detenção</t>
        </is>
      </c>
      <c r="G403" s="7" t="inlineStr">
        <is>
          <t>Privada</t>
        </is>
      </c>
      <c r="H403" s="7" t="inlineStr">
        <is>
          <t>Não</t>
        </is>
      </c>
      <c r="I403" s="7" t="inlineStr">
        <is>
          <t>Doloso</t>
        </is>
      </c>
      <c r="J403" s="7" t="inlineStr">
        <is>
          <t>Sim</t>
        </is>
      </c>
      <c r="K403" s="16" t="inlineStr">
        <is>
          <t>—</t>
        </is>
      </c>
      <c r="L403" s="16" t="inlineStr">
        <is>
          <t>3 meses a 1 ano. Reproduzir/imitar/falsificar marca</t>
        </is>
      </c>
      <c r="M403" s="7" t="inlineStr">
        <is>
          <t>Sim</t>
        </is>
      </c>
      <c r="N403" s="7" t="inlineStr">
        <is>
          <t>Sim</t>
        </is>
      </c>
    </row>
    <row r="404">
      <c r="A404" s="7" t="inlineStr">
        <is>
          <t>Lei 9.279/96</t>
        </is>
      </c>
      <c r="B404" s="7" t="inlineStr">
        <is>
          <t>Art. 190</t>
        </is>
      </c>
      <c r="C404" s="16" t="inlineStr">
        <is>
          <t>Crime contra marca (importação/venda/exposição)</t>
        </is>
      </c>
      <c r="D404" s="7" t="n">
        <v>1</v>
      </c>
      <c r="E404" s="7" t="n">
        <v>3</v>
      </c>
      <c r="F404" s="7" t="inlineStr">
        <is>
          <t>Detenção</t>
        </is>
      </c>
      <c r="G404" s="7" t="inlineStr">
        <is>
          <t>Privada</t>
        </is>
      </c>
      <c r="H404" s="7" t="inlineStr">
        <is>
          <t>Não</t>
        </is>
      </c>
      <c r="I404" s="7" t="inlineStr">
        <is>
          <t>Doloso</t>
        </is>
      </c>
      <c r="J404" s="7" t="inlineStr">
        <is>
          <t>Sim</t>
        </is>
      </c>
      <c r="K404" s="16" t="inlineStr">
        <is>
          <t>—</t>
        </is>
      </c>
      <c r="L404" s="16" t="inlineStr">
        <is>
          <t>1-3 meses</t>
        </is>
      </c>
      <c r="M404" s="7" t="inlineStr">
        <is>
          <t>Sim</t>
        </is>
      </c>
      <c r="N404" s="7" t="inlineStr">
        <is>
          <t>Sim</t>
        </is>
      </c>
    </row>
    <row r="405">
      <c r="A405" s="7" t="inlineStr">
        <is>
          <t>Lei 9.279/96</t>
        </is>
      </c>
      <c r="B405" s="7" t="inlineStr">
        <is>
          <t>Art. 191</t>
        </is>
      </c>
      <c r="C405" s="16" t="inlineStr">
        <is>
          <t>Crime contra indicações geográficas</t>
        </is>
      </c>
      <c r="D405" s="7" t="n">
        <v>12</v>
      </c>
      <c r="E405" s="7" t="n">
        <v>36</v>
      </c>
      <c r="F405" s="7" t="inlineStr">
        <is>
          <t>Reclusão</t>
        </is>
      </c>
      <c r="G405" s="7" t="inlineStr">
        <is>
          <t>Privada</t>
        </is>
      </c>
      <c r="H405" s="7" t="inlineStr">
        <is>
          <t>Não</t>
        </is>
      </c>
      <c r="I405" s="7" t="inlineStr">
        <is>
          <t>Doloso</t>
        </is>
      </c>
      <c r="J405" s="7" t="inlineStr">
        <is>
          <t>Sim</t>
        </is>
      </c>
      <c r="K405" s="16" t="inlineStr">
        <is>
          <t>—</t>
        </is>
      </c>
      <c r="L405" s="16" t="inlineStr">
        <is>
          <t>1-3 anos</t>
        </is>
      </c>
      <c r="M405" s="7" t="inlineStr">
        <is>
          <t>Sim</t>
        </is>
      </c>
      <c r="N405" s="7" t="inlineStr">
        <is>
          <t>Sim</t>
        </is>
      </c>
    </row>
    <row r="406">
      <c r="A406" s="7" t="inlineStr">
        <is>
          <t>Lei 9.279/96</t>
        </is>
      </c>
      <c r="B406" s="7" t="inlineStr">
        <is>
          <t>Art. 195</t>
        </is>
      </c>
      <c r="C406" s="16" t="inlineStr">
        <is>
          <t>Concorrência desleal</t>
        </is>
      </c>
      <c r="D406" s="7" t="n">
        <v>3</v>
      </c>
      <c r="E406" s="7" t="n">
        <v>12</v>
      </c>
      <c r="F406" s="7" t="inlineStr">
        <is>
          <t>Detenção</t>
        </is>
      </c>
      <c r="G406" s="7" t="inlineStr">
        <is>
          <t>Privada</t>
        </is>
      </c>
      <c r="H406" s="7" t="inlineStr">
        <is>
          <t>Não</t>
        </is>
      </c>
      <c r="I406" s="7" t="inlineStr">
        <is>
          <t>Doloso</t>
        </is>
      </c>
      <c r="J406" s="7" t="inlineStr">
        <is>
          <t>Sim</t>
        </is>
      </c>
      <c r="K406" s="16" t="inlineStr">
        <is>
          <t>14 incisos: publicar falsa afirmação, empregar meio fraudulento, usar indevidamente nome comercial, etc.</t>
        </is>
      </c>
      <c r="L406" s="16" t="inlineStr">
        <is>
          <t>3 meses a 1 ano</t>
        </is>
      </c>
      <c r="M406" s="7" t="inlineStr">
        <is>
          <t>Sim</t>
        </is>
      </c>
      <c r="N406" s="7" t="inlineStr">
        <is>
          <t>Sim</t>
        </is>
      </c>
    </row>
    <row r="407">
      <c r="A407" s="7" t="inlineStr">
        <is>
          <t>Lei 7.716/89 (ADO 26)</t>
        </is>
      </c>
      <c r="B407" s="7" t="inlineStr">
        <is>
          <t>Art. 20 c/c ADO 26</t>
        </is>
      </c>
      <c r="C407" s="16" t="inlineStr">
        <is>
          <t>Homotransfobia (equiparada a racismo)</t>
        </is>
      </c>
      <c r="D407" s="7" t="n">
        <v>12</v>
      </c>
      <c r="E407" s="7" t="n">
        <v>36</v>
      </c>
      <c r="F407" s="7" t="inlineStr">
        <is>
          <t>Reclusão</t>
        </is>
      </c>
      <c r="G407" s="7" t="inlineStr">
        <is>
          <t>Pública Incondicionada</t>
        </is>
      </c>
      <c r="H407" s="7" t="inlineStr">
        <is>
          <t>Não</t>
        </is>
      </c>
      <c r="I407" s="7" t="inlineStr">
        <is>
          <t>Doloso</t>
        </is>
      </c>
      <c r="J407" s="7" t="inlineStr">
        <is>
          <t>Sim</t>
        </is>
      </c>
      <c r="K407" s="16" t="inlineStr">
        <is>
          <t>Mesmas da Lei 7.716/89</t>
        </is>
      </c>
      <c r="L407" s="16" t="inlineStr">
        <is>
          <t>STF (ADO 26, 2019): homofobia/transfobia enquadrada como racismo (conceito de raça social). Inafiançável e imprescritível</t>
        </is>
      </c>
      <c r="M407" s="7" t="inlineStr">
        <is>
          <t>Sim</t>
        </is>
      </c>
      <c r="N407" s="7" t="inlineStr">
        <is>
          <t>Sim</t>
        </is>
      </c>
    </row>
    <row r="408">
      <c r="A408" s="7" t="inlineStr">
        <is>
          <t>LCP (DL 3.688/41)</t>
        </is>
      </c>
      <c r="B408" s="7" t="inlineStr">
        <is>
          <t>Art. 21</t>
        </is>
      </c>
      <c r="C408" s="16" t="inlineStr">
        <is>
          <t>Vias de fato (contravenção)</t>
        </is>
      </c>
      <c r="D408" s="7" t="n">
        <v>15</v>
      </c>
      <c r="E408" s="7" t="n">
        <v>3</v>
      </c>
      <c r="F408" s="7" t="inlineStr">
        <is>
          <t>Prisão simples</t>
        </is>
      </c>
      <c r="G408" s="7" t="inlineStr">
        <is>
          <t>Pública Incondicionada</t>
        </is>
      </c>
      <c r="H408" s="7" t="inlineStr">
        <is>
          <t>Não</t>
        </is>
      </c>
      <c r="I408" s="7" t="inlineStr">
        <is>
          <t>Doloso</t>
        </is>
      </c>
      <c r="J408" s="7" t="inlineStr">
        <is>
          <t>Não</t>
        </is>
      </c>
      <c r="K408" s="16" t="inlineStr">
        <is>
          <t>—</t>
        </is>
      </c>
      <c r="L408" s="16" t="inlineStr">
        <is>
          <t>15 dias a 3 meses. Agressão física sem lesão. Violência doméstica: pode ser lesão corporal (Art. 129, §9º, CP)</t>
        </is>
      </c>
      <c r="M408" s="7" t="inlineStr">
        <is>
          <t>Sim</t>
        </is>
      </c>
      <c r="N408" s="7" t="inlineStr">
        <is>
          <t>Não</t>
        </is>
      </c>
    </row>
    <row r="409">
      <c r="A409" s="7" t="inlineStr">
        <is>
          <t>LCP (DL 3.688/41)</t>
        </is>
      </c>
      <c r="B409" s="7" t="inlineStr">
        <is>
          <t>Art. 42</t>
        </is>
      </c>
      <c r="C409" s="16" t="inlineStr">
        <is>
          <t>Perturbação do trabalho ou do sossego alheios</t>
        </is>
      </c>
      <c r="D409" s="7" t="n">
        <v>15</v>
      </c>
      <c r="E409" s="7" t="n">
        <v>3</v>
      </c>
      <c r="F409" s="7" t="inlineStr">
        <is>
          <t>Prisão simples</t>
        </is>
      </c>
      <c r="G409" s="7" t="inlineStr">
        <is>
          <t>Pública Incondicionada</t>
        </is>
      </c>
      <c r="H409" s="7" t="inlineStr">
        <is>
          <t>Não</t>
        </is>
      </c>
      <c r="I409" s="7" t="inlineStr">
        <is>
          <t>Doloso</t>
        </is>
      </c>
      <c r="J409" s="7" t="inlineStr">
        <is>
          <t>Não</t>
        </is>
      </c>
      <c r="K409" s="16" t="inlineStr">
        <is>
          <t>—</t>
        </is>
      </c>
      <c r="L409" s="16" t="inlineStr">
        <is>
          <t>15 dias a 3 meses. Perturbar com barulho/exercício de profissão incômoda/abuso de instrumentos</t>
        </is>
      </c>
      <c r="M409" s="7" t="inlineStr">
        <is>
          <t>Sim</t>
        </is>
      </c>
      <c r="N409" s="7" t="inlineStr">
        <is>
          <t>Não</t>
        </is>
      </c>
    </row>
    <row r="410">
      <c r="A410" s="7" t="inlineStr">
        <is>
          <t>LCP (DL 3.688/41)</t>
        </is>
      </c>
      <c r="B410" s="7" t="inlineStr">
        <is>
          <t>Art. 47</t>
        </is>
      </c>
      <c r="C410" s="16" t="inlineStr">
        <is>
          <t>Exercício ilegal de profissão ou atividade (contravenção)</t>
        </is>
      </c>
      <c r="D410" s="7" t="n">
        <v>15</v>
      </c>
      <c r="E410" s="7" t="n">
        <v>3</v>
      </c>
      <c r="F410" s="7" t="inlineStr">
        <is>
          <t>Prisão simples</t>
        </is>
      </c>
      <c r="G410" s="7" t="inlineStr">
        <is>
          <t>Pública Incondicionada</t>
        </is>
      </c>
      <c r="H410" s="7" t="inlineStr">
        <is>
          <t>Não</t>
        </is>
      </c>
      <c r="I410" s="7" t="inlineStr">
        <is>
          <t>Doloso</t>
        </is>
      </c>
      <c r="J410" s="7" t="inlineStr">
        <is>
          <t>Não</t>
        </is>
      </c>
      <c r="K410" s="16" t="inlineStr">
        <is>
          <t>—</t>
        </is>
      </c>
      <c r="L410" s="16" t="inlineStr">
        <is>
          <t>15 dias a 3 meses. Exercer profissão ou atividade sem preencher condições legais</t>
        </is>
      </c>
      <c r="M410" s="7" t="inlineStr">
        <is>
          <t>Sim</t>
        </is>
      </c>
      <c r="N410" s="7" t="inlineStr">
        <is>
          <t>Não</t>
        </is>
      </c>
    </row>
    <row r="411">
      <c r="A411" s="7" t="inlineStr">
        <is>
          <t>LCP (DL 3.688/41)</t>
        </is>
      </c>
      <c r="B411" s="7" t="inlineStr">
        <is>
          <t>Art. 50</t>
        </is>
      </c>
      <c r="C411" s="16" t="inlineStr">
        <is>
          <t>Jogo de azar (contravenção)</t>
        </is>
      </c>
      <c r="D411" s="7" t="n">
        <v>3</v>
      </c>
      <c r="E411" s="7" t="n">
        <v>12</v>
      </c>
      <c r="F411" s="7" t="inlineStr">
        <is>
          <t>Prisão simples</t>
        </is>
      </c>
      <c r="G411" s="7" t="inlineStr">
        <is>
          <t>Pública Incondicionada</t>
        </is>
      </c>
      <c r="H411" s="7" t="inlineStr">
        <is>
          <t>Não</t>
        </is>
      </c>
      <c r="I411" s="7" t="inlineStr">
        <is>
          <t>Doloso</t>
        </is>
      </c>
      <c r="J411" s="7" t="inlineStr">
        <is>
          <t>Não</t>
        </is>
      </c>
      <c r="K411" s="16" t="inlineStr">
        <is>
          <t>§1º: pena dobra se reincidente. §2º: mesma pena se com animais (rinha)</t>
        </is>
      </c>
      <c r="L411" s="16" t="inlineStr">
        <is>
          <t>3 meses a 1 ano. Inclui jogo do bicho. §3º: +1/3 se em lugar público ou acessível ao público. Debate sobre legalização</t>
        </is>
      </c>
      <c r="M411" s="7" t="inlineStr">
        <is>
          <t>Sim</t>
        </is>
      </c>
      <c r="N411" s="7" t="inlineStr">
        <is>
          <t>Sim</t>
        </is>
      </c>
    </row>
    <row r="412">
      <c r="A412" s="7" t="inlineStr">
        <is>
          <t>LCP (DL 3.688/41)</t>
        </is>
      </c>
      <c r="B412" s="7" t="inlineStr">
        <is>
          <t>Art. 65</t>
        </is>
      </c>
      <c r="C412" s="16" t="inlineStr">
        <is>
          <t>Perturbação da tranquilidade (contravenção)</t>
        </is>
      </c>
      <c r="D412" s="7" t="n">
        <v>15</v>
      </c>
      <c r="E412" s="7" t="n">
        <v>2</v>
      </c>
      <c r="F412" s="7" t="inlineStr">
        <is>
          <t>Prisão simples</t>
        </is>
      </c>
      <c r="G412" s="7" t="inlineStr">
        <is>
          <t>Pública Incondicionada</t>
        </is>
      </c>
      <c r="H412" s="7" t="inlineStr">
        <is>
          <t>Não</t>
        </is>
      </c>
      <c r="I412" s="7" t="inlineStr">
        <is>
          <t>Doloso</t>
        </is>
      </c>
      <c r="J412" s="7" t="inlineStr">
        <is>
          <t>Não</t>
        </is>
      </c>
      <c r="K412" s="16" t="inlineStr">
        <is>
          <t>—</t>
        </is>
      </c>
      <c r="L412" s="16" t="inlineStr">
        <is>
          <t>15 dias a 2 meses. Molestar alguém ou perturbar a tranquilidade, por acinte ou motivo reprovável</t>
        </is>
      </c>
      <c r="M412" s="7" t="inlineStr">
        <is>
          <t>Sim</t>
        </is>
      </c>
      <c r="N412" s="7" t="inlineStr">
        <is>
          <t>Não</t>
        </is>
      </c>
    </row>
    <row r="413">
      <c r="A413" s="7" t="inlineStr">
        <is>
          <t>LCP (DL 3.688/41)</t>
        </is>
      </c>
      <c r="B413" s="7" t="inlineStr">
        <is>
          <t>Art. 68</t>
        </is>
      </c>
      <c r="C413" s="16" t="inlineStr">
        <is>
          <t>Recusa de dados sobre a própria identidade ou qualificação (contravenção)</t>
        </is>
      </c>
      <c r="D413" s="7" t="n">
        <v>15</v>
      </c>
      <c r="E413" s="7" t="n">
        <v>6</v>
      </c>
      <c r="F413" s="7" t="inlineStr">
        <is>
          <t>Multa</t>
        </is>
      </c>
      <c r="G413" s="7" t="inlineStr">
        <is>
          <t>Pública Incondicionada</t>
        </is>
      </c>
      <c r="H413" s="7" t="inlineStr">
        <is>
          <t>Não</t>
        </is>
      </c>
      <c r="I413" s="7" t="inlineStr">
        <is>
          <t>Doloso</t>
        </is>
      </c>
      <c r="J413" s="7" t="inlineStr">
        <is>
          <t>Não</t>
        </is>
      </c>
      <c r="K413" s="16" t="inlineStr">
        <is>
          <t>—</t>
        </is>
      </c>
      <c r="L413" s="16" t="inlineStr">
        <is>
          <t>Multa. Recusar à autoridade dados sobre identidade quando solicitados</t>
        </is>
      </c>
      <c r="M413" s="7" t="inlineStr">
        <is>
          <t>Sim</t>
        </is>
      </c>
      <c r="N413" s="7" t="inlineStr">
        <is>
          <t>Não</t>
        </is>
      </c>
    </row>
    <row r="414">
      <c r="A414" s="7" t="inlineStr">
        <is>
          <t>CE (4.737/65)</t>
        </is>
      </c>
      <c r="B414" s="7" t="inlineStr">
        <is>
          <t>Art. 289</t>
        </is>
      </c>
      <c r="C414" s="16" t="inlineStr">
        <is>
          <t>Inscrição fraudulenta de eleitor</t>
        </is>
      </c>
      <c r="D414" s="7" t="n">
        <v>0</v>
      </c>
      <c r="E414" s="7" t="n">
        <v>60</v>
      </c>
      <c r="F414" s="7" t="inlineStr">
        <is>
          <t>Reclusão</t>
        </is>
      </c>
      <c r="G414" s="7" t="inlineStr">
        <is>
          <t>Pública Incondicionada</t>
        </is>
      </c>
      <c r="H414" s="7" t="inlineStr">
        <is>
          <t>Não</t>
        </is>
      </c>
      <c r="I414" s="7" t="inlineStr">
        <is>
          <t>Doloso</t>
        </is>
      </c>
      <c r="J414" s="7" t="inlineStr">
        <is>
          <t>Sim</t>
        </is>
      </c>
      <c r="K414" s="16" t="inlineStr">
        <is>
          <t>—</t>
        </is>
      </c>
      <c r="L414" s="16" t="inlineStr">
        <is>
          <t>Até 5 anos + multa. Inscrever-se fraudulentamente como eleitor</t>
        </is>
      </c>
      <c r="M414" s="7" t="inlineStr">
        <is>
          <t>—</t>
        </is>
      </c>
      <c r="N414" s="7" t="inlineStr">
        <is>
          <t>—</t>
        </is>
      </c>
    </row>
    <row r="415">
      <c r="A415" s="7" t="inlineStr">
        <is>
          <t>CE (4.737/65)</t>
        </is>
      </c>
      <c r="B415" s="7" t="inlineStr">
        <is>
          <t>Art. 299</t>
        </is>
      </c>
      <c r="C415" s="16" t="inlineStr">
        <is>
          <t>Corrupção eleitoral (compra de votos)</t>
        </is>
      </c>
      <c r="D415" s="7" t="n">
        <v>12</v>
      </c>
      <c r="E415" s="7" t="n">
        <v>48</v>
      </c>
      <c r="F415" s="7" t="inlineStr">
        <is>
          <t>Reclusão</t>
        </is>
      </c>
      <c r="G415" s="7" t="inlineStr">
        <is>
          <t>Pública Incondicionada</t>
        </is>
      </c>
      <c r="H415" s="7" t="inlineStr">
        <is>
          <t>Não</t>
        </is>
      </c>
      <c r="I415" s="7" t="inlineStr">
        <is>
          <t>Doloso</t>
        </is>
      </c>
      <c r="J415" s="7" t="inlineStr">
        <is>
          <t>Sim</t>
        </is>
      </c>
      <c r="K415" s="16" t="inlineStr">
        <is>
          <t>—</t>
        </is>
      </c>
      <c r="L415" s="16" t="inlineStr">
        <is>
          <t>Dar/oferecer/prometer/solicitar/receber dinheiro/dádiva ou vantagem para obter/dar voto. Crime bilateral (tanto quem compra quanto quem vende)</t>
        </is>
      </c>
      <c r="M415" s="7" t="inlineStr">
        <is>
          <t>Sim</t>
        </is>
      </c>
      <c r="N415" s="7" t="inlineStr">
        <is>
          <t>Sim</t>
        </is>
      </c>
    </row>
    <row r="416">
      <c r="A416" s="7" t="inlineStr">
        <is>
          <t>CE (4.737/65)</t>
        </is>
      </c>
      <c r="B416" s="7" t="inlineStr">
        <is>
          <t>Art. 300</t>
        </is>
      </c>
      <c r="C416" s="16" t="inlineStr">
        <is>
          <t>Uso de propaganda eleitoral irregular (boca de urna)</t>
        </is>
      </c>
      <c r="D416" s="7" t="n">
        <v>6</v>
      </c>
      <c r="E416" s="7" t="n">
        <v>12</v>
      </c>
      <c r="F416" s="7" t="inlineStr">
        <is>
          <t>Detenção</t>
        </is>
      </c>
      <c r="G416" s="7" t="inlineStr">
        <is>
          <t>Pública Incondicionada</t>
        </is>
      </c>
      <c r="H416" s="7" t="inlineStr">
        <is>
          <t>Não</t>
        </is>
      </c>
      <c r="I416" s="7" t="inlineStr">
        <is>
          <t>Doloso</t>
        </is>
      </c>
      <c r="J416" s="7" t="inlineStr">
        <is>
          <t>Sim</t>
        </is>
      </c>
      <c r="K416" s="16" t="inlineStr">
        <is>
          <t>—</t>
        </is>
      </c>
      <c r="L416" s="16" t="inlineStr">
        <is>
          <t>Multa + detenção</t>
        </is>
      </c>
      <c r="M416" s="7" t="inlineStr">
        <is>
          <t>Sim</t>
        </is>
      </c>
      <c r="N416" s="7" t="inlineStr">
        <is>
          <t>Sim</t>
        </is>
      </c>
    </row>
    <row r="417">
      <c r="A417" s="7" t="inlineStr">
        <is>
          <t>CE (4.737/65)</t>
        </is>
      </c>
      <c r="B417" s="7" t="inlineStr">
        <is>
          <t>Art. 301</t>
        </is>
      </c>
      <c r="C417" s="16" t="inlineStr">
        <is>
          <t>Usar de violência ou grave ameaça para coagir voto</t>
        </is>
      </c>
      <c r="D417" s="7" t="n">
        <v>0</v>
      </c>
      <c r="E417" s="7" t="n">
        <v>48</v>
      </c>
      <c r="F417" s="7" t="inlineStr">
        <is>
          <t>Reclusão</t>
        </is>
      </c>
      <c r="G417" s="7" t="inlineStr">
        <is>
          <t>Pública Incondicionada</t>
        </is>
      </c>
      <c r="H417" s="7" t="inlineStr">
        <is>
          <t>Não</t>
        </is>
      </c>
      <c r="I417" s="7" t="inlineStr">
        <is>
          <t>Doloso</t>
        </is>
      </c>
      <c r="J417" s="7" t="inlineStr">
        <is>
          <t>Sim</t>
        </is>
      </c>
      <c r="K417" s="16" t="inlineStr">
        <is>
          <t>—</t>
        </is>
      </c>
      <c r="L417" s="16" t="inlineStr">
        <is>
          <t>Até 4 anos + multa</t>
        </is>
      </c>
      <c r="M417" s="7" t="inlineStr">
        <is>
          <t>—</t>
        </is>
      </c>
      <c r="N417" s="7" t="inlineStr">
        <is>
          <t>—</t>
        </is>
      </c>
    </row>
    <row r="418">
      <c r="A418" s="7" t="inlineStr">
        <is>
          <t>CE (4.737/65)</t>
        </is>
      </c>
      <c r="B418" s="7" t="inlineStr">
        <is>
          <t>Art. 309</t>
        </is>
      </c>
      <c r="C418" s="16" t="inlineStr">
        <is>
          <t>Votar em lugar de outrem</t>
        </is>
      </c>
      <c r="D418" s="7" t="n">
        <v>0</v>
      </c>
      <c r="E418" s="7" t="n">
        <v>36</v>
      </c>
      <c r="F418" s="7" t="inlineStr">
        <is>
          <t>Reclusão</t>
        </is>
      </c>
      <c r="G418" s="7" t="inlineStr">
        <is>
          <t>Pública Incondicionada</t>
        </is>
      </c>
      <c r="H418" s="7" t="inlineStr">
        <is>
          <t>Não</t>
        </is>
      </c>
      <c r="I418" s="7" t="inlineStr">
        <is>
          <t>Doloso</t>
        </is>
      </c>
      <c r="J418" s="7" t="inlineStr">
        <is>
          <t>Sim</t>
        </is>
      </c>
      <c r="K418" s="16" t="inlineStr">
        <is>
          <t>—</t>
        </is>
      </c>
      <c r="L418" s="16" t="inlineStr">
        <is>
          <t>Até 3 anos</t>
        </is>
      </c>
      <c r="M418" s="7" t="inlineStr">
        <is>
          <t>—</t>
        </is>
      </c>
      <c r="N418" s="7" t="inlineStr">
        <is>
          <t>—</t>
        </is>
      </c>
    </row>
    <row r="419">
      <c r="A419" s="7" t="inlineStr">
        <is>
          <t>CE (4.737/65)</t>
        </is>
      </c>
      <c r="B419" s="7" t="inlineStr">
        <is>
          <t>Art. 310</t>
        </is>
      </c>
      <c r="C419" s="16" t="inlineStr">
        <is>
          <t>Votar mais de uma vez ou em lugar de outrem</t>
        </is>
      </c>
      <c r="D419" s="7" t="n">
        <v>0</v>
      </c>
      <c r="E419" s="7" t="n">
        <v>36</v>
      </c>
      <c r="F419" s="7" t="inlineStr">
        <is>
          <t>Reclusão</t>
        </is>
      </c>
      <c r="G419" s="7" t="inlineStr">
        <is>
          <t>Pública Incondicionada</t>
        </is>
      </c>
      <c r="H419" s="7" t="inlineStr">
        <is>
          <t>Não</t>
        </is>
      </c>
      <c r="I419" s="7" t="inlineStr">
        <is>
          <t>Doloso</t>
        </is>
      </c>
      <c r="J419" s="7" t="inlineStr">
        <is>
          <t>Sim</t>
        </is>
      </c>
      <c r="K419" s="16" t="inlineStr">
        <is>
          <t>—</t>
        </is>
      </c>
      <c r="L419" s="16" t="inlineStr">
        <is>
          <t>Até 3 anos</t>
        </is>
      </c>
      <c r="M419" s="7" t="inlineStr">
        <is>
          <t>—</t>
        </is>
      </c>
      <c r="N419" s="7" t="inlineStr">
        <is>
          <t>—</t>
        </is>
      </c>
    </row>
    <row r="420">
      <c r="A420" s="7" t="inlineStr">
        <is>
          <t>CE (4.737/65)</t>
        </is>
      </c>
      <c r="B420" s="7" t="inlineStr">
        <is>
          <t>Art. 323</t>
        </is>
      </c>
      <c r="C420" s="16" t="inlineStr">
        <is>
          <t>Divulgação de fake news eleitoral</t>
        </is>
      </c>
      <c r="D420" s="7" t="n">
        <v>2</v>
      </c>
      <c r="E420" s="7" t="n">
        <v>12</v>
      </c>
      <c r="F420" s="7" t="inlineStr">
        <is>
          <t>Detenção</t>
        </is>
      </c>
      <c r="G420" s="7" t="inlineStr">
        <is>
          <t>Pública Incondicionada</t>
        </is>
      </c>
      <c r="H420" s="7" t="inlineStr">
        <is>
          <t>Não</t>
        </is>
      </c>
      <c r="I420" s="7" t="inlineStr">
        <is>
          <t>Doloso</t>
        </is>
      </c>
      <c r="J420" s="7" t="inlineStr">
        <is>
          <t>Sim</t>
        </is>
      </c>
      <c r="K420" s="16" t="inlineStr">
        <is>
          <t>—</t>
        </is>
      </c>
      <c r="L420" s="16" t="inlineStr">
        <is>
          <t>2 meses a 1 ano. Divulgar fatos sabidamente inverídicos relativos a partidos/candidatos</t>
        </is>
      </c>
      <c r="M420" s="7" t="inlineStr">
        <is>
          <t>Sim</t>
        </is>
      </c>
      <c r="N420" s="7" t="inlineStr">
        <is>
          <t>Sim</t>
        </is>
      </c>
    </row>
    <row r="421">
      <c r="A421" s="7" t="inlineStr">
        <is>
          <t>CE (4.737/65)</t>
        </is>
      </c>
      <c r="B421" s="7" t="inlineStr">
        <is>
          <t>Art. 347</t>
        </is>
      </c>
      <c r="C421" s="16" t="inlineStr">
        <is>
          <t>Violação do sigilo do voto</t>
        </is>
      </c>
      <c r="D421" s="7" t="n">
        <v>0</v>
      </c>
      <c r="E421" s="7" t="n">
        <v>24</v>
      </c>
      <c r="F421" s="7" t="inlineStr">
        <is>
          <t>Detenção</t>
        </is>
      </c>
      <c r="G421" s="7" t="inlineStr">
        <is>
          <t>Pública Incondicionada</t>
        </is>
      </c>
      <c r="H421" s="7" t="inlineStr">
        <is>
          <t>Não</t>
        </is>
      </c>
      <c r="I421" s="7" t="inlineStr">
        <is>
          <t>Doloso</t>
        </is>
      </c>
      <c r="J421" s="7" t="inlineStr">
        <is>
          <t>Sim</t>
        </is>
      </c>
      <c r="K421" s="16" t="inlineStr">
        <is>
          <t>—</t>
        </is>
      </c>
      <c r="L421" s="16" t="inlineStr">
        <is>
          <t>Até 2 anos. Violar/tentar violar o sigilo do voto</t>
        </is>
      </c>
      <c r="M421" s="7" t="inlineStr">
        <is>
          <t>—</t>
        </is>
      </c>
      <c r="N421" s="7" t="inlineStr">
        <is>
          <t>—</t>
        </is>
      </c>
    </row>
    <row r="422">
      <c r="A422" s="7" t="inlineStr">
        <is>
          <t>Lei 13.445/17</t>
        </is>
      </c>
      <c r="B422" s="7" t="inlineStr">
        <is>
          <t>Art. 232-A</t>
        </is>
      </c>
      <c r="C422" s="16" t="inlineStr">
        <is>
          <t>Promoção de migração ilegal</t>
        </is>
      </c>
      <c r="D422" s="7" t="n">
        <v>24</v>
      </c>
      <c r="E422" s="7" t="n">
        <v>60</v>
      </c>
      <c r="F422" s="7" t="inlineStr">
        <is>
          <t>Reclusão</t>
        </is>
      </c>
      <c r="G422" s="7" t="inlineStr">
        <is>
          <t>Pública Incondicionada</t>
        </is>
      </c>
      <c r="H422" s="7" t="inlineStr">
        <is>
          <t>Não</t>
        </is>
      </c>
      <c r="I422" s="7" t="inlineStr">
        <is>
          <t>Doloso</t>
        </is>
      </c>
      <c r="J422" s="7" t="inlineStr">
        <is>
          <t>Sim</t>
        </is>
      </c>
      <c r="K422" s="16" t="inlineStr">
        <is>
          <t>§1º: +1/6 a 1/3 se com fim de obter vantagem econômica. §2º: +1/3 a metade se condição degradante</t>
        </is>
      </c>
      <c r="L422" s="16" t="inlineStr">
        <is>
          <t>Promover, por qualquer meio, com auxílio ou facilitação, a entrada ilegal de estrangeiro em território nacional ou de brasileiro em país estrangeiro</t>
        </is>
      </c>
      <c r="M422" s="7" t="inlineStr">
        <is>
          <t>Sim</t>
        </is>
      </c>
      <c r="N422" s="7" t="inlineStr">
        <is>
          <t>Não</t>
        </is>
      </c>
    </row>
    <row r="423">
      <c r="A423" s="7" t="inlineStr">
        <is>
          <t>Lei 13.869/19</t>
        </is>
      </c>
      <c r="B423" s="7" t="inlineStr">
        <is>
          <t>Art. 16</t>
        </is>
      </c>
      <c r="C423" s="16" t="inlineStr">
        <is>
          <t>Deixar de identificar-se ou identificar-se falsamente ao preso</t>
        </is>
      </c>
      <c r="D423" s="7" t="n">
        <v>6</v>
      </c>
      <c r="E423" s="7" t="n">
        <v>24</v>
      </c>
      <c r="F423" s="7" t="inlineStr">
        <is>
          <t>Detenção</t>
        </is>
      </c>
      <c r="G423" s="7" t="inlineStr">
        <is>
          <t>Pública Incondicionada</t>
        </is>
      </c>
      <c r="H423" s="7" t="inlineStr">
        <is>
          <t>Não</t>
        </is>
      </c>
      <c r="I423" s="7" t="inlineStr">
        <is>
          <t>Doloso</t>
        </is>
      </c>
      <c r="J423" s="7" t="inlineStr">
        <is>
          <t>Sim</t>
        </is>
      </c>
      <c r="K423" s="16" t="inlineStr">
        <is>
          <t>—</t>
        </is>
      </c>
      <c r="L423" s="16" t="inlineStr">
        <is>
          <t>No momento da prisão</t>
        </is>
      </c>
      <c r="M423" s="7" t="inlineStr">
        <is>
          <t>Sim</t>
        </is>
      </c>
      <c r="N423" s="7" t="inlineStr">
        <is>
          <t>Sim</t>
        </is>
      </c>
    </row>
    <row r="424">
      <c r="A424" s="7" t="inlineStr">
        <is>
          <t>Lei 13.869/19</t>
        </is>
      </c>
      <c r="B424" s="7" t="inlineStr">
        <is>
          <t>Art. 18</t>
        </is>
      </c>
      <c r="C424" s="16" t="inlineStr">
        <is>
          <t>Submeter preso a interrogatório durante período de repouso noturno</t>
        </is>
      </c>
      <c r="D424" s="7" t="n">
        <v>12</v>
      </c>
      <c r="E424" s="7" t="n">
        <v>48</v>
      </c>
      <c r="F424" s="7" t="inlineStr">
        <is>
          <t>Detenção</t>
        </is>
      </c>
      <c r="G424" s="7" t="inlineStr">
        <is>
          <t>Pública Incondicionada</t>
        </is>
      </c>
      <c r="H424" s="7" t="inlineStr">
        <is>
          <t>Não</t>
        </is>
      </c>
      <c r="I424" s="7" t="inlineStr">
        <is>
          <t>Doloso</t>
        </is>
      </c>
      <c r="J424" s="7" t="inlineStr">
        <is>
          <t>Sim</t>
        </is>
      </c>
      <c r="K424" s="16" t="inlineStr">
        <is>
          <t>—</t>
        </is>
      </c>
      <c r="L424" s="16" t="inlineStr">
        <is>
          <t>Salvo se o preso der causa ao interrogatório</t>
        </is>
      </c>
      <c r="M424" s="7" t="inlineStr">
        <is>
          <t>Sim</t>
        </is>
      </c>
      <c r="N424" s="7" t="inlineStr">
        <is>
          <t>Sim</t>
        </is>
      </c>
    </row>
    <row r="425">
      <c r="A425" s="7" t="inlineStr">
        <is>
          <t>Lei 13.869/19</t>
        </is>
      </c>
      <c r="B425" s="7" t="inlineStr">
        <is>
          <t>Art. 20</t>
        </is>
      </c>
      <c r="C425" s="16" t="inlineStr">
        <is>
          <t>Impedir acesso de advogado a autos de investigação (preso)</t>
        </is>
      </c>
      <c r="D425" s="7" t="n">
        <v>3</v>
      </c>
      <c r="E425" s="7" t="n">
        <v>12</v>
      </c>
      <c r="F425" s="7" t="inlineStr">
        <is>
          <t>Detenção</t>
        </is>
      </c>
      <c r="G425" s="7" t="inlineStr">
        <is>
          <t>Pública Incondicionada</t>
        </is>
      </c>
      <c r="H425" s="7" t="inlineStr">
        <is>
          <t>Não</t>
        </is>
      </c>
      <c r="I425" s="7" t="inlineStr">
        <is>
          <t>Doloso</t>
        </is>
      </c>
      <c r="J425" s="7" t="inlineStr">
        <is>
          <t>Sim</t>
        </is>
      </c>
      <c r="K425" s="16" t="inlineStr">
        <is>
          <t>—</t>
        </is>
      </c>
      <c r="L425" s="16" t="inlineStr">
        <is>
          <t>3 meses a 1 ano</t>
        </is>
      </c>
      <c r="M425" s="7" t="inlineStr">
        <is>
          <t>Sim</t>
        </is>
      </c>
      <c r="N425" s="7" t="inlineStr">
        <is>
          <t>Sim</t>
        </is>
      </c>
    </row>
    <row r="426">
      <c r="A426" s="7" t="inlineStr">
        <is>
          <t>Lei 13.869/19</t>
        </is>
      </c>
      <c r="B426" s="7" t="inlineStr">
        <is>
          <t>Art. 21</t>
        </is>
      </c>
      <c r="C426" s="16" t="inlineStr">
        <is>
          <t>Manter presos de diferentes categorias juntos</t>
        </is>
      </c>
      <c r="D426" s="7" t="n">
        <v>12</v>
      </c>
      <c r="E426" s="7" t="n">
        <v>48</v>
      </c>
      <c r="F426" s="7" t="inlineStr">
        <is>
          <t>Detenção</t>
        </is>
      </c>
      <c r="G426" s="7" t="inlineStr">
        <is>
          <t>Pública Incondicionada</t>
        </is>
      </c>
      <c r="H426" s="7" t="inlineStr">
        <is>
          <t>Não</t>
        </is>
      </c>
      <c r="I426" s="7" t="inlineStr">
        <is>
          <t>Doloso</t>
        </is>
      </c>
      <c r="J426" s="7" t="inlineStr">
        <is>
          <t>Sim</t>
        </is>
      </c>
      <c r="K426" s="16" t="inlineStr">
        <is>
          <t>—</t>
        </is>
      </c>
      <c r="L426" s="16" t="inlineStr">
        <is>
          <t>Manter preso provisório com condenado definitivo em desacordo com lei</t>
        </is>
      </c>
      <c r="M426" s="7" t="inlineStr">
        <is>
          <t>Sim</t>
        </is>
      </c>
      <c r="N426" s="7" t="inlineStr">
        <is>
          <t>Sim</t>
        </is>
      </c>
    </row>
    <row r="427">
      <c r="A427" s="7" t="inlineStr">
        <is>
          <t>Lei 13.869/19</t>
        </is>
      </c>
      <c r="B427" s="7" t="inlineStr">
        <is>
          <t>Art. 23</t>
        </is>
      </c>
      <c r="C427" s="16" t="inlineStr">
        <is>
          <t>Inovar com falsidade em inquérito/processo judicial/administrativo</t>
        </is>
      </c>
      <c r="D427" s="7" t="n">
        <v>12</v>
      </c>
      <c r="E427" s="7" t="n">
        <v>48</v>
      </c>
      <c r="F427" s="7" t="inlineStr">
        <is>
          <t>Detenção</t>
        </is>
      </c>
      <c r="G427" s="7" t="inlineStr">
        <is>
          <t>Pública Incondicionada</t>
        </is>
      </c>
      <c r="H427" s="7" t="inlineStr">
        <is>
          <t>Não</t>
        </is>
      </c>
      <c r="I427" s="7" t="inlineStr">
        <is>
          <t>Doloso</t>
        </is>
      </c>
      <c r="J427" s="7" t="inlineStr">
        <is>
          <t>Sim</t>
        </is>
      </c>
      <c r="K427" s="16" t="inlineStr">
        <is>
          <t>—</t>
        </is>
      </c>
      <c r="L427" s="16" t="inlineStr"/>
      <c r="M427" s="7" t="inlineStr">
        <is>
          <t>Sim</t>
        </is>
      </c>
      <c r="N427" s="7" t="inlineStr">
        <is>
          <t>Sim</t>
        </is>
      </c>
    </row>
    <row r="428">
      <c r="A428" s="7" t="inlineStr">
        <is>
          <t>Lei 13.869/19</t>
        </is>
      </c>
      <c r="B428" s="7" t="inlineStr">
        <is>
          <t>Art. 28</t>
        </is>
      </c>
      <c r="C428" s="16" t="inlineStr">
        <is>
          <t>Divulgar gravação de presos sem autorização</t>
        </is>
      </c>
      <c r="D428" s="7" t="n">
        <v>12</v>
      </c>
      <c r="E428" s="7" t="n">
        <v>48</v>
      </c>
      <c r="F428" s="7" t="inlineStr">
        <is>
          <t>Detenção</t>
        </is>
      </c>
      <c r="G428" s="7" t="inlineStr">
        <is>
          <t>Pública Incondicionada</t>
        </is>
      </c>
      <c r="H428" s="7" t="inlineStr">
        <is>
          <t>Não</t>
        </is>
      </c>
      <c r="I428" s="7" t="inlineStr">
        <is>
          <t>Doloso</t>
        </is>
      </c>
      <c r="J428" s="7" t="inlineStr">
        <is>
          <t>Sim</t>
        </is>
      </c>
      <c r="K428" s="16" t="inlineStr">
        <is>
          <t>—</t>
        </is>
      </c>
      <c r="L428" s="16" t="inlineStr">
        <is>
          <t>Divulgar gravação ou trecho de escuta telefônica/gravação ambiental sem autorização judicial</t>
        </is>
      </c>
      <c r="M428" s="7" t="inlineStr">
        <is>
          <t>Sim</t>
        </is>
      </c>
      <c r="N428" s="7" t="inlineStr">
        <is>
          <t>Sim</t>
        </is>
      </c>
    </row>
    <row r="429">
      <c r="A429" s="7" t="inlineStr">
        <is>
          <t>Lei 13.869/19</t>
        </is>
      </c>
      <c r="B429" s="7" t="inlineStr">
        <is>
          <t>Art. 29</t>
        </is>
      </c>
      <c r="C429" s="16" t="inlineStr">
        <is>
          <t>Prestar informação falsa sobre procedimento judicial/administrativo a interessado</t>
        </is>
      </c>
      <c r="D429" s="7" t="n">
        <v>6</v>
      </c>
      <c r="E429" s="7" t="n">
        <v>24</v>
      </c>
      <c r="F429" s="7" t="inlineStr">
        <is>
          <t>Detenção</t>
        </is>
      </c>
      <c r="G429" s="7" t="inlineStr">
        <is>
          <t>Pública Incondicionada</t>
        </is>
      </c>
      <c r="H429" s="7" t="inlineStr">
        <is>
          <t>Não</t>
        </is>
      </c>
      <c r="I429" s="7" t="inlineStr">
        <is>
          <t>Doloso</t>
        </is>
      </c>
      <c r="J429" s="7" t="inlineStr">
        <is>
          <t>Sim</t>
        </is>
      </c>
      <c r="K429" s="16" t="inlineStr">
        <is>
          <t>—</t>
        </is>
      </c>
      <c r="L429" s="16" t="inlineStr"/>
      <c r="M429" s="7" t="inlineStr">
        <is>
          <t>Sim</t>
        </is>
      </c>
      <c r="N429" s="7" t="inlineStr">
        <is>
          <t>Sim</t>
        </is>
      </c>
    </row>
    <row r="430">
      <c r="A430" s="7" t="inlineStr">
        <is>
          <t>CP + Lei 7.716/89</t>
        </is>
      </c>
      <c r="B430" s="7" t="inlineStr">
        <is>
          <t>Art. 20, caput (religião)</t>
        </is>
      </c>
      <c r="C430" s="16" t="inlineStr">
        <is>
          <t>Intolerância religiosa (equiparada a racismo)</t>
        </is>
      </c>
      <c r="D430" s="7" t="n">
        <v>12</v>
      </c>
      <c r="E430" s="7" t="n">
        <v>36</v>
      </c>
      <c r="F430" s="7" t="inlineStr">
        <is>
          <t>Reclusão</t>
        </is>
      </c>
      <c r="G430" s="7" t="inlineStr">
        <is>
          <t>Pública Incondicionada</t>
        </is>
      </c>
      <c r="H430" s="7" t="inlineStr">
        <is>
          <t>Não</t>
        </is>
      </c>
      <c r="I430" s="7" t="inlineStr">
        <is>
          <t>Doloso</t>
        </is>
      </c>
      <c r="J430" s="7" t="inlineStr">
        <is>
          <t>Sim</t>
        </is>
      </c>
      <c r="K430" s="16" t="inlineStr">
        <is>
          <t>§2º: +1/3 se por meios de comunicação/internet</t>
        </is>
      </c>
      <c r="L430" s="16" t="inlineStr">
        <is>
          <t>Imprescritível e inafiançável quando enquadrado como racismo. Também Art. 208 CP (ultraje a culto) para ofensas a cerimônias</t>
        </is>
      </c>
      <c r="M430" s="7" t="inlineStr">
        <is>
          <t>Sim</t>
        </is>
      </c>
      <c r="N430" s="7" t="inlineStr">
        <is>
          <t>Sim</t>
        </is>
      </c>
    </row>
    <row r="431">
      <c r="A431" s="7" t="inlineStr">
        <is>
          <t>Lei 14.192/21</t>
        </is>
      </c>
      <c r="B431" s="7" t="inlineStr">
        <is>
          <t>Art. 326-B CE</t>
        </is>
      </c>
      <c r="C431" s="16" t="inlineStr">
        <is>
          <t>Violência política contra a mulher</t>
        </is>
      </c>
      <c r="D431" s="7" t="n">
        <v>12</v>
      </c>
      <c r="E431" s="7" t="n">
        <v>48</v>
      </c>
      <c r="F431" s="7" t="inlineStr">
        <is>
          <t>Reclusão</t>
        </is>
      </c>
      <c r="G431" s="7" t="inlineStr">
        <is>
          <t>Pública Incondicionada</t>
        </is>
      </c>
      <c r="H431" s="7" t="inlineStr">
        <is>
          <t>Não</t>
        </is>
      </c>
      <c r="I431" s="7" t="inlineStr">
        <is>
          <t>Doloso</t>
        </is>
      </c>
      <c r="J431" s="7" t="inlineStr">
        <is>
          <t>Sim</t>
        </is>
      </c>
      <c r="K431" s="16" t="inlineStr">
        <is>
          <t>+1/3 se contra candidata/eleita. +1/3 se em contexto de campanha</t>
        </is>
      </c>
      <c r="L431" s="16" t="inlineStr">
        <is>
          <t>Assediar/constranger/humilhar/perseguir/ameaçar candidata ou ocupante de cargo eletivo por razão de gênero</t>
        </is>
      </c>
      <c r="M431" s="7" t="inlineStr">
        <is>
          <t>Verificar</t>
        </is>
      </c>
      <c r="N431" s="7" t="inlineStr">
        <is>
          <t>Sim</t>
        </is>
      </c>
    </row>
    <row r="432">
      <c r="A432" s="7" t="inlineStr">
        <is>
          <t>Lei 12.737/12 + CP</t>
        </is>
      </c>
      <c r="B432" s="7" t="inlineStr">
        <is>
          <t>Art. 154-A, §3º</t>
        </is>
      </c>
      <c r="C432" s="16" t="inlineStr">
        <is>
          <t>Invasão de dispositivo — obtenção de conteúdo de comunicações privadas/sigilosas</t>
        </is>
      </c>
      <c r="D432" s="7" t="n">
        <v>24</v>
      </c>
      <c r="E432" s="7" t="n">
        <v>60</v>
      </c>
      <c r="F432" s="7" t="inlineStr">
        <is>
          <t>Reclusão</t>
        </is>
      </c>
      <c r="G432" s="7" t="inlineStr">
        <is>
          <t>Pública Incondicionada</t>
        </is>
      </c>
      <c r="H432" s="7" t="inlineStr">
        <is>
          <t>Não</t>
        </is>
      </c>
      <c r="I432" s="7" t="inlineStr">
        <is>
          <t>Doloso</t>
        </is>
      </c>
      <c r="J432" s="7" t="inlineStr">
        <is>
          <t>Sim</t>
        </is>
      </c>
      <c r="K432" s="16" t="inlineStr">
        <is>
          <t>§4º: +1/3 a 2/3 se divulga/comercializa dados obtidos. §5º: +1/3 a 2/3 se contra Presidente, governador, prefeito, presidente STF, CD, SF, etc.</t>
        </is>
      </c>
      <c r="L432" s="16" t="inlineStr">
        <is>
          <t>Forma qualificada da invasão de dispositivo (Art. 154-A)</t>
        </is>
      </c>
      <c r="M432" s="7" t="inlineStr">
        <is>
          <t>Sim</t>
        </is>
      </c>
      <c r="N432" s="7" t="inlineStr">
        <is>
          <t>Não</t>
        </is>
      </c>
    </row>
    <row r="433">
      <c r="A433" s="19" t="inlineStr">
        <is>
          <t>Lei 12.850/13</t>
        </is>
      </c>
      <c r="B433" s="19" t="inlineStr">
        <is>
          <t>Arts. 3º-A a 7º</t>
        </is>
      </c>
      <c r="C433" s="20" t="inlineStr">
        <is>
          <t>Colaboração premiada (instituto processual — não é tipo penal)</t>
        </is>
      </c>
      <c r="D433" s="19" t="inlineStr">
        <is>
          <t>—</t>
        </is>
      </c>
      <c r="E433" s="19" t="inlineStr">
        <is>
          <t>—</t>
        </is>
      </c>
      <c r="F433" s="19" t="inlineStr">
        <is>
          <t>—</t>
        </is>
      </c>
      <c r="G433" s="19" t="inlineStr">
        <is>
          <t>—</t>
        </is>
      </c>
      <c r="H433" s="19" t="inlineStr">
        <is>
          <t>—</t>
        </is>
      </c>
      <c r="I433" s="19" t="inlineStr">
        <is>
          <t>—</t>
        </is>
      </c>
      <c r="J433" s="19" t="inlineStr">
        <is>
          <t>—</t>
        </is>
      </c>
      <c r="K433" s="20" t="inlineStr">
        <is>
          <t>Benefícios: redução de até 2/3, substituição por restritiva de direitos, ou até perdão judicial. Requisitos: voluntariedade + resultados (identificação de coautores, recuperação de produto, localização de vítima, etc.)</t>
        </is>
      </c>
      <c r="L433" s="20" t="inlineStr">
        <is>
          <t>NÃO é crime. É meio de obtenção de prova. Incluído como referência para criminalistas. Pacote Anticrime formalizou regras (Art. 3º-A: sigilo, Art. 3º-B: proibição de colaboração sem advogado)</t>
        </is>
      </c>
      <c r="M433" s="19" t="inlineStr">
        <is>
          <t>—</t>
        </is>
      </c>
      <c r="N433" s="19" t="inlineStr">
        <is>
          <t>—</t>
        </is>
      </c>
    </row>
    <row r="434">
      <c r="A434" s="17" t="inlineStr">
        <is>
          <t>CP</t>
        </is>
      </c>
      <c r="B434" s="17" t="inlineStr">
        <is>
          <t>Art. 121-A</t>
        </is>
      </c>
      <c r="C434" s="18" t="inlineStr">
        <is>
          <t>Feminicídio</t>
        </is>
      </c>
      <c r="D434" s="17" t="n">
        <v>144</v>
      </c>
      <c r="E434" s="17" t="n">
        <v>360</v>
      </c>
      <c r="F434" s="17" t="inlineStr">
        <is>
          <t>Reclusão</t>
        </is>
      </c>
      <c r="G434" s="17" t="inlineStr">
        <is>
          <t>Pública Incondicionada</t>
        </is>
      </c>
      <c r="H434" s="17" t="inlineStr">
        <is>
          <t>Sim</t>
        </is>
      </c>
      <c r="I434" s="17" t="inlineStr">
        <is>
          <t>Doloso</t>
        </is>
      </c>
      <c r="J434" s="17" t="inlineStr">
        <is>
          <t>Sim</t>
        </is>
      </c>
      <c r="K434" s="18" t="inlineStr">
        <is>
          <t>§1º: razões de condição de sexo feminino (violência doméstica/menosprezo/discriminação). Aumento de 1/3 até metade se durante gestação/3 meses após parto, contra menor de 14 anos, na presença de descendente/ascendente, ou descumprimento de medida protetiva</t>
        </is>
      </c>
      <c r="L434" s="18" t="inlineStr">
        <is>
          <t>Hediondo. Lei 14.188/2021 criou artigo autônomo (antes era §2º-A do Art. 121). Competência do Tribunal do Júri</t>
        </is>
      </c>
      <c r="M434" s="17" t="inlineStr">
        <is>
          <t>Verificar</t>
        </is>
      </c>
      <c r="N434" s="17" t="inlineStr">
        <is>
          <t>Não</t>
        </is>
      </c>
    </row>
    <row r="435">
      <c r="A435" s="7" t="inlineStr">
        <is>
          <t>CP</t>
        </is>
      </c>
      <c r="B435" s="7" t="inlineStr">
        <is>
          <t>Art. 135-A</t>
        </is>
      </c>
      <c r="C435" s="16" t="inlineStr">
        <is>
          <t>Condicionamento de atendimento médico-hospitalar emergencial</t>
        </is>
      </c>
      <c r="D435" s="7" t="n">
        <v>3</v>
      </c>
      <c r="E435" s="7" t="n">
        <v>12</v>
      </c>
      <c r="F435" s="7" t="inlineStr">
        <is>
          <t>Detenção</t>
        </is>
      </c>
      <c r="G435" s="7" t="inlineStr">
        <is>
          <t>Pública Incondicionada</t>
        </is>
      </c>
      <c r="H435" s="7" t="inlineStr">
        <is>
          <t>Não</t>
        </is>
      </c>
      <c r="I435" s="7" t="inlineStr">
        <is>
          <t>Doloso</t>
        </is>
      </c>
      <c r="J435" s="7" t="inlineStr">
        <is>
          <t>Sim</t>
        </is>
      </c>
      <c r="K435" s="16" t="inlineStr">
        <is>
          <t>+1/3 se resulta lesão corporal grave; dobro se resulta morte</t>
        </is>
      </c>
      <c r="L435" s="16" t="inlineStr">
        <is>
          <t>Exigir cheque-caução, nota promissória ou qualquer garantia como condição para atendimento médico-hospitalar emergencial (Lei 12.653/2012)</t>
        </is>
      </c>
      <c r="M435" s="7" t="inlineStr">
        <is>
          <t>Sim</t>
        </is>
      </c>
      <c r="N435" s="7" t="inlineStr">
        <is>
          <t>Sim</t>
        </is>
      </c>
    </row>
    <row r="436">
      <c r="A436" s="7" t="inlineStr">
        <is>
          <t>CP</t>
        </is>
      </c>
      <c r="B436" s="7" t="inlineStr">
        <is>
          <t>Art. 147-B</t>
        </is>
      </c>
      <c r="C436" s="16" t="inlineStr">
        <is>
          <t>Violência psicológica contra a mulher</t>
        </is>
      </c>
      <c r="D436" s="7" t="n">
        <v>6</v>
      </c>
      <c r="E436" s="7" t="n">
        <v>24</v>
      </c>
      <c r="F436" s="7" t="inlineStr">
        <is>
          <t>Reclusão</t>
        </is>
      </c>
      <c r="G436" s="7" t="inlineStr">
        <is>
          <t>Pública Incondicionada</t>
        </is>
      </c>
      <c r="H436" s="7" t="inlineStr">
        <is>
          <t>Não</t>
        </is>
      </c>
      <c r="I436" s="7" t="inlineStr">
        <is>
          <t>Doloso</t>
        </is>
      </c>
      <c r="J436" s="7" t="inlineStr">
        <is>
          <t>Sim</t>
        </is>
      </c>
      <c r="K436" s="16" t="inlineStr">
        <is>
          <t>—</t>
        </is>
      </c>
      <c r="L436" s="16" t="inlineStr">
        <is>
          <t>Causar dano emocional à mulher que lhe prejudique e perturbe o pleno desenvolvimento ou que vise a degradar/controlar suas ações, comportamentos, crenças e decisões. Incluído pela Lei 14.188/2021</t>
        </is>
      </c>
      <c r="M436" s="7" t="inlineStr">
        <is>
          <t>Verificar</t>
        </is>
      </c>
      <c r="N436" s="7" t="inlineStr">
        <is>
          <t>Sim</t>
        </is>
      </c>
    </row>
    <row r="437">
      <c r="A437" s="7" t="inlineStr">
        <is>
          <t>CP</t>
        </is>
      </c>
      <c r="B437" s="7" t="inlineStr">
        <is>
          <t>Art. 180-A</t>
        </is>
      </c>
      <c r="C437" s="16" t="inlineStr">
        <is>
          <t>Receptação de animal</t>
        </is>
      </c>
      <c r="D437" s="7" t="n">
        <v>24</v>
      </c>
      <c r="E437" s="7" t="n">
        <v>60</v>
      </c>
      <c r="F437" s="7" t="inlineStr">
        <is>
          <t>Reclusão</t>
        </is>
      </c>
      <c r="G437" s="7" t="inlineStr">
        <is>
          <t>Pública Incondicionada</t>
        </is>
      </c>
      <c r="H437" s="7" t="inlineStr">
        <is>
          <t>Não</t>
        </is>
      </c>
      <c r="I437" s="7" t="inlineStr">
        <is>
          <t>Doloso</t>
        </is>
      </c>
      <c r="J437" s="7" t="inlineStr">
        <is>
          <t>Sim</t>
        </is>
      </c>
      <c r="K437" s="16" t="inlineStr">
        <is>
          <t>—</t>
        </is>
      </c>
      <c r="L437" s="16" t="inlineStr">
        <is>
          <t>Adquirir/receber/transportar/conduzir/ocultar/ter em depósito/desmontar/montar/remontar/exibir/vender semovente que sabe ser produto de crime. Incluído pela Lei 13.330/2016 (abigeato)</t>
        </is>
      </c>
      <c r="M437" s="7" t="inlineStr">
        <is>
          <t>Sim</t>
        </is>
      </c>
      <c r="N437" s="7" t="inlineStr">
        <is>
          <t>Não</t>
        </is>
      </c>
    </row>
    <row r="438">
      <c r="A438" s="7" t="inlineStr">
        <is>
          <t>CP</t>
        </is>
      </c>
      <c r="B438" s="7" t="inlineStr">
        <is>
          <t>Art. 216-B</t>
        </is>
      </c>
      <c r="C438" s="16" t="inlineStr">
        <is>
          <t>Registro não autorizado da intimidade sexual</t>
        </is>
      </c>
      <c r="D438" s="7" t="n">
        <v>6</v>
      </c>
      <c r="E438" s="7" t="n">
        <v>12</v>
      </c>
      <c r="F438" s="7" t="inlineStr">
        <is>
          <t>Detenção</t>
        </is>
      </c>
      <c r="G438" s="7" t="inlineStr">
        <is>
          <t>Pública Incondicionada</t>
        </is>
      </c>
      <c r="H438" s="7" t="inlineStr">
        <is>
          <t>Não</t>
        </is>
      </c>
      <c r="I438" s="7" t="inlineStr">
        <is>
          <t>Doloso</t>
        </is>
      </c>
      <c r="J438" s="7" t="inlineStr">
        <is>
          <t>Sim</t>
        </is>
      </c>
      <c r="K438" s="16" t="inlineStr">
        <is>
          <t>—</t>
        </is>
      </c>
      <c r="L438" s="16" t="inlineStr">
        <is>
          <t>Produzir/fotografar/filmar/registrar por qualquer meio conteúdo com cena de nudez ou ato sexual sem autorização dos participantes. Incluído pela Lei 13.772/2018</t>
        </is>
      </c>
      <c r="M438" s="7" t="inlineStr">
        <is>
          <t>Sim</t>
        </is>
      </c>
      <c r="N438" s="7" t="inlineStr">
        <is>
          <t>Sim</t>
        </is>
      </c>
    </row>
    <row r="439">
      <c r="A439" s="7" t="inlineStr">
        <is>
          <t>CP</t>
        </is>
      </c>
      <c r="B439" s="7" t="inlineStr">
        <is>
          <t>Art. 234</t>
        </is>
      </c>
      <c r="C439" s="16" t="inlineStr">
        <is>
          <t>Escrito ou objeto obsceno</t>
        </is>
      </c>
      <c r="D439" s="7" t="n">
        <v>6</v>
      </c>
      <c r="E439" s="7" t="n">
        <v>24</v>
      </c>
      <c r="F439" s="7" t="inlineStr">
        <is>
          <t>Detenção</t>
        </is>
      </c>
      <c r="G439" s="7" t="inlineStr">
        <is>
          <t>Pública Incondicionada</t>
        </is>
      </c>
      <c r="H439" s="7" t="inlineStr">
        <is>
          <t>Não</t>
        </is>
      </c>
      <c r="I439" s="7" t="inlineStr">
        <is>
          <t>Doloso</t>
        </is>
      </c>
      <c r="J439" s="7" t="inlineStr">
        <is>
          <t>Sim</t>
        </is>
      </c>
      <c r="K439" s="16" t="inlineStr">
        <is>
          <t>—</t>
        </is>
      </c>
      <c r="L439" s="16" t="inlineStr">
        <is>
          <t>Fazer/importar/exportar/adquirir/ter sob guarda/expor à venda/distribuir escrito/desenho/pintura/estampa/objeto obsceno</t>
        </is>
      </c>
      <c r="M439" s="7" t="inlineStr">
        <is>
          <t>Sim</t>
        </is>
      </c>
      <c r="N439" s="7" t="inlineStr">
        <is>
          <t>Sim</t>
        </is>
      </c>
    </row>
    <row r="440">
      <c r="A440" s="7" t="inlineStr">
        <is>
          <t>CP</t>
        </is>
      </c>
      <c r="B440" s="7" t="inlineStr">
        <is>
          <t>Art. 243</t>
        </is>
      </c>
      <c r="C440" s="16" t="inlineStr">
        <is>
          <t>Sonegação de estado de filiação</t>
        </is>
      </c>
      <c r="D440" s="7" t="n">
        <v>24</v>
      </c>
      <c r="E440" s="7" t="n">
        <v>72</v>
      </c>
      <c r="F440" s="7" t="inlineStr">
        <is>
          <t>Reclusão</t>
        </is>
      </c>
      <c r="G440" s="7" t="inlineStr">
        <is>
          <t>Pública Incondicionada</t>
        </is>
      </c>
      <c r="H440" s="7" t="inlineStr">
        <is>
          <t>Não</t>
        </is>
      </c>
      <c r="I440" s="7" t="inlineStr">
        <is>
          <t>Doloso</t>
        </is>
      </c>
      <c r="J440" s="7" t="inlineStr">
        <is>
          <t>Sim</t>
        </is>
      </c>
      <c r="K440" s="16" t="inlineStr">
        <is>
          <t>—</t>
        </is>
      </c>
      <c r="L440" s="16" t="inlineStr">
        <is>
          <t>Deixar em asilo de expostos ou outra instituição de assistência filho próprio ou alheio, ocultando-lhe a filiação ou atribuindo-lhe outra</t>
        </is>
      </c>
      <c r="M440" s="7" t="inlineStr">
        <is>
          <t>Sim</t>
        </is>
      </c>
      <c r="N440" s="7" t="inlineStr">
        <is>
          <t>Não</t>
        </is>
      </c>
    </row>
    <row r="441">
      <c r="A441" s="7" t="inlineStr">
        <is>
          <t>CP</t>
        </is>
      </c>
      <c r="B441" s="7" t="inlineStr">
        <is>
          <t>Art. 248</t>
        </is>
      </c>
      <c r="C441" s="16" t="inlineStr">
        <is>
          <t>Induzimento a fuga, entrega arbitrária ou sonegação de incapazes</t>
        </is>
      </c>
      <c r="D441" s="7" t="n">
        <v>2</v>
      </c>
      <c r="E441" s="7" t="n">
        <v>24</v>
      </c>
      <c r="F441" s="7" t="inlineStr">
        <is>
          <t>Detenção</t>
        </is>
      </c>
      <c r="G441" s="7" t="inlineStr">
        <is>
          <t>Pública Incondicionada</t>
        </is>
      </c>
      <c r="H441" s="7" t="inlineStr">
        <is>
          <t>Não</t>
        </is>
      </c>
      <c r="I441" s="7" t="inlineStr">
        <is>
          <t>Doloso</t>
        </is>
      </c>
      <c r="J441" s="7" t="inlineStr">
        <is>
          <t>Sim</t>
        </is>
      </c>
      <c r="K441" s="16" t="inlineStr">
        <is>
          <t>—</t>
        </is>
      </c>
      <c r="L441" s="16" t="inlineStr">
        <is>
          <t>Induzir menor de 18 anos ou interdito a fugir do lugar em que se acha por determinação de quem sobre ele exerce autoridade</t>
        </is>
      </c>
      <c r="M441" s="7" t="inlineStr">
        <is>
          <t>Sim</t>
        </is>
      </c>
      <c r="N441" s="7" t="inlineStr">
        <is>
          <t>Sim</t>
        </is>
      </c>
    </row>
    <row r="442">
      <c r="A442" s="7" t="inlineStr">
        <is>
          <t>CP</t>
        </is>
      </c>
      <c r="B442" s="7" t="inlineStr">
        <is>
          <t>Art. 249</t>
        </is>
      </c>
      <c r="C442" s="16" t="inlineStr">
        <is>
          <t>Subtração de incapazes</t>
        </is>
      </c>
      <c r="D442" s="7" t="n">
        <v>2</v>
      </c>
      <c r="E442" s="7" t="n">
        <v>24</v>
      </c>
      <c r="F442" s="7" t="inlineStr">
        <is>
          <t>Detenção</t>
        </is>
      </c>
      <c r="G442" s="7" t="inlineStr">
        <is>
          <t>Pública Incondicionada</t>
        </is>
      </c>
      <c r="H442" s="7" t="inlineStr">
        <is>
          <t>Não</t>
        </is>
      </c>
      <c r="I442" s="7" t="inlineStr">
        <is>
          <t>Doloso</t>
        </is>
      </c>
      <c r="J442" s="7" t="inlineStr">
        <is>
          <t>Sim</t>
        </is>
      </c>
      <c r="K442" s="16" t="inlineStr">
        <is>
          <t>§1º: se a vítima está fora do país → 1-3a reclusão. §2º: não há crime se menor &gt; 12 e movido por motivo de reconhecida nobreza</t>
        </is>
      </c>
      <c r="L442" s="16" t="inlineStr">
        <is>
          <t>Subtrair menor de 18 anos ou interdito ao poder de quem o tem sob sua guarda</t>
        </is>
      </c>
      <c r="M442" s="7" t="inlineStr">
        <is>
          <t>Sim</t>
        </is>
      </c>
      <c r="N442" s="7" t="inlineStr">
        <is>
          <t>Sim</t>
        </is>
      </c>
    </row>
    <row r="443">
      <c r="A443" s="7" t="inlineStr">
        <is>
          <t>CP</t>
        </is>
      </c>
      <c r="B443" s="7" t="inlineStr">
        <is>
          <t>Art. 337-B</t>
        </is>
      </c>
      <c r="C443" s="16" t="inlineStr">
        <is>
          <t>Corrupção ativa em transação comercial internacional</t>
        </is>
      </c>
      <c r="D443" s="7" t="n">
        <v>12</v>
      </c>
      <c r="E443" s="7" t="n">
        <v>96</v>
      </c>
      <c r="F443" s="7" t="inlineStr">
        <is>
          <t>Reclusão</t>
        </is>
      </c>
      <c r="G443" s="7" t="inlineStr">
        <is>
          <t>Pública Incondicionada</t>
        </is>
      </c>
      <c r="H443" s="7" t="inlineStr">
        <is>
          <t>Não</t>
        </is>
      </c>
      <c r="I443" s="7" t="inlineStr">
        <is>
          <t>Doloso</t>
        </is>
      </c>
      <c r="J443" s="7" t="inlineStr">
        <is>
          <t>Sim</t>
        </is>
      </c>
      <c r="K443" s="16" t="inlineStr">
        <is>
          <t>+1/3 se a vantagem/promessa é feita por interposta pessoa</t>
        </is>
      </c>
      <c r="L443" s="16" t="inlineStr">
        <is>
          <t>Prometer/oferecer/dar vantagem indevida a funcionário público estrangeiro para determiná-lo a praticar/omitir/retardar ato de ofício relacionado a transação comercial internacional</t>
        </is>
      </c>
      <c r="M443" s="7" t="inlineStr">
        <is>
          <t>Sim</t>
        </is>
      </c>
      <c r="N443" s="7" t="inlineStr">
        <is>
          <t>Sim</t>
        </is>
      </c>
    </row>
    <row r="444">
      <c r="A444" s="7" t="inlineStr">
        <is>
          <t>CP</t>
        </is>
      </c>
      <c r="B444" s="7" t="inlineStr">
        <is>
          <t>Art. 337-C</t>
        </is>
      </c>
      <c r="C444" s="16" t="inlineStr">
        <is>
          <t>Tráfico de influência em transação comercial internacional</t>
        </is>
      </c>
      <c r="D444" s="7" t="n">
        <v>24</v>
      </c>
      <c r="E444" s="7" t="n">
        <v>60</v>
      </c>
      <c r="F444" s="7" t="inlineStr">
        <is>
          <t>Reclusão</t>
        </is>
      </c>
      <c r="G444" s="7" t="inlineStr">
        <is>
          <t>Pública Incondicionada</t>
        </is>
      </c>
      <c r="H444" s="7" t="inlineStr">
        <is>
          <t>Não</t>
        </is>
      </c>
      <c r="I444" s="7" t="inlineStr">
        <is>
          <t>Doloso</t>
        </is>
      </c>
      <c r="J444" s="7" t="inlineStr">
        <is>
          <t>Sim</t>
        </is>
      </c>
      <c r="K444" s="16" t="inlineStr">
        <is>
          <t>+1/2 se alega/insinua que a vantagem é destinada ao funcionário estrangeiro</t>
        </is>
      </c>
      <c r="L444" s="16" t="inlineStr">
        <is>
          <t>Solicitar/exigir/cobrar/obter vantagem/promessa a pretexto de influir em ato praticado por funcionário público estrangeiro no exercício de suas funções</t>
        </is>
      </c>
      <c r="M444" s="7" t="inlineStr">
        <is>
          <t>Sim</t>
        </is>
      </c>
      <c r="N444" s="7" t="inlineStr">
        <is>
          <t>Não</t>
        </is>
      </c>
    </row>
    <row r="445">
      <c r="A445" s="7" t="inlineStr">
        <is>
          <t>CP</t>
        </is>
      </c>
      <c r="B445" s="7" t="inlineStr">
        <is>
          <t>Art. 359-I</t>
        </is>
      </c>
      <c r="C445" s="16" t="inlineStr">
        <is>
          <t>Atentado à soberania</t>
        </is>
      </c>
      <c r="D445" s="7" t="n">
        <v>24</v>
      </c>
      <c r="E445" s="7" t="n">
        <v>96</v>
      </c>
      <c r="F445" s="7" t="inlineStr">
        <is>
          <t>Reclusão</t>
        </is>
      </c>
      <c r="G445" s="7" t="inlineStr">
        <is>
          <t>Pública Incondicionada</t>
        </is>
      </c>
      <c r="H445" s="7" t="inlineStr">
        <is>
          <t>Não</t>
        </is>
      </c>
      <c r="I445" s="7" t="inlineStr">
        <is>
          <t>Doloso</t>
        </is>
      </c>
      <c r="J445" s="7" t="inlineStr">
        <is>
          <t>Sim</t>
        </is>
      </c>
      <c r="K445" s="16" t="inlineStr">
        <is>
          <t>—</t>
        </is>
      </c>
      <c r="L445" s="16" t="inlineStr">
        <is>
          <t>Negociar com governo ou grupo estrangeiro ou seus agentes, para provocar ação militar, diplomática ou política contra o Brasil. Lei 14.197/2021</t>
        </is>
      </c>
      <c r="M445" s="7" t="inlineStr">
        <is>
          <t>Sim</t>
        </is>
      </c>
      <c r="N445" s="7" t="inlineStr">
        <is>
          <t>Não</t>
        </is>
      </c>
    </row>
    <row r="446">
      <c r="A446" s="7" t="inlineStr">
        <is>
          <t>CP</t>
        </is>
      </c>
      <c r="B446" s="7" t="inlineStr">
        <is>
          <t>Art. 359-J</t>
        </is>
      </c>
      <c r="C446" s="16" t="inlineStr">
        <is>
          <t>Atentado à integridade nacional</t>
        </is>
      </c>
      <c r="D446" s="7" t="n">
        <v>24</v>
      </c>
      <c r="E446" s="7" t="n">
        <v>72</v>
      </c>
      <c r="F446" s="7" t="inlineStr">
        <is>
          <t>Reclusão</t>
        </is>
      </c>
      <c r="G446" s="7" t="inlineStr">
        <is>
          <t>Pública Incondicionada</t>
        </is>
      </c>
      <c r="H446" s="7" t="inlineStr">
        <is>
          <t>Não</t>
        </is>
      </c>
      <c r="I446" s="7" t="inlineStr">
        <is>
          <t>Doloso</t>
        </is>
      </c>
      <c r="J446" s="7" t="inlineStr">
        <is>
          <t>Sim</t>
        </is>
      </c>
      <c r="K446" s="16" t="inlineStr">
        <is>
          <t>—</t>
        </is>
      </c>
      <c r="L446" s="16" t="inlineStr">
        <is>
          <t>Desmembrar parte do território nacional para constituir país independente. Lei 14.197/2021</t>
        </is>
      </c>
      <c r="M446" s="7" t="inlineStr">
        <is>
          <t>Sim</t>
        </is>
      </c>
      <c r="N446" s="7" t="inlineStr">
        <is>
          <t>Não</t>
        </is>
      </c>
    </row>
    <row r="447">
      <c r="A447" s="7" t="inlineStr">
        <is>
          <t>CP</t>
        </is>
      </c>
      <c r="B447" s="7" t="inlineStr">
        <is>
          <t>Art. 359-K</t>
        </is>
      </c>
      <c r="C447" s="16" t="inlineStr">
        <is>
          <t>Espionagem</t>
        </is>
      </c>
      <c r="D447" s="7" t="n">
        <v>36</v>
      </c>
      <c r="E447" s="7" t="n">
        <v>144</v>
      </c>
      <c r="F447" s="7" t="inlineStr">
        <is>
          <t>Reclusão</t>
        </is>
      </c>
      <c r="G447" s="7" t="inlineStr">
        <is>
          <t>Pública Incondicionada</t>
        </is>
      </c>
      <c r="H447" s="7" t="inlineStr">
        <is>
          <t>Não</t>
        </is>
      </c>
      <c r="I447" s="7" t="inlineStr">
        <is>
          <t>Doloso</t>
        </is>
      </c>
      <c r="J447" s="7" t="inlineStr">
        <is>
          <t>Sim</t>
        </is>
      </c>
      <c r="K447" s="16" t="inlineStr">
        <is>
          <t>+1/3 se o agente é funcionário público ou militar</t>
        </is>
      </c>
      <c r="L447" s="16" t="inlineStr">
        <is>
          <t>Entregar a governo estrangeiro, organização ou grupo estrangeiro, ou a agente de qualquer deles, documento ou informação classificados como secretos ou ultrassecretos. Lei 14.197/2021</t>
        </is>
      </c>
      <c r="M447" s="7" t="inlineStr">
        <is>
          <t>Sim</t>
        </is>
      </c>
      <c r="N447" s="7" t="inlineStr">
        <is>
          <t>Não</t>
        </is>
      </c>
    </row>
    <row r="448">
      <c r="A448" s="7" t="inlineStr">
        <is>
          <t>CP</t>
        </is>
      </c>
      <c r="B448" s="7" t="inlineStr">
        <is>
          <t>Art. 359-L</t>
        </is>
      </c>
      <c r="C448" s="16" t="inlineStr">
        <is>
          <t>Abolição violenta do Estado Democrático de Direito</t>
        </is>
      </c>
      <c r="D448" s="7" t="n">
        <v>48</v>
      </c>
      <c r="E448" s="7" t="n">
        <v>96</v>
      </c>
      <c r="F448" s="7" t="inlineStr">
        <is>
          <t>Reclusão</t>
        </is>
      </c>
      <c r="G448" s="7" t="inlineStr">
        <is>
          <t>Pública Incondicionada</t>
        </is>
      </c>
      <c r="H448" s="7" t="inlineStr">
        <is>
          <t>Não</t>
        </is>
      </c>
      <c r="I448" s="7" t="inlineStr">
        <is>
          <t>Doloso</t>
        </is>
      </c>
      <c r="J448" s="7" t="inlineStr">
        <is>
          <t>Sim</t>
        </is>
      </c>
      <c r="K448" s="16" t="inlineStr">
        <is>
          <t>+1/3 se praticado com arma de fogo. +1/2 se resulta morte</t>
        </is>
      </c>
      <c r="L448" s="16" t="inlineStr">
        <is>
          <t>Tentar, com emprego de violência ou grave ameaça, abolir o Estado Democrático de Direito, impedindo ou restringindo o exercício dos poderes constitucionais. Lei 14.197/2021</t>
        </is>
      </c>
      <c r="M448" s="7" t="inlineStr">
        <is>
          <t>Verificar</t>
        </is>
      </c>
      <c r="N448" s="7" t="inlineStr">
        <is>
          <t>Não</t>
        </is>
      </c>
    </row>
    <row r="449">
      <c r="A449" s="7" t="inlineStr">
        <is>
          <t>CP</t>
        </is>
      </c>
      <c r="B449" s="7" t="inlineStr">
        <is>
          <t>Art. 359-M</t>
        </is>
      </c>
      <c r="C449" s="16" t="inlineStr">
        <is>
          <t>Golpe de Estado</t>
        </is>
      </c>
      <c r="D449" s="7" t="n">
        <v>48</v>
      </c>
      <c r="E449" s="7" t="n">
        <v>144</v>
      </c>
      <c r="F449" s="7" t="inlineStr">
        <is>
          <t>Reclusão</t>
        </is>
      </c>
      <c r="G449" s="7" t="inlineStr">
        <is>
          <t>Pública Incondicionada</t>
        </is>
      </c>
      <c r="H449" s="7" t="inlineStr">
        <is>
          <t>Não</t>
        </is>
      </c>
      <c r="I449" s="7" t="inlineStr">
        <is>
          <t>Doloso</t>
        </is>
      </c>
      <c r="J449" s="7" t="inlineStr">
        <is>
          <t>Sim</t>
        </is>
      </c>
      <c r="K449" s="16" t="inlineStr">
        <is>
          <t>+1/3 se com arma de fogo. +1/2 se resulta morte</t>
        </is>
      </c>
      <c r="L449" s="16" t="inlineStr">
        <is>
          <t>Tentar depor, por meio de violência ou grave ameaça, o governo legitimamente constituído. Lei 14.197/2021</t>
        </is>
      </c>
      <c r="M449" s="7" t="inlineStr">
        <is>
          <t>Verificar</t>
        </is>
      </c>
      <c r="N449" s="7" t="inlineStr">
        <is>
          <t>Não</t>
        </is>
      </c>
    </row>
    <row r="450">
      <c r="A450" s="7" t="inlineStr">
        <is>
          <t>CP</t>
        </is>
      </c>
      <c r="B450" s="7" t="inlineStr">
        <is>
          <t>Art. 359-N</t>
        </is>
      </c>
      <c r="C450" s="16" t="inlineStr">
        <is>
          <t>Interrupção do processo eleitoral</t>
        </is>
      </c>
      <c r="D450" s="7" t="n">
        <v>36</v>
      </c>
      <c r="E450" s="7" t="n">
        <v>72</v>
      </c>
      <c r="F450" s="7" t="inlineStr">
        <is>
          <t>Reclusão</t>
        </is>
      </c>
      <c r="G450" s="7" t="inlineStr">
        <is>
          <t>Pública Incondicionada</t>
        </is>
      </c>
      <c r="H450" s="7" t="inlineStr">
        <is>
          <t>Não</t>
        </is>
      </c>
      <c r="I450" s="7" t="inlineStr">
        <is>
          <t>Doloso</t>
        </is>
      </c>
      <c r="J450" s="7" t="inlineStr">
        <is>
          <t>Sim</t>
        </is>
      </c>
      <c r="K450" s="16" t="inlineStr">
        <is>
          <t>+1/3 se com arma de fogo</t>
        </is>
      </c>
      <c r="L450" s="16" t="inlineStr">
        <is>
          <t>Impedir ou perturbar eleição ou a aferição de seu resultado, mediante violência, grave ameaça, coação ou artifício. Lei 14.197/2021</t>
        </is>
      </c>
      <c r="M450" s="7" t="inlineStr">
        <is>
          <t>Sim</t>
        </is>
      </c>
      <c r="N450" s="7" t="inlineStr">
        <is>
          <t>Não</t>
        </is>
      </c>
    </row>
    <row r="451">
      <c r="A451" s="7" t="inlineStr">
        <is>
          <t>CP</t>
        </is>
      </c>
      <c r="B451" s="7" t="inlineStr">
        <is>
          <t>Art. 359-P</t>
        </is>
      </c>
      <c r="C451" s="16" t="inlineStr">
        <is>
          <t>Violência política</t>
        </is>
      </c>
      <c r="D451" s="7" t="n">
        <v>36</v>
      </c>
      <c r="E451" s="7" t="n">
        <v>96</v>
      </c>
      <c r="F451" s="7" t="inlineStr">
        <is>
          <t>Reclusão</t>
        </is>
      </c>
      <c r="G451" s="7" t="inlineStr">
        <is>
          <t>Pública Incondicionada</t>
        </is>
      </c>
      <c r="H451" s="7" t="inlineStr">
        <is>
          <t>Não</t>
        </is>
      </c>
      <c r="I451" s="7" t="inlineStr">
        <is>
          <t>Doloso</t>
        </is>
      </c>
      <c r="J451" s="7" t="inlineStr">
        <is>
          <t>Sim</t>
        </is>
      </c>
      <c r="K451" s="16" t="inlineStr">
        <is>
          <t>+1/3 se contra Presidente, Vice, presidentes do Congresso, STF ou TSE</t>
        </is>
      </c>
      <c r="L451" s="16" t="inlineStr">
        <is>
          <t>Restringir, impedir ou dificultar, com emprego de violência física, sexual ou psicológica, o exercício de direitos políticos a qualquer pessoa. Lei 14.197/2021</t>
        </is>
      </c>
      <c r="M451" s="7" t="inlineStr">
        <is>
          <t>Verificar</t>
        </is>
      </c>
      <c r="N451" s="7" t="inlineStr">
        <is>
          <t>Não</t>
        </is>
      </c>
    </row>
    <row r="452">
      <c r="A452" s="7" t="inlineStr">
        <is>
          <t>CP</t>
        </is>
      </c>
      <c r="B452" s="7" t="inlineStr">
        <is>
          <t>Art. 359-R</t>
        </is>
      </c>
      <c r="C452" s="16" t="inlineStr">
        <is>
          <t>Sabotagem</t>
        </is>
      </c>
      <c r="D452" s="7" t="n">
        <v>24</v>
      </c>
      <c r="E452" s="7" t="n">
        <v>96</v>
      </c>
      <c r="F452" s="7" t="inlineStr">
        <is>
          <t>Reclusão</t>
        </is>
      </c>
      <c r="G452" s="7" t="inlineStr">
        <is>
          <t>Pública Incondicionada</t>
        </is>
      </c>
      <c r="H452" s="7" t="inlineStr">
        <is>
          <t>Não</t>
        </is>
      </c>
      <c r="I452" s="7" t="inlineStr">
        <is>
          <t>Doloso</t>
        </is>
      </c>
      <c r="J452" s="7" t="inlineStr">
        <is>
          <t>Sim</t>
        </is>
      </c>
      <c r="K452" s="16" t="inlineStr">
        <is>
          <t>+1/3 se praticado com arma de fogo</t>
        </is>
      </c>
      <c r="L452" s="16" t="inlineStr">
        <is>
          <t>Destruir ou inutilizar meios de comunicação ao público, estabelecimentos, instalações ou serviços destinados à defesa nacional, com finalidade de abolir o Estado Democrático de Direito. Lei 14.197/2021</t>
        </is>
      </c>
      <c r="M452" s="7" t="inlineStr">
        <is>
          <t>Sim</t>
        </is>
      </c>
      <c r="N452" s="7" t="inlineStr">
        <is>
          <t>Não</t>
        </is>
      </c>
    </row>
    <row r="453">
      <c r="A453" s="7" t="inlineStr">
        <is>
          <t>Lei 9.434/97</t>
        </is>
      </c>
      <c r="B453" s="7" t="inlineStr">
        <is>
          <t>Art. 14</t>
        </is>
      </c>
      <c r="C453" s="16" t="inlineStr">
        <is>
          <t>Remoção de tecidos/órgãos/partes do corpo de pessoa viva em desacordo com lei</t>
        </is>
      </c>
      <c r="D453" s="7" t="n">
        <v>36</v>
      </c>
      <c r="E453" s="7" t="n">
        <v>96</v>
      </c>
      <c r="F453" s="7" t="inlineStr">
        <is>
          <t>Reclusão</t>
        </is>
      </c>
      <c r="G453" s="7" t="inlineStr">
        <is>
          <t>Pública Incondicionada</t>
        </is>
      </c>
      <c r="H453" s="7" t="inlineStr">
        <is>
          <t>Não</t>
        </is>
      </c>
      <c r="I453" s="7" t="inlineStr">
        <is>
          <t>Doloso</t>
        </is>
      </c>
      <c r="J453" s="7" t="inlineStr">
        <is>
          <t>Sim</t>
        </is>
      </c>
      <c r="K453" s="16" t="inlineStr">
        <is>
          <t>—</t>
        </is>
      </c>
      <c r="L453" s="16" t="inlineStr">
        <is>
          <t>3-8 anos + multa</t>
        </is>
      </c>
      <c r="M453" s="7" t="inlineStr">
        <is>
          <t>Sim</t>
        </is>
      </c>
      <c r="N453" s="7" t="inlineStr">
        <is>
          <t>Não</t>
        </is>
      </c>
    </row>
    <row r="454">
      <c r="A454" s="7" t="inlineStr">
        <is>
          <t>Lei 9.434/97</t>
        </is>
      </c>
      <c r="B454" s="7" t="inlineStr">
        <is>
          <t>Art. 15</t>
        </is>
      </c>
      <c r="C454" s="16" t="inlineStr">
        <is>
          <t>Compra/venda de tecidos, órgãos ou partes do corpo (tráfico de órgãos)</t>
        </is>
      </c>
      <c r="D454" s="7" t="n">
        <v>36</v>
      </c>
      <c r="E454" s="7" t="n">
        <v>240</v>
      </c>
      <c r="F454" s="7" t="inlineStr">
        <is>
          <t>Reclusão</t>
        </is>
      </c>
      <c r="G454" s="7" t="inlineStr">
        <is>
          <t>Pública Incondicionada</t>
        </is>
      </c>
      <c r="H454" s="7" t="inlineStr">
        <is>
          <t>Não</t>
        </is>
      </c>
      <c r="I454" s="7" t="inlineStr">
        <is>
          <t>Doloso</t>
        </is>
      </c>
      <c r="J454" s="7" t="inlineStr">
        <is>
          <t>Sim</t>
        </is>
      </c>
      <c r="K454" s="16" t="inlineStr">
        <is>
          <t>+1/3 a +1/2 se envolver menor, alienado mental ou funcionar como intermediário</t>
        </is>
      </c>
      <c r="L454" s="16" t="inlineStr">
        <is>
          <t>3-20 anos + multa. Comprar/vender tecidos, órgãos ou partes do corpo humano</t>
        </is>
      </c>
      <c r="M454" s="7" t="inlineStr">
        <is>
          <t>Sim</t>
        </is>
      </c>
      <c r="N454" s="7" t="inlineStr">
        <is>
          <t>Não</t>
        </is>
      </c>
    </row>
    <row r="455">
      <c r="A455" s="7" t="inlineStr">
        <is>
          <t>Lei 9.434/97</t>
        </is>
      </c>
      <c r="B455" s="7" t="inlineStr">
        <is>
          <t>Art. 16</t>
        </is>
      </c>
      <c r="C455" s="16" t="inlineStr">
        <is>
          <t>Remoção post mortem de tecidos/órgãos sem autorização</t>
        </is>
      </c>
      <c r="D455" s="7" t="n">
        <v>24</v>
      </c>
      <c r="E455" s="7" t="n">
        <v>72</v>
      </c>
      <c r="F455" s="7" t="inlineStr">
        <is>
          <t>Reclusão</t>
        </is>
      </c>
      <c r="G455" s="7" t="inlineStr">
        <is>
          <t>Pública Incondicionada</t>
        </is>
      </c>
      <c r="H455" s="7" t="inlineStr">
        <is>
          <t>Não</t>
        </is>
      </c>
      <c r="I455" s="7" t="inlineStr">
        <is>
          <t>Doloso</t>
        </is>
      </c>
      <c r="J455" s="7" t="inlineStr">
        <is>
          <t>Sim</t>
        </is>
      </c>
      <c r="K455" s="16" t="inlineStr">
        <is>
          <t>—</t>
        </is>
      </c>
      <c r="L455" s="16" t="inlineStr">
        <is>
          <t>2-6 anos + multa. Realizar transplante utilizando tecidos/órgãos de pessoa falecida sem observar a lei</t>
        </is>
      </c>
      <c r="M455" s="7" t="inlineStr">
        <is>
          <t>Sim</t>
        </is>
      </c>
      <c r="N455" s="7" t="inlineStr">
        <is>
          <t>Não</t>
        </is>
      </c>
    </row>
    <row r="456">
      <c r="A456" s="7" t="inlineStr">
        <is>
          <t>Lei 9.434/97</t>
        </is>
      </c>
      <c r="B456" s="7" t="inlineStr">
        <is>
          <t>Art. 17</t>
        </is>
      </c>
      <c r="C456" s="16" t="inlineStr">
        <is>
          <t>Recolher tecidos/órgãos sem ser hospital autorizado</t>
        </is>
      </c>
      <c r="D456" s="7" t="n">
        <v>6</v>
      </c>
      <c r="E456" s="7" t="n">
        <v>24</v>
      </c>
      <c r="F456" s="7" t="inlineStr">
        <is>
          <t>Reclusão</t>
        </is>
      </c>
      <c r="G456" s="7" t="inlineStr">
        <is>
          <t>Pública Incondicionada</t>
        </is>
      </c>
      <c r="H456" s="7" t="inlineStr">
        <is>
          <t>Não</t>
        </is>
      </c>
      <c r="I456" s="7" t="inlineStr">
        <is>
          <t>Doloso</t>
        </is>
      </c>
      <c r="J456" s="7" t="inlineStr">
        <is>
          <t>Sim</t>
        </is>
      </c>
      <c r="K456" s="16" t="inlineStr">
        <is>
          <t>—</t>
        </is>
      </c>
      <c r="L456" s="16" t="inlineStr">
        <is>
          <t>6 meses a 2 anos</t>
        </is>
      </c>
      <c r="M456" s="7" t="inlineStr">
        <is>
          <t>Sim</t>
        </is>
      </c>
      <c r="N456" s="7" t="inlineStr">
        <is>
          <t>Sim</t>
        </is>
      </c>
    </row>
    <row r="457">
      <c r="A457" s="7" t="inlineStr">
        <is>
          <t>Lei 11.105/05</t>
        </is>
      </c>
      <c r="B457" s="7" t="inlineStr">
        <is>
          <t>Art. 24</t>
        </is>
      </c>
      <c r="C457" s="16" t="inlineStr">
        <is>
          <t>Uso de embrião humano em desacordo com lei</t>
        </is>
      </c>
      <c r="D457" s="7" t="n">
        <v>12</v>
      </c>
      <c r="E457" s="7" t="n">
        <v>36</v>
      </c>
      <c r="F457" s="7" t="inlineStr">
        <is>
          <t>Detenção</t>
        </is>
      </c>
      <c r="G457" s="7" t="inlineStr">
        <is>
          <t>Pública Incondicionada</t>
        </is>
      </c>
      <c r="H457" s="7" t="inlineStr">
        <is>
          <t>Não</t>
        </is>
      </c>
      <c r="I457" s="7" t="inlineStr">
        <is>
          <t>Doloso</t>
        </is>
      </c>
      <c r="J457" s="7" t="inlineStr">
        <is>
          <t>Sim</t>
        </is>
      </c>
      <c r="K457" s="16" t="inlineStr">
        <is>
          <t>—</t>
        </is>
      </c>
      <c r="L457" s="16" t="inlineStr">
        <is>
          <t>1-3 anos + multa. Utilizar embrião humano em desacordo com o Art. 5º da Lei 11.105/2005</t>
        </is>
      </c>
      <c r="M457" s="7" t="inlineStr">
        <is>
          <t>Sim</t>
        </is>
      </c>
      <c r="N457" s="7" t="inlineStr">
        <is>
          <t>Sim</t>
        </is>
      </c>
    </row>
    <row r="458">
      <c r="A458" s="7" t="inlineStr">
        <is>
          <t>Lei 11.105/05</t>
        </is>
      </c>
      <c r="B458" s="7" t="inlineStr">
        <is>
          <t>Art. 25</t>
        </is>
      </c>
      <c r="C458" s="16" t="inlineStr">
        <is>
          <t>Praticar engenharia genética em célula germinal humana, zigoto ou embrião humano</t>
        </is>
      </c>
      <c r="D458" s="7" t="n">
        <v>12</v>
      </c>
      <c r="E458" s="7" t="n">
        <v>48</v>
      </c>
      <c r="F458" s="7" t="inlineStr">
        <is>
          <t>Reclusão</t>
        </is>
      </c>
      <c r="G458" s="7" t="inlineStr">
        <is>
          <t>Pública Incondicionada</t>
        </is>
      </c>
      <c r="H458" s="7" t="inlineStr">
        <is>
          <t>Não</t>
        </is>
      </c>
      <c r="I458" s="7" t="inlineStr">
        <is>
          <t>Doloso</t>
        </is>
      </c>
      <c r="J458" s="7" t="inlineStr">
        <is>
          <t>Sim</t>
        </is>
      </c>
      <c r="K458" s="16" t="inlineStr">
        <is>
          <t>—</t>
        </is>
      </c>
      <c r="L458" s="16" t="inlineStr">
        <is>
          <t>1-4 anos + multa</t>
        </is>
      </c>
      <c r="M458" s="7" t="inlineStr">
        <is>
          <t>Sim</t>
        </is>
      </c>
      <c r="N458" s="7" t="inlineStr">
        <is>
          <t>Sim</t>
        </is>
      </c>
    </row>
    <row r="459">
      <c r="A459" s="7" t="inlineStr">
        <is>
          <t>Lei 11.105/05</t>
        </is>
      </c>
      <c r="B459" s="7" t="inlineStr">
        <is>
          <t>Art. 26</t>
        </is>
      </c>
      <c r="C459" s="16" t="inlineStr">
        <is>
          <t>Clonagem humana reprodutiva</t>
        </is>
      </c>
      <c r="D459" s="7" t="n">
        <v>24</v>
      </c>
      <c r="E459" s="7" t="n">
        <v>60</v>
      </c>
      <c r="F459" s="7" t="inlineStr">
        <is>
          <t>Reclusão</t>
        </is>
      </c>
      <c r="G459" s="7" t="inlineStr">
        <is>
          <t>Pública Incondicionada</t>
        </is>
      </c>
      <c r="H459" s="7" t="inlineStr">
        <is>
          <t>Não</t>
        </is>
      </c>
      <c r="I459" s="7" t="inlineStr">
        <is>
          <t>Doloso</t>
        </is>
      </c>
      <c r="J459" s="7" t="inlineStr">
        <is>
          <t>Sim</t>
        </is>
      </c>
      <c r="K459" s="16" t="inlineStr">
        <is>
          <t>—</t>
        </is>
      </c>
      <c r="L459" s="16" t="inlineStr">
        <is>
          <t>2-5 anos + multa. Proibido realizar clonagem humana reprodutiva</t>
        </is>
      </c>
      <c r="M459" s="7" t="inlineStr">
        <is>
          <t>Sim</t>
        </is>
      </c>
      <c r="N459" s="7" t="inlineStr">
        <is>
          <t>Não</t>
        </is>
      </c>
    </row>
    <row r="460">
      <c r="A460" s="7" t="inlineStr">
        <is>
          <t>Lei 11.105/05</t>
        </is>
      </c>
      <c r="B460" s="7" t="inlineStr">
        <is>
          <t>Art. 27</t>
        </is>
      </c>
      <c r="C460" s="16" t="inlineStr">
        <is>
          <t>Liberação ou descarte de OGM no meio ambiente em desacordo com normas</t>
        </is>
      </c>
      <c r="D460" s="7" t="n">
        <v>12</v>
      </c>
      <c r="E460" s="7" t="n">
        <v>48</v>
      </c>
      <c r="F460" s="7" t="inlineStr">
        <is>
          <t>Reclusão</t>
        </is>
      </c>
      <c r="G460" s="7" t="inlineStr">
        <is>
          <t>Pública Incondicionada</t>
        </is>
      </c>
      <c r="H460" s="7" t="inlineStr">
        <is>
          <t>Não</t>
        </is>
      </c>
      <c r="I460" s="7" t="inlineStr">
        <is>
          <t>Doloso</t>
        </is>
      </c>
      <c r="J460" s="7" t="inlineStr">
        <is>
          <t>Sim</t>
        </is>
      </c>
      <c r="K460" s="16" t="inlineStr">
        <is>
          <t>+1/3 se resulta dano ao meio ambiente. +1/2 se resulta dano à saúde</t>
        </is>
      </c>
      <c r="L460" s="16" t="inlineStr">
        <is>
          <t>1-4 anos + multa</t>
        </is>
      </c>
      <c r="M460" s="7" t="inlineStr">
        <is>
          <t>Sim</t>
        </is>
      </c>
      <c r="N460" s="7" t="inlineStr">
        <is>
          <t>Sim</t>
        </is>
      </c>
    </row>
    <row r="461">
      <c r="A461" s="7" t="inlineStr">
        <is>
          <t>Lei 6.766/79</t>
        </is>
      </c>
      <c r="B461" s="7" t="inlineStr">
        <is>
          <t>Art. 50</t>
        </is>
      </c>
      <c r="C461" s="16" t="inlineStr">
        <is>
          <t>Loteamento ou desmembramento irregular do solo para fins urbanos</t>
        </is>
      </c>
      <c r="D461" s="7" t="n">
        <v>12</v>
      </c>
      <c r="E461" s="7" t="n">
        <v>60</v>
      </c>
      <c r="F461" s="7" t="inlineStr">
        <is>
          <t>Reclusão</t>
        </is>
      </c>
      <c r="G461" s="7" t="inlineStr">
        <is>
          <t>Pública Incondicionada</t>
        </is>
      </c>
      <c r="H461" s="7" t="inlineStr">
        <is>
          <t>Não</t>
        </is>
      </c>
      <c r="I461" s="7" t="inlineStr">
        <is>
          <t>Doloso</t>
        </is>
      </c>
      <c r="J461" s="7" t="inlineStr">
        <is>
          <t>Sim</t>
        </is>
      </c>
      <c r="K461" s="16" t="inlineStr">
        <is>
          <t>Parágrafo único, I: dar início sem autorização. II: desacordo com licença. III: dar início sem registro</t>
        </is>
      </c>
      <c r="L461" s="16" t="inlineStr">
        <is>
          <t>1-5 anos + multa. Dar início a loteamento ou desmembramento sem autorização do órgão competente ou em desacordo com a lei</t>
        </is>
      </c>
      <c r="M461" s="7" t="inlineStr">
        <is>
          <t>Sim</t>
        </is>
      </c>
      <c r="N461" s="7" t="inlineStr">
        <is>
          <t>Sim</t>
        </is>
      </c>
    </row>
    <row r="462">
      <c r="A462" s="7" t="inlineStr">
        <is>
          <t>Lei 6.766/79</t>
        </is>
      </c>
      <c r="B462" s="7" t="inlineStr">
        <is>
          <t>Art. 51</t>
        </is>
      </c>
      <c r="C462" s="16" t="inlineStr">
        <is>
          <t>Quem vende lote em loteamento não registrado</t>
        </is>
      </c>
      <c r="D462" s="7" t="n">
        <v>6</v>
      </c>
      <c r="E462" s="7" t="n">
        <v>36</v>
      </c>
      <c r="F462" s="7" t="inlineStr">
        <is>
          <t>Reclusão</t>
        </is>
      </c>
      <c r="G462" s="7" t="inlineStr">
        <is>
          <t>Pública Incondicionada</t>
        </is>
      </c>
      <c r="H462" s="7" t="inlineStr">
        <is>
          <t>Não</t>
        </is>
      </c>
      <c r="I462" s="7" t="inlineStr">
        <is>
          <t>Doloso</t>
        </is>
      </c>
      <c r="J462" s="7" t="inlineStr">
        <is>
          <t>Sim</t>
        </is>
      </c>
      <c r="K462" s="16" t="inlineStr">
        <is>
          <t>—</t>
        </is>
      </c>
      <c r="L462" s="16" t="inlineStr">
        <is>
          <t>6 meses a 3 anos. Vender, prometer vender ou reservar lote em loteamento não registrado no Cartório de Registro de Imóveis</t>
        </is>
      </c>
      <c r="M462" s="7" t="inlineStr">
        <is>
          <t>Sim</t>
        </is>
      </c>
      <c r="N462" s="7" t="inlineStr">
        <is>
          <t>Sim</t>
        </is>
      </c>
    </row>
    <row r="463">
      <c r="A463" s="7" t="inlineStr">
        <is>
          <t>Lei 6.766/79</t>
        </is>
      </c>
      <c r="B463" s="7" t="inlineStr">
        <is>
          <t>Art. 52</t>
        </is>
      </c>
      <c r="C463" s="16" t="inlineStr">
        <is>
          <t>Registro de loteamento não aprovado</t>
        </is>
      </c>
      <c r="D463" s="7" t="n">
        <v>12</v>
      </c>
      <c r="E463" s="7" t="n">
        <v>60</v>
      </c>
      <c r="F463" s="7" t="inlineStr">
        <is>
          <t>Reclusão</t>
        </is>
      </c>
      <c r="G463" s="7" t="inlineStr">
        <is>
          <t>Pública Incondicionada</t>
        </is>
      </c>
      <c r="H463" s="7" t="inlineStr">
        <is>
          <t>Não</t>
        </is>
      </c>
      <c r="I463" s="7" t="inlineStr">
        <is>
          <t>Doloso</t>
        </is>
      </c>
      <c r="J463" s="7" t="inlineStr">
        <is>
          <t>Sim</t>
        </is>
      </c>
      <c r="K463" s="16" t="inlineStr">
        <is>
          <t>—</t>
        </is>
      </c>
      <c r="L463" s="16" t="inlineStr">
        <is>
          <t>Registrar loteamento ou desmembramento não aprovado pelos órgãos competentes</t>
        </is>
      </c>
      <c r="M463" s="7" t="inlineStr">
        <is>
          <t>Sim</t>
        </is>
      </c>
      <c r="N463" s="7" t="inlineStr">
        <is>
          <t>Sim</t>
        </is>
      </c>
    </row>
    <row r="464">
      <c r="A464" s="7" t="inlineStr">
        <is>
          <t>Lei 9.029/95</t>
        </is>
      </c>
      <c r="B464" s="7" t="inlineStr">
        <is>
          <t>Art. 2º</t>
        </is>
      </c>
      <c r="C464" s="16" t="inlineStr">
        <is>
          <t>Exigência de teste/exame/perícia de gravidez ou esterilização como condição para admissão/permanência</t>
        </is>
      </c>
      <c r="D464" s="7" t="n">
        <v>12</v>
      </c>
      <c r="E464" s="7" t="n">
        <v>24</v>
      </c>
      <c r="F464" s="7" t="inlineStr">
        <is>
          <t>Detenção</t>
        </is>
      </c>
      <c r="G464" s="7" t="inlineStr">
        <is>
          <t>Pública Incondicionada</t>
        </is>
      </c>
      <c r="H464" s="7" t="inlineStr">
        <is>
          <t>Não</t>
        </is>
      </c>
      <c r="I464" s="7" t="inlineStr">
        <is>
          <t>Doloso</t>
        </is>
      </c>
      <c r="J464" s="7" t="inlineStr">
        <is>
          <t>Sim</t>
        </is>
      </c>
      <c r="K464" s="16" t="inlineStr">
        <is>
          <t>—</t>
        </is>
      </c>
      <c r="L464" s="16" t="inlineStr">
        <is>
          <t>1-2 anos + multa. Proíbe exigir atestado de gravidez, esterilização ou qualquer prática discriminatória para admissão/permanência no emprego</t>
        </is>
      </c>
      <c r="M464" s="7" t="inlineStr">
        <is>
          <t>Sim</t>
        </is>
      </c>
      <c r="N464" s="7" t="inlineStr">
        <is>
          <t>Sim</t>
        </is>
      </c>
    </row>
    <row r="465">
      <c r="A465" s="19" t="inlineStr">
        <is>
          <t>Lei 12.016/09</t>
        </is>
      </c>
      <c r="B465" s="19" t="inlineStr">
        <is>
          <t>Art. 26</t>
        </is>
      </c>
      <c r="C465" s="20" t="inlineStr">
        <is>
          <t>Desobediência a ordem de mandado de segurança</t>
        </is>
      </c>
      <c r="D465" s="19" t="inlineStr">
        <is>
          <t>—</t>
        </is>
      </c>
      <c r="E465" s="19" t="inlineStr">
        <is>
          <t>—</t>
        </is>
      </c>
      <c r="F465" s="19" t="inlineStr">
        <is>
          <t>Detenção</t>
        </is>
      </c>
      <c r="G465" s="19" t="inlineStr">
        <is>
          <t>Pública Incondicionada</t>
        </is>
      </c>
      <c r="H465" s="19" t="inlineStr">
        <is>
          <t>Não</t>
        </is>
      </c>
      <c r="I465" s="19" t="inlineStr">
        <is>
          <t>Doloso</t>
        </is>
      </c>
      <c r="J465" s="19" t="inlineStr">
        <is>
          <t>Controverso</t>
        </is>
      </c>
      <c r="K465" s="20" t="inlineStr">
        <is>
          <t>—</t>
        </is>
      </c>
      <c r="L465" s="20" t="inlineStr">
        <is>
          <t>Constitui crime de desobediência (Art. 330, CP) o não cumprimento das decisões proferidas em mandado de segurança. Sem previsão de pena própria — remete ao Art. 330 CP (15 dias a 6 meses)</t>
        </is>
      </c>
      <c r="M465" s="19" t="inlineStr">
        <is>
          <t>—</t>
        </is>
      </c>
      <c r="N465" s="19" t="inlineStr">
        <is>
          <t>—</t>
        </is>
      </c>
    </row>
    <row r="466">
      <c r="A466" s="7" t="inlineStr">
        <is>
          <t>Lei 7.347/85</t>
        </is>
      </c>
      <c r="B466" s="7" t="inlineStr">
        <is>
          <t>Art. 10</t>
        </is>
      </c>
      <c r="C466" s="16" t="inlineStr">
        <is>
          <t>Recusa/retardamento/omissão de dados ao MP para instrução de inquérito civil/ação civil pública</t>
        </is>
      </c>
      <c r="D466" s="7" t="n">
        <v>12</v>
      </c>
      <c r="E466" s="7" t="n">
        <v>36</v>
      </c>
      <c r="F466" s="7" t="inlineStr">
        <is>
          <t>Reclusão</t>
        </is>
      </c>
      <c r="G466" s="7" t="inlineStr">
        <is>
          <t>Pública Incondicionada</t>
        </is>
      </c>
      <c r="H466" s="7" t="inlineStr">
        <is>
          <t>Não</t>
        </is>
      </c>
      <c r="I466" s="7" t="inlineStr">
        <is>
          <t>Doloso</t>
        </is>
      </c>
      <c r="J466" s="7" t="inlineStr">
        <is>
          <t>Controverso</t>
        </is>
      </c>
      <c r="K466" s="16" t="inlineStr">
        <is>
          <t>—</t>
        </is>
      </c>
      <c r="L466" s="16" t="inlineStr">
        <is>
          <t>1-3 anos + multa. Recusar, retardar ou omitir dados técnicos indispensáveis à propositura de ação civil pública quando requisitados pelo MP</t>
        </is>
      </c>
      <c r="M466" s="7" t="inlineStr">
        <is>
          <t>Sim</t>
        </is>
      </c>
      <c r="N466" s="7" t="inlineStr">
        <is>
          <t>Sim</t>
        </is>
      </c>
    </row>
    <row r="467">
      <c r="A467" s="19" t="inlineStr">
        <is>
          <t>LCP (DL 3.688/41)</t>
        </is>
      </c>
      <c r="B467" s="19" t="inlineStr">
        <is>
          <t>Art. 31</t>
        </is>
      </c>
      <c r="C467" s="20" t="inlineStr">
        <is>
          <t>Omissão de cautela na guarda ou condução de animais</t>
        </is>
      </c>
      <c r="D467" s="19" t="inlineStr">
        <is>
          <t>—</t>
        </is>
      </c>
      <c r="E467" s="19" t="inlineStr">
        <is>
          <t>—</t>
        </is>
      </c>
      <c r="F467" s="19" t="inlineStr">
        <is>
          <t>Multa</t>
        </is>
      </c>
      <c r="G467" s="19" t="inlineStr">
        <is>
          <t>Pública Incondicionada</t>
        </is>
      </c>
      <c r="H467" s="19" t="inlineStr">
        <is>
          <t>Não</t>
        </is>
      </c>
      <c r="I467" s="19" t="inlineStr">
        <is>
          <t>Culposo</t>
        </is>
      </c>
      <c r="J467" s="19" t="inlineStr">
        <is>
          <t>Não</t>
        </is>
      </c>
      <c r="K467" s="20" t="inlineStr">
        <is>
          <t>—</t>
        </is>
      </c>
      <c r="L467" s="20" t="inlineStr">
        <is>
          <t>Multa. Deixar em liberdade, confiar à guarda de pessoa inexperiente, ou abandonar animal perigoso</t>
        </is>
      </c>
      <c r="M467" s="19" t="inlineStr">
        <is>
          <t>—</t>
        </is>
      </c>
      <c r="N467" s="19" t="inlineStr">
        <is>
          <t>—</t>
        </is>
      </c>
    </row>
    <row r="468">
      <c r="A468" s="7" t="inlineStr">
        <is>
          <t>LCP (DL 3.688/41)</t>
        </is>
      </c>
      <c r="B468" s="7" t="inlineStr">
        <is>
          <t>Art. 34</t>
        </is>
      </c>
      <c r="C468" s="16" t="inlineStr">
        <is>
          <t>Direção perigosa de veículo na via pública</t>
        </is>
      </c>
      <c r="D468" s="7" t="n">
        <v>15</v>
      </c>
      <c r="E468" s="7" t="n">
        <v>3</v>
      </c>
      <c r="F468" s="7" t="inlineStr">
        <is>
          <t>Prisão simples</t>
        </is>
      </c>
      <c r="G468" s="7" t="inlineStr">
        <is>
          <t>Pública Incondicionada</t>
        </is>
      </c>
      <c r="H468" s="7" t="inlineStr">
        <is>
          <t>Não</t>
        </is>
      </c>
      <c r="I468" s="7" t="inlineStr">
        <is>
          <t>Doloso</t>
        </is>
      </c>
      <c r="J468" s="7" t="inlineStr">
        <is>
          <t>Não</t>
        </is>
      </c>
      <c r="K468" s="16" t="inlineStr">
        <is>
          <t>—</t>
        </is>
      </c>
      <c r="L468" s="16" t="inlineStr">
        <is>
          <t>15 dias a 3 meses. Dirigir veículos na via pública pondo em perigo a segurança alheia. Parcialmente absorvida pelos crimes do CTB</t>
        </is>
      </c>
      <c r="M468" s="7" t="inlineStr">
        <is>
          <t>Sim</t>
        </is>
      </c>
      <c r="N468" s="7" t="inlineStr">
        <is>
          <t>Não</t>
        </is>
      </c>
    </row>
    <row r="469">
      <c r="A469" s="7" t="inlineStr">
        <is>
          <t>LCP (DL 3.688/41)</t>
        </is>
      </c>
      <c r="B469" s="7" t="inlineStr">
        <is>
          <t>Art. 40</t>
        </is>
      </c>
      <c r="C469" s="16" t="inlineStr">
        <is>
          <t>Provocação de tumulto ou conduta inconveniente</t>
        </is>
      </c>
      <c r="D469" s="7" t="n">
        <v>15</v>
      </c>
      <c r="E469" s="7" t="n">
        <v>6</v>
      </c>
      <c r="F469" s="7" t="inlineStr">
        <is>
          <t>Prisão simples</t>
        </is>
      </c>
      <c r="G469" s="7" t="inlineStr">
        <is>
          <t>Pública Incondicionada</t>
        </is>
      </c>
      <c r="H469" s="7" t="inlineStr">
        <is>
          <t>Não</t>
        </is>
      </c>
      <c r="I469" s="7" t="inlineStr">
        <is>
          <t>Doloso</t>
        </is>
      </c>
      <c r="J469" s="7" t="inlineStr">
        <is>
          <t>Não</t>
        </is>
      </c>
      <c r="K469" s="16" t="inlineStr">
        <is>
          <t>—</t>
        </is>
      </c>
      <c r="L469" s="16" t="inlineStr">
        <is>
          <t>15 dias a 6 meses. Provocar tumulto ou portar-se de modo inconveniente ou desrespeitoso em atos/cerimónias de culto religioso, espetáculo/reunião/assembleia</t>
        </is>
      </c>
      <c r="M469" s="7" t="inlineStr">
        <is>
          <t>Sim</t>
        </is>
      </c>
      <c r="N469" s="7" t="inlineStr">
        <is>
          <t>Não</t>
        </is>
      </c>
    </row>
    <row r="470">
      <c r="A470" s="7" t="inlineStr">
        <is>
          <t>LCP (DL 3.688/41)</t>
        </is>
      </c>
      <c r="B470" s="7" t="inlineStr">
        <is>
          <t>Art. 58</t>
        </is>
      </c>
      <c r="C470" s="16" t="inlineStr">
        <is>
          <t>Exploração de jogo do bicho (contravenção)</t>
        </is>
      </c>
      <c r="D470" s="7" t="n">
        <v>4</v>
      </c>
      <c r="E470" s="7" t="n">
        <v>12</v>
      </c>
      <c r="F470" s="7" t="inlineStr">
        <is>
          <t>Prisão simples</t>
        </is>
      </c>
      <c r="G470" s="7" t="inlineStr">
        <is>
          <t>Pública Incondicionada</t>
        </is>
      </c>
      <c r="H470" s="7" t="inlineStr">
        <is>
          <t>Não</t>
        </is>
      </c>
      <c r="I470" s="7" t="inlineStr">
        <is>
          <t>Doloso</t>
        </is>
      </c>
      <c r="J470" s="7" t="inlineStr">
        <is>
          <t>Não</t>
        </is>
      </c>
      <c r="K470" s="16" t="inlineStr">
        <is>
          <t>—</t>
        </is>
      </c>
      <c r="L470" s="16" t="inlineStr">
        <is>
          <t>4 meses a 1 ano + multa. Explorar/realizar jogo do bicho ou loteria não autorizada</t>
        </is>
      </c>
      <c r="M470" s="7" t="inlineStr">
        <is>
          <t>Sim</t>
        </is>
      </c>
      <c r="N470" s="7" t="inlineStr">
        <is>
          <t>Sim</t>
        </is>
      </c>
    </row>
    <row r="471">
      <c r="A471" s="7" t="inlineStr">
        <is>
          <t>CP</t>
        </is>
      </c>
      <c r="B471" s="7" t="inlineStr">
        <is>
          <t>Art. 337-E</t>
        </is>
      </c>
      <c r="C471" s="16" t="inlineStr">
        <is>
          <t>Contratação direta ilegal (licitações)</t>
        </is>
      </c>
      <c r="D471" s="7" t="n">
        <v>48</v>
      </c>
      <c r="E471" s="7" t="n">
        <v>96</v>
      </c>
      <c r="F471" s="7" t="inlineStr">
        <is>
          <t>Reclusão</t>
        </is>
      </c>
      <c r="G471" s="7" t="inlineStr">
        <is>
          <t>Pública Incondicionada</t>
        </is>
      </c>
      <c r="H471" s="7" t="inlineStr">
        <is>
          <t>Não</t>
        </is>
      </c>
      <c r="I471" s="7" t="inlineStr">
        <is>
          <t>Doloso</t>
        </is>
      </c>
      <c r="J471" s="7" t="inlineStr">
        <is>
          <t>Sim</t>
        </is>
      </c>
      <c r="K471" s="16" t="inlineStr">
        <is>
          <t>—</t>
        </is>
      </c>
      <c r="L471" s="16" t="inlineStr">
        <is>
          <t>4-8 anos + multa. Admitir/possibilitar/dar causa à contratação direta fora das hipóteses legais. Incluído pela Lei 14.133/2021</t>
        </is>
      </c>
      <c r="M471" s="7" t="inlineStr">
        <is>
          <t>Verificar</t>
        </is>
      </c>
      <c r="N471" s="7" t="inlineStr">
        <is>
          <t>Não</t>
        </is>
      </c>
    </row>
    <row r="472">
      <c r="A472" s="7" t="inlineStr">
        <is>
          <t>CP</t>
        </is>
      </c>
      <c r="B472" s="7" t="inlineStr">
        <is>
          <t>Art. 337-F</t>
        </is>
      </c>
      <c r="C472" s="16" t="inlineStr">
        <is>
          <t>Frustração do caráter competitivo de licitação</t>
        </is>
      </c>
      <c r="D472" s="7" t="n">
        <v>48</v>
      </c>
      <c r="E472" s="7" t="n">
        <v>144</v>
      </c>
      <c r="F472" s="7" t="inlineStr">
        <is>
          <t>Reclusão</t>
        </is>
      </c>
      <c r="G472" s="7" t="inlineStr">
        <is>
          <t>Pública Incondicionada</t>
        </is>
      </c>
      <c r="H472" s="7" t="inlineStr">
        <is>
          <t>Não</t>
        </is>
      </c>
      <c r="I472" s="7" t="inlineStr">
        <is>
          <t>Doloso</t>
        </is>
      </c>
      <c r="J472" s="7" t="inlineStr">
        <is>
          <t>Sim</t>
        </is>
      </c>
      <c r="K472" s="16" t="inlineStr">
        <is>
          <t>—</t>
        </is>
      </c>
      <c r="L472" s="16" t="inlineStr">
        <is>
          <t>4-12 anos + multa. Frustrar/fraudar/obstruir/perturbar qualquer ato de licitação. Incluído pela Lei 14.133/2021</t>
        </is>
      </c>
      <c r="M472" s="7" t="inlineStr">
        <is>
          <t>Verificar</t>
        </is>
      </c>
      <c r="N472" s="7" t="inlineStr">
        <is>
          <t>Não</t>
        </is>
      </c>
    </row>
    <row r="473">
      <c r="A473" s="7" t="inlineStr">
        <is>
          <t>CP</t>
        </is>
      </c>
      <c r="B473" s="7" t="inlineStr">
        <is>
          <t>Art. 337-G</t>
        </is>
      </c>
      <c r="C473" s="16" t="inlineStr">
        <is>
          <t>Patrocínio de contratação indevida (licitações)</t>
        </is>
      </c>
      <c r="D473" s="7" t="n">
        <v>24</v>
      </c>
      <c r="E473" s="7" t="n">
        <v>72</v>
      </c>
      <c r="F473" s="7" t="inlineStr">
        <is>
          <t>Reclusão</t>
        </is>
      </c>
      <c r="G473" s="7" t="inlineStr">
        <is>
          <t>Pública Incondicionada</t>
        </is>
      </c>
      <c r="H473" s="7" t="inlineStr">
        <is>
          <t>Não</t>
        </is>
      </c>
      <c r="I473" s="7" t="inlineStr">
        <is>
          <t>Doloso</t>
        </is>
      </c>
      <c r="J473" s="7" t="inlineStr">
        <is>
          <t>Sim</t>
        </is>
      </c>
      <c r="K473" s="16" t="inlineStr">
        <is>
          <t>—</t>
        </is>
      </c>
      <c r="L473" s="16" t="inlineStr">
        <is>
          <t>Patrocinar, direta ou indiretamente, interesse privado perante a AP, dando causa à instauração de licitação ou celebração de contrato indevido</t>
        </is>
      </c>
      <c r="M473" s="7" t="inlineStr">
        <is>
          <t>Sim</t>
        </is>
      </c>
      <c r="N473" s="7" t="inlineStr">
        <is>
          <t>Não</t>
        </is>
      </c>
    </row>
    <row r="474">
      <c r="A474" s="7" t="inlineStr">
        <is>
          <t>CP</t>
        </is>
      </c>
      <c r="B474" s="7" t="inlineStr">
        <is>
          <t>Art. 337-H</t>
        </is>
      </c>
      <c r="C474" s="16" t="inlineStr">
        <is>
          <t>Modificação ou pagamento irregular em contrato administrativo</t>
        </is>
      </c>
      <c r="D474" s="7" t="n">
        <v>48</v>
      </c>
      <c r="E474" s="7" t="n">
        <v>96</v>
      </c>
      <c r="F474" s="7" t="inlineStr">
        <is>
          <t>Reclusão</t>
        </is>
      </c>
      <c r="G474" s="7" t="inlineStr">
        <is>
          <t>Pública Incondicionada</t>
        </is>
      </c>
      <c r="H474" s="7" t="inlineStr">
        <is>
          <t>Não</t>
        </is>
      </c>
      <c r="I474" s="7" t="inlineStr">
        <is>
          <t>Doloso</t>
        </is>
      </c>
      <c r="J474" s="7" t="inlineStr">
        <is>
          <t>Sim</t>
        </is>
      </c>
      <c r="K474" s="16" t="inlineStr">
        <is>
          <t>—</t>
        </is>
      </c>
      <c r="L474" s="16" t="inlineStr">
        <is>
          <t>4-8 anos + multa. Admitir/possibilitar/dar causa a modificação ou pagamento irregular em contrato administrativo sem respaldo legal</t>
        </is>
      </c>
      <c r="M474" s="7" t="inlineStr">
        <is>
          <t>Verificar</t>
        </is>
      </c>
      <c r="N474" s="7" t="inlineStr">
        <is>
          <t>Não</t>
        </is>
      </c>
    </row>
    <row r="475">
      <c r="A475" s="7" t="inlineStr">
        <is>
          <t>CP</t>
        </is>
      </c>
      <c r="B475" s="7" t="inlineStr">
        <is>
          <t>Art. 337-I</t>
        </is>
      </c>
      <c r="C475" s="16" t="inlineStr">
        <is>
          <t>Perturbação de processo licitatório</t>
        </is>
      </c>
      <c r="D475" s="7" t="n">
        <v>6</v>
      </c>
      <c r="E475" s="7" t="n">
        <v>24</v>
      </c>
      <c r="F475" s="7" t="inlineStr">
        <is>
          <t>Detenção</t>
        </is>
      </c>
      <c r="G475" s="7" t="inlineStr">
        <is>
          <t>Pública Incondicionada</t>
        </is>
      </c>
      <c r="H475" s="7" t="inlineStr">
        <is>
          <t>Não</t>
        </is>
      </c>
      <c r="I475" s="7" t="inlineStr">
        <is>
          <t>Doloso</t>
        </is>
      </c>
      <c r="J475" s="7" t="inlineStr">
        <is>
          <t>Sim</t>
        </is>
      </c>
      <c r="K475" s="16" t="inlineStr">
        <is>
          <t>—</t>
        </is>
      </c>
      <c r="L475" s="16" t="inlineStr">
        <is>
          <t>Obstruir/impedir/dificultar/perturbar ato de licitação/contrato. Pena: 6m-2a + multa</t>
        </is>
      </c>
      <c r="M475" s="7" t="inlineStr">
        <is>
          <t>Sim</t>
        </is>
      </c>
      <c r="N475" s="7" t="inlineStr">
        <is>
          <t>Sim</t>
        </is>
      </c>
    </row>
    <row r="476">
      <c r="A476" s="7" t="inlineStr">
        <is>
          <t>CP</t>
        </is>
      </c>
      <c r="B476" s="7" t="inlineStr">
        <is>
          <t>Art. 337-J</t>
        </is>
      </c>
      <c r="C476" s="16" t="inlineStr">
        <is>
          <t>Violação de sigilo em licitação</t>
        </is>
      </c>
      <c r="D476" s="7" t="n">
        <v>24</v>
      </c>
      <c r="E476" s="7" t="n">
        <v>36</v>
      </c>
      <c r="F476" s="7" t="inlineStr">
        <is>
          <t>Detenção</t>
        </is>
      </c>
      <c r="G476" s="7" t="inlineStr">
        <is>
          <t>Pública Incondicionada</t>
        </is>
      </c>
      <c r="H476" s="7" t="inlineStr">
        <is>
          <t>Não</t>
        </is>
      </c>
      <c r="I476" s="7" t="inlineStr">
        <is>
          <t>Doloso</t>
        </is>
      </c>
      <c r="J476" s="7" t="inlineStr">
        <is>
          <t>Sim</t>
        </is>
      </c>
      <c r="K476" s="16" t="inlineStr">
        <is>
          <t>—</t>
        </is>
      </c>
      <c r="L476" s="16" t="inlineStr">
        <is>
          <t>Devassar sigilo de proposta/conteúdo de atos sigilosos em licitação. 2-3 anos + multa</t>
        </is>
      </c>
      <c r="M476" s="7" t="inlineStr">
        <is>
          <t>Sim</t>
        </is>
      </c>
      <c r="N476" s="7" t="inlineStr">
        <is>
          <t>Não</t>
        </is>
      </c>
    </row>
    <row r="477">
      <c r="A477" s="7" t="inlineStr">
        <is>
          <t>CP</t>
        </is>
      </c>
      <c r="B477" s="7" t="inlineStr">
        <is>
          <t>Art. 337-K</t>
        </is>
      </c>
      <c r="C477" s="16" t="inlineStr">
        <is>
          <t>Afastamento de licitante</t>
        </is>
      </c>
      <c r="D477" s="7" t="n">
        <v>36</v>
      </c>
      <c r="E477" s="7" t="n">
        <v>60</v>
      </c>
      <c r="F477" s="7" t="inlineStr">
        <is>
          <t>Detenção</t>
        </is>
      </c>
      <c r="G477" s="7" t="inlineStr">
        <is>
          <t>Pública Incondicionada</t>
        </is>
      </c>
      <c r="H477" s="7" t="inlineStr">
        <is>
          <t>Não</t>
        </is>
      </c>
      <c r="I477" s="7" t="inlineStr">
        <is>
          <t>Doloso</t>
        </is>
      </c>
      <c r="J477" s="7" t="inlineStr">
        <is>
          <t>Sim</t>
        </is>
      </c>
      <c r="K477" s="16" t="inlineStr">
        <is>
          <t>—</t>
        </is>
      </c>
      <c r="L477" s="16" t="inlineStr">
        <is>
          <t>Afastar/tentar afastar licitante por meio de violência, grave ameaça, fraude ou oferecimento de vantagem. 3-5 anos + multa</t>
        </is>
      </c>
      <c r="M477" s="7" t="inlineStr">
        <is>
          <t>Sim</t>
        </is>
      </c>
      <c r="N477" s="7" t="inlineStr">
        <is>
          <t>Não</t>
        </is>
      </c>
    </row>
    <row r="478">
      <c r="A478" s="7" t="inlineStr">
        <is>
          <t>CP</t>
        </is>
      </c>
      <c r="B478" s="7" t="inlineStr">
        <is>
          <t>Art. 337-L</t>
        </is>
      </c>
      <c r="C478" s="16" t="inlineStr">
        <is>
          <t>Fraude em licitação ou contrato</t>
        </is>
      </c>
      <c r="D478" s="7" t="n">
        <v>48</v>
      </c>
      <c r="E478" s="7" t="n">
        <v>144</v>
      </c>
      <c r="F478" s="7" t="inlineStr">
        <is>
          <t>Reclusão</t>
        </is>
      </c>
      <c r="G478" s="7" t="inlineStr">
        <is>
          <t>Pública Incondicionada</t>
        </is>
      </c>
      <c r="H478" s="7" t="inlineStr">
        <is>
          <t>Não</t>
        </is>
      </c>
      <c r="I478" s="7" t="inlineStr">
        <is>
          <t>Doloso</t>
        </is>
      </c>
      <c r="J478" s="7" t="inlineStr">
        <is>
          <t>Sim</t>
        </is>
      </c>
      <c r="K478" s="16" t="inlineStr">
        <is>
          <t>+1/3 se o agente é funcionário público</t>
        </is>
      </c>
      <c r="L478" s="16" t="inlineStr">
        <is>
          <t>Fraudar licitação/contrato garantindo vantagem indevida. 4-12 anos + multa</t>
        </is>
      </c>
      <c r="M478" s="7" t="inlineStr">
        <is>
          <t>Verificar</t>
        </is>
      </c>
      <c r="N478" s="7" t="inlineStr">
        <is>
          <t>Não</t>
        </is>
      </c>
    </row>
    <row r="479">
      <c r="A479" s="7" t="inlineStr">
        <is>
          <t>CP</t>
        </is>
      </c>
      <c r="B479" s="7" t="inlineStr">
        <is>
          <t>Art. 337-M</t>
        </is>
      </c>
      <c r="C479" s="16" t="inlineStr">
        <is>
          <t>Contratação inidônea (licitações)</t>
        </is>
      </c>
      <c r="D479" s="7" t="n">
        <v>6</v>
      </c>
      <c r="E479" s="7" t="n">
        <v>36</v>
      </c>
      <c r="F479" s="7" t="inlineStr">
        <is>
          <t>Detenção</t>
        </is>
      </c>
      <c r="G479" s="7" t="inlineStr">
        <is>
          <t>Pública Incondicionada</t>
        </is>
      </c>
      <c r="H479" s="7" t="inlineStr">
        <is>
          <t>Não</t>
        </is>
      </c>
      <c r="I479" s="7" t="inlineStr">
        <is>
          <t>Doloso</t>
        </is>
      </c>
      <c r="J479" s="7" t="inlineStr">
        <is>
          <t>Sim</t>
        </is>
      </c>
      <c r="K479" s="16" t="inlineStr">
        <is>
          <t>—</t>
        </is>
      </c>
      <c r="L479" s="16" t="inlineStr">
        <is>
          <t>Admitir licitação ou celebrar contrato com empresa/profissional declarado inidôneo</t>
        </is>
      </c>
      <c r="M479" s="7" t="inlineStr">
        <is>
          <t>Sim</t>
        </is>
      </c>
      <c r="N479" s="7" t="inlineStr">
        <is>
          <t>Sim</t>
        </is>
      </c>
    </row>
    <row r="480">
      <c r="A480" s="7" t="inlineStr">
        <is>
          <t>CP</t>
        </is>
      </c>
      <c r="B480" s="7" t="inlineStr">
        <is>
          <t>Art. 337-O</t>
        </is>
      </c>
      <c r="C480" s="16" t="inlineStr">
        <is>
          <t>Impedimento/perturbação de fiscalização de contrato</t>
        </is>
      </c>
      <c r="D480" s="7" t="n">
        <v>36</v>
      </c>
      <c r="E480" s="7" t="n">
        <v>60</v>
      </c>
      <c r="F480" s="7" t="inlineStr">
        <is>
          <t>Detenção</t>
        </is>
      </c>
      <c r="G480" s="7" t="inlineStr">
        <is>
          <t>Pública Incondicionada</t>
        </is>
      </c>
      <c r="H480" s="7" t="inlineStr">
        <is>
          <t>Não</t>
        </is>
      </c>
      <c r="I480" s="7" t="inlineStr">
        <is>
          <t>Doloso</t>
        </is>
      </c>
      <c r="J480" s="7" t="inlineStr">
        <is>
          <t>Sim</t>
        </is>
      </c>
      <c r="K480" s="16" t="inlineStr">
        <is>
          <t>—</t>
        </is>
      </c>
      <c r="L480" s="16" t="inlineStr">
        <is>
          <t>Obstar/impedir/dificultar a ação dos órgãos de controle. 3-5 anos + multa</t>
        </is>
      </c>
      <c r="M480" s="7" t="inlineStr">
        <is>
          <t>Sim</t>
        </is>
      </c>
      <c r="N480" s="7" t="inlineStr">
        <is>
          <t>Não</t>
        </is>
      </c>
    </row>
    <row r="481">
      <c r="A481" s="7" t="inlineStr">
        <is>
          <t>CP</t>
        </is>
      </c>
      <c r="B481" s="7" t="inlineStr">
        <is>
          <t>Art. 337-P</t>
        </is>
      </c>
      <c r="C481" s="16" t="inlineStr">
        <is>
          <t>Omissão grave na fiscalização de contrato administrativo</t>
        </is>
      </c>
      <c r="D481" s="7" t="n">
        <v>6</v>
      </c>
      <c r="E481" s="7" t="n">
        <v>36</v>
      </c>
      <c r="F481" s="7" t="inlineStr">
        <is>
          <t>Detenção</t>
        </is>
      </c>
      <c r="G481" s="7" t="inlineStr">
        <is>
          <t>Pública Incondicionada</t>
        </is>
      </c>
      <c r="H481" s="7" t="inlineStr">
        <is>
          <t>Não</t>
        </is>
      </c>
      <c r="I481" s="7" t="inlineStr">
        <is>
          <t>Doloso</t>
        </is>
      </c>
      <c r="J481" s="7" t="inlineStr">
        <is>
          <t>Sim</t>
        </is>
      </c>
      <c r="K481" s="16" t="inlineStr">
        <is>
          <t>—</t>
        </is>
      </c>
      <c r="L481" s="16" t="inlineStr">
        <is>
          <t>Deixar de fiscalizar, permitindo inexecução contratual ou desvio</t>
        </is>
      </c>
      <c r="M481" s="7" t="inlineStr">
        <is>
          <t>Sim</t>
        </is>
      </c>
      <c r="N481" s="7" t="inlineStr">
        <is>
          <t>Sim</t>
        </is>
      </c>
    </row>
    <row r="482">
      <c r="A482" s="7" t="inlineStr">
        <is>
          <t>Lei 11.343/06</t>
        </is>
      </c>
      <c r="B482" s="7" t="inlineStr">
        <is>
          <t>Art. 33, §3º</t>
        </is>
      </c>
      <c r="C482" s="16" t="inlineStr">
        <is>
          <t>Oferecimento eventual de droga sem objetivo de lucro (consumo compartilhado)</t>
        </is>
      </c>
      <c r="D482" s="7" t="n">
        <v>6</v>
      </c>
      <c r="E482" s="7" t="n">
        <v>12</v>
      </c>
      <c r="F482" s="7" t="inlineStr">
        <is>
          <t>Detenção</t>
        </is>
      </c>
      <c r="G482" s="7" t="inlineStr">
        <is>
          <t>Pública Incondicionada</t>
        </is>
      </c>
      <c r="H482" s="7" t="inlineStr">
        <is>
          <t>Não</t>
        </is>
      </c>
      <c r="I482" s="7" t="inlineStr">
        <is>
          <t>Doloso</t>
        </is>
      </c>
      <c r="J482" s="7" t="inlineStr">
        <is>
          <t>Controverso</t>
        </is>
      </c>
      <c r="K482" s="16" t="inlineStr">
        <is>
          <t>—</t>
        </is>
      </c>
      <c r="L482" s="16" t="inlineStr">
        <is>
          <t>6 meses a 1 ano. Oferecer droga eventualmente e sem objetivo de lucro a pessoa de seu relacionamento para consumo conjunto. NÃO é tráfico — tipo privilegiado</t>
        </is>
      </c>
      <c r="M482" s="7" t="inlineStr">
        <is>
          <t>Sim</t>
        </is>
      </c>
      <c r="N482" s="7" t="inlineStr">
        <is>
          <t>Sim</t>
        </is>
      </c>
    </row>
    <row r="483">
      <c r="A483" s="7" t="inlineStr">
        <is>
          <t>ECA (8.069/90)</t>
        </is>
      </c>
      <c r="B483" s="7" t="inlineStr">
        <is>
          <t>Art. 228</t>
        </is>
      </c>
      <c r="C483" s="16" t="inlineStr">
        <is>
          <t>Omissão de identificação neonatal</t>
        </is>
      </c>
      <c r="D483" s="7" t="n">
        <v>6</v>
      </c>
      <c r="E483" s="7" t="n">
        <v>24</v>
      </c>
      <c r="F483" s="7" t="inlineStr">
        <is>
          <t>Detenção</t>
        </is>
      </c>
      <c r="G483" s="7" t="inlineStr">
        <is>
          <t>Pública Incondicionada</t>
        </is>
      </c>
      <c r="H483" s="7" t="inlineStr">
        <is>
          <t>Não</t>
        </is>
      </c>
      <c r="I483" s="7" t="inlineStr">
        <is>
          <t>Doloso</t>
        </is>
      </c>
      <c r="J483" s="7" t="inlineStr">
        <is>
          <t>Sim</t>
        </is>
      </c>
      <c r="K483" s="16" t="inlineStr">
        <is>
          <t>—</t>
        </is>
      </c>
      <c r="L483" s="16" t="inlineStr">
        <is>
          <t>Deixar o médico/enfermeiro/dirigente de estabelecimento de saúde de identificar corretamente o neonato e a parturiente</t>
        </is>
      </c>
      <c r="M483" s="7" t="inlineStr">
        <is>
          <t>Sim</t>
        </is>
      </c>
      <c r="N483" s="7" t="inlineStr">
        <is>
          <t>Sim</t>
        </is>
      </c>
    </row>
    <row r="484">
      <c r="A484" s="7" t="inlineStr">
        <is>
          <t>ECA (8.069/90)</t>
        </is>
      </c>
      <c r="B484" s="7" t="inlineStr">
        <is>
          <t>Art. 242</t>
        </is>
      </c>
      <c r="C484" s="16" t="inlineStr">
        <is>
          <t>Vender/fornecer arma, munição ou explosivo a criança/adolescente</t>
        </is>
      </c>
      <c r="D484" s="7" t="n">
        <v>36</v>
      </c>
      <c r="E484" s="7" t="n">
        <v>72</v>
      </c>
      <c r="F484" s="7" t="inlineStr">
        <is>
          <t>Reclusão</t>
        </is>
      </c>
      <c r="G484" s="7" t="inlineStr">
        <is>
          <t>Pública Incondicionada</t>
        </is>
      </c>
      <c r="H484" s="7" t="inlineStr">
        <is>
          <t>Não</t>
        </is>
      </c>
      <c r="I484" s="7" t="inlineStr">
        <is>
          <t>Doloso</t>
        </is>
      </c>
      <c r="J484" s="7" t="inlineStr">
        <is>
          <t>Sim</t>
        </is>
      </c>
      <c r="K484" s="16" t="inlineStr">
        <is>
          <t>—</t>
        </is>
      </c>
      <c r="L484" s="16" t="inlineStr">
        <is>
          <t>3-6 anos + multa</t>
        </is>
      </c>
      <c r="M484" s="7" t="inlineStr">
        <is>
          <t>Sim</t>
        </is>
      </c>
      <c r="N484" s="7" t="inlineStr">
        <is>
          <t>Não</t>
        </is>
      </c>
    </row>
    <row r="485">
      <c r="A485" s="7" t="inlineStr">
        <is>
          <t>ECA (8.069/90)</t>
        </is>
      </c>
      <c r="B485" s="7" t="inlineStr">
        <is>
          <t>Art. 244-B</t>
        </is>
      </c>
      <c r="C485" s="16" t="inlineStr">
        <is>
          <t>Corrupção de menores (praticar crime com menor)</t>
        </is>
      </c>
      <c r="D485" s="7" t="n">
        <v>12</v>
      </c>
      <c r="E485" s="7" t="n">
        <v>48</v>
      </c>
      <c r="F485" s="7" t="inlineStr">
        <is>
          <t>Reclusão</t>
        </is>
      </c>
      <c r="G485" s="7" t="inlineStr">
        <is>
          <t>Pública Incondicionada</t>
        </is>
      </c>
      <c r="H485" s="7" t="inlineStr">
        <is>
          <t>Não</t>
        </is>
      </c>
      <c r="I485" s="7" t="inlineStr">
        <is>
          <t>Doloso</t>
        </is>
      </c>
      <c r="J485" s="7" t="inlineStr">
        <is>
          <t>Sim</t>
        </is>
      </c>
      <c r="K485" s="16" t="inlineStr">
        <is>
          <t>—</t>
        </is>
      </c>
      <c r="L485" s="16" t="inlineStr">
        <is>
          <t>1-4 anos. Corromper ou facilitar a corrupção de menor de 18 anos, com ele praticando infração penal ou induzindo-o a praticá-la. Incluído pela Lei 12.015/2009</t>
        </is>
      </c>
      <c r="M485" s="7" t="inlineStr">
        <is>
          <t>Sim</t>
        </is>
      </c>
      <c r="N485" s="7" t="inlineStr">
        <is>
          <t>Sim</t>
        </is>
      </c>
    </row>
    <row r="486">
      <c r="A486" s="7" t="inlineStr">
        <is>
          <t>Lei 13.869/19</t>
        </is>
      </c>
      <c r="B486" s="7" t="inlineStr">
        <is>
          <t>Art. 9º</t>
        </is>
      </c>
      <c r="C486" s="16" t="inlineStr">
        <is>
          <t>Decretar medida privativa de liberdade sem fundamentação legal ou fora das hipóteses legais</t>
        </is>
      </c>
      <c r="D486" s="7" t="n">
        <v>12</v>
      </c>
      <c r="E486" s="7" t="n">
        <v>48</v>
      </c>
      <c r="F486" s="7" t="inlineStr">
        <is>
          <t>Detenção</t>
        </is>
      </c>
      <c r="G486" s="7" t="inlineStr">
        <is>
          <t>Pública Incondicionada</t>
        </is>
      </c>
      <c r="H486" s="7" t="inlineStr">
        <is>
          <t>Não</t>
        </is>
      </c>
      <c r="I486" s="7" t="inlineStr">
        <is>
          <t>Doloso</t>
        </is>
      </c>
      <c r="J486" s="7" t="inlineStr">
        <is>
          <t>Sim</t>
        </is>
      </c>
      <c r="K486" s="16" t="inlineStr">
        <is>
          <t>—</t>
        </is>
      </c>
      <c r="L486" s="16" t="inlineStr">
        <is>
          <t>1-4 anos + multa. Decretar prisão em manifesta desconformidade com as hipóteses legais</t>
        </is>
      </c>
      <c r="M486" s="7" t="inlineStr">
        <is>
          <t>Sim</t>
        </is>
      </c>
      <c r="N486" s="7" t="inlineStr">
        <is>
          <t>Sim</t>
        </is>
      </c>
    </row>
    <row r="487">
      <c r="A487" s="7" t="inlineStr">
        <is>
          <t>Lei 13.869/19</t>
        </is>
      </c>
      <c r="B487" s="7" t="inlineStr">
        <is>
          <t>Art. 10</t>
        </is>
      </c>
      <c r="C487" s="16" t="inlineStr">
        <is>
          <t>Condução coercitiva sem prévia intimação</t>
        </is>
      </c>
      <c r="D487" s="7" t="n">
        <v>12</v>
      </c>
      <c r="E487" s="7" t="n">
        <v>48</v>
      </c>
      <c r="F487" s="7" t="inlineStr">
        <is>
          <t>Detenção</t>
        </is>
      </c>
      <c r="G487" s="7" t="inlineStr">
        <is>
          <t>Pública Incondicionada</t>
        </is>
      </c>
      <c r="H487" s="7" t="inlineStr">
        <is>
          <t>Não</t>
        </is>
      </c>
      <c r="I487" s="7" t="inlineStr">
        <is>
          <t>Doloso</t>
        </is>
      </c>
      <c r="J487" s="7" t="inlineStr">
        <is>
          <t>Sim</t>
        </is>
      </c>
      <c r="K487" s="16" t="inlineStr">
        <is>
          <t>—</t>
        </is>
      </c>
      <c r="L487" s="16" t="inlineStr">
        <is>
          <t>Decretar condução coercitiva de testemunha/investigado/acusado sem prévia intimação ou quando ausente justificação para a medida</t>
        </is>
      </c>
      <c r="M487" s="7" t="inlineStr">
        <is>
          <t>Sim</t>
        </is>
      </c>
      <c r="N487" s="7" t="inlineStr">
        <is>
          <t>Sim</t>
        </is>
      </c>
    </row>
    <row r="488">
      <c r="A488" s="7" t="inlineStr">
        <is>
          <t>Lei 13.869/19</t>
        </is>
      </c>
      <c r="B488" s="7" t="inlineStr">
        <is>
          <t>Art. 12</t>
        </is>
      </c>
      <c r="C488" s="16" t="inlineStr">
        <is>
          <t>Deixar de comunicar prisão ao juiz competente ou à família</t>
        </is>
      </c>
      <c r="D488" s="7" t="n">
        <v>6</v>
      </c>
      <c r="E488" s="7" t="n">
        <v>24</v>
      </c>
      <c r="F488" s="7" t="inlineStr">
        <is>
          <t>Detenção</t>
        </is>
      </c>
      <c r="G488" s="7" t="inlineStr">
        <is>
          <t>Pública Incondicionada</t>
        </is>
      </c>
      <c r="H488" s="7" t="inlineStr">
        <is>
          <t>Não</t>
        </is>
      </c>
      <c r="I488" s="7" t="inlineStr">
        <is>
          <t>Doloso</t>
        </is>
      </c>
      <c r="J488" s="7" t="inlineStr">
        <is>
          <t>Sim</t>
        </is>
      </c>
      <c r="K488" s="16" t="inlineStr">
        <is>
          <t>—</t>
        </is>
      </c>
      <c r="L488" s="16" t="inlineStr">
        <is>
          <t>6 meses a 2 anos + multa</t>
        </is>
      </c>
      <c r="M488" s="7" t="inlineStr">
        <is>
          <t>Sim</t>
        </is>
      </c>
      <c r="N488" s="7" t="inlineStr">
        <is>
          <t>Sim</t>
        </is>
      </c>
    </row>
    <row r="489">
      <c r="A489" s="7" t="inlineStr">
        <is>
          <t>Lei 13.869/19</t>
        </is>
      </c>
      <c r="B489" s="7" t="inlineStr">
        <is>
          <t>Art. 13</t>
        </is>
      </c>
      <c r="C489" s="16" t="inlineStr">
        <is>
          <t>Constranger preso ou detido à exibição/exposição ou utilizar algemas sem necessidade</t>
        </is>
      </c>
      <c r="D489" s="7" t="n">
        <v>12</v>
      </c>
      <c r="E489" s="7" t="n">
        <v>48</v>
      </c>
      <c r="F489" s="7" t="inlineStr">
        <is>
          <t>Detenção</t>
        </is>
      </c>
      <c r="G489" s="7" t="inlineStr">
        <is>
          <t>Pública Incondicionada</t>
        </is>
      </c>
      <c r="H489" s="7" t="inlineStr">
        <is>
          <t>Não</t>
        </is>
      </c>
      <c r="I489" s="7" t="inlineStr">
        <is>
          <t>Doloso</t>
        </is>
      </c>
      <c r="J489" s="7" t="inlineStr">
        <is>
          <t>Sim</t>
        </is>
      </c>
      <c r="K489" s="16" t="inlineStr">
        <is>
          <t>Parágrafo único: mesma pena para uso de algemas quando o preso não oferece resistência nem risco de fuga</t>
        </is>
      </c>
      <c r="L489" s="16" t="inlineStr">
        <is>
          <t>Constranger o preso ou detido, mediante violência, grave ameaça ou redução de capacidade de resistência, a exibir-se ou ter sua imagem divulgada</t>
        </is>
      </c>
      <c r="M489" s="7" t="inlineStr">
        <is>
          <t>Sim</t>
        </is>
      </c>
      <c r="N489" s="7" t="inlineStr">
        <is>
          <t>Sim</t>
        </is>
      </c>
    </row>
    <row r="490">
      <c r="A490" s="7" t="inlineStr">
        <is>
          <t>Lei 13.869/19</t>
        </is>
      </c>
      <c r="B490" s="7" t="inlineStr">
        <is>
          <t>Art. 22</t>
        </is>
      </c>
      <c r="C490" s="16" t="inlineStr">
        <is>
          <t>Invasão ou busca domiciliar sem mandado judicial fora das hipóteses legais</t>
        </is>
      </c>
      <c r="D490" s="7" t="n">
        <v>12</v>
      </c>
      <c r="E490" s="7" t="n">
        <v>48</v>
      </c>
      <c r="F490" s="7" t="inlineStr">
        <is>
          <t>Detenção</t>
        </is>
      </c>
      <c r="G490" s="7" t="inlineStr">
        <is>
          <t>Pública Incondicionada</t>
        </is>
      </c>
      <c r="H490" s="7" t="inlineStr">
        <is>
          <t>Não</t>
        </is>
      </c>
      <c r="I490" s="7" t="inlineStr">
        <is>
          <t>Doloso</t>
        </is>
      </c>
      <c r="J490" s="7" t="inlineStr">
        <is>
          <t>Sim</t>
        </is>
      </c>
      <c r="K490" s="16" t="inlineStr">
        <is>
          <t>§1º: +1/3 a +1/2 se noturna ou sem testemunhas</t>
        </is>
      </c>
      <c r="L490" s="16" t="inlineStr">
        <is>
          <t>Invadir/adentrar casa alheia ou suas dependências sem determinação judicial ou fora das condições legais</t>
        </is>
      </c>
      <c r="M490" s="7" t="inlineStr">
        <is>
          <t>Sim</t>
        </is>
      </c>
      <c r="N490" s="7" t="inlineStr">
        <is>
          <t>Sim</t>
        </is>
      </c>
    </row>
    <row r="491">
      <c r="A491" s="7" t="inlineStr">
        <is>
          <t>Lei 9.609/98</t>
        </is>
      </c>
      <c r="B491" s="7" t="inlineStr">
        <is>
          <t>Art. 12</t>
        </is>
      </c>
      <c r="C491" s="16" t="inlineStr">
        <is>
          <t>Violação de direitos de autor de programa de computador (pirataria de software)</t>
        </is>
      </c>
      <c r="D491" s="7" t="n">
        <v>6</v>
      </c>
      <c r="E491" s="7" t="n">
        <v>24</v>
      </c>
      <c r="F491" s="7" t="inlineStr">
        <is>
          <t>Detenção</t>
        </is>
      </c>
      <c r="G491" s="7" t="inlineStr">
        <is>
          <t>Ação Penal Privada</t>
        </is>
      </c>
      <c r="H491" s="7" t="inlineStr">
        <is>
          <t>Não</t>
        </is>
      </c>
      <c r="I491" s="7" t="inlineStr">
        <is>
          <t>Doloso</t>
        </is>
      </c>
      <c r="J491" s="7" t="inlineStr">
        <is>
          <t>Sim</t>
        </is>
      </c>
      <c r="K491" s="16" t="inlineStr">
        <is>
          <t>§1º: reprodução para fins de comércio → 1-4 anos reclusão + multa. §2º: venda/exposição/ocultação para fins comerciais → 1-4 anos reclusão + multa</t>
        </is>
      </c>
      <c r="L491" s="16" t="inlineStr">
        <is>
          <t>Violar direitos de autor de programa de computador. Ação penal privada, salvo se praticado em prejuízo de entidade de direito público/autarquia/empresa pública/sociedade de economia mista/fundação (ação pública incondicionada)</t>
        </is>
      </c>
      <c r="M491" s="7" t="inlineStr">
        <is>
          <t>Sim</t>
        </is>
      </c>
      <c r="N491" s="7" t="inlineStr">
        <is>
          <t>Sim</t>
        </is>
      </c>
    </row>
    <row r="492">
      <c r="A492" s="7" t="inlineStr">
        <is>
          <t>Lei 9.472/97</t>
        </is>
      </c>
      <c r="B492" s="7" t="inlineStr">
        <is>
          <t>Art. 183</t>
        </is>
      </c>
      <c r="C492" s="16" t="inlineStr">
        <is>
          <t>Desenvolvimento clandestino de atividades de telecomunicação</t>
        </is>
      </c>
      <c r="D492" s="7" t="n">
        <v>24</v>
      </c>
      <c r="E492" s="7" t="n">
        <v>48</v>
      </c>
      <c r="F492" s="7" t="inlineStr">
        <is>
          <t>Detenção</t>
        </is>
      </c>
      <c r="G492" s="7" t="inlineStr">
        <is>
          <t>Pública Incondicionada</t>
        </is>
      </c>
      <c r="H492" s="7" t="inlineStr">
        <is>
          <t>Não</t>
        </is>
      </c>
      <c r="I492" s="7" t="inlineStr">
        <is>
          <t>Doloso</t>
        </is>
      </c>
      <c r="J492" s="7" t="inlineStr">
        <is>
          <t>Sim</t>
        </is>
      </c>
      <c r="K492" s="16" t="inlineStr">
        <is>
          <t>—</t>
        </is>
      </c>
      <c r="L492" s="16" t="inlineStr">
        <is>
          <t>2-4 anos + multa. Desenvolver clandestinamente atividades de telecomunicação (rádio pirata, etc.)</t>
        </is>
      </c>
      <c r="M492" s="7" t="inlineStr">
        <is>
          <t>Sim</t>
        </is>
      </c>
      <c r="N492" s="7" t="inlineStr">
        <is>
          <t>Não</t>
        </is>
      </c>
    </row>
    <row r="493">
      <c r="A493" s="7" t="inlineStr">
        <is>
          <t>Lei 9.472/97</t>
        </is>
      </c>
      <c r="B493" s="7" t="inlineStr">
        <is>
          <t>Art. 184</t>
        </is>
      </c>
      <c r="C493" s="16" t="inlineStr">
        <is>
          <t>Uso de radiofrequência sem autorização</t>
        </is>
      </c>
      <c r="D493" s="7" t="n">
        <v>24</v>
      </c>
      <c r="E493" s="7" t="n">
        <v>48</v>
      </c>
      <c r="F493" s="7" t="inlineStr">
        <is>
          <t>Detenção</t>
        </is>
      </c>
      <c r="G493" s="7" t="inlineStr">
        <is>
          <t>Pública Incondicionada</t>
        </is>
      </c>
      <c r="H493" s="7" t="inlineStr">
        <is>
          <t>Não</t>
        </is>
      </c>
      <c r="I493" s="7" t="inlineStr">
        <is>
          <t>Doloso</t>
        </is>
      </c>
      <c r="J493" s="7" t="inlineStr">
        <is>
          <t>Sim</t>
        </is>
      </c>
      <c r="K493" s="16" t="inlineStr">
        <is>
          <t>—</t>
        </is>
      </c>
      <c r="L493" s="16" t="inlineStr">
        <is>
          <t>Usar radiofrequência sem autorização ou em desacordo com autorização</t>
        </is>
      </c>
      <c r="M493" s="7" t="inlineStr">
        <is>
          <t>Sim</t>
        </is>
      </c>
      <c r="N493" s="7" t="inlineStr">
        <is>
          <t>Não</t>
        </is>
      </c>
    </row>
    <row r="494">
      <c r="A494" s="7" t="inlineStr">
        <is>
          <t>Lei 1.521/51</t>
        </is>
      </c>
      <c r="B494" s="7" t="inlineStr">
        <is>
          <t>Art. 2º, I-IX</t>
        </is>
      </c>
      <c r="C494" s="16" t="inlineStr">
        <is>
          <t>Crimes contra a economia popular (usura, especulação, açambarcamento)</t>
        </is>
      </c>
      <c r="D494" s="7" t="n">
        <v>24</v>
      </c>
      <c r="E494" s="7" t="n">
        <v>120</v>
      </c>
      <c r="F494" s="7" t="inlineStr">
        <is>
          <t>Detenção</t>
        </is>
      </c>
      <c r="G494" s="7" t="inlineStr">
        <is>
          <t>Pública Incondicionada</t>
        </is>
      </c>
      <c r="H494" s="7" t="inlineStr">
        <is>
          <t>Não</t>
        </is>
      </c>
      <c r="I494" s="7" t="inlineStr">
        <is>
          <t>Doloso</t>
        </is>
      </c>
      <c r="J494" s="7" t="inlineStr">
        <is>
          <t>Sim</t>
        </is>
      </c>
      <c r="K494" s="16" t="inlineStr">
        <is>
          <t>Diversas modalidades: I - especulação abusiva; II - práticas contra livre concorrência; III - monopolização; IV-IX - fraudes e engodos contra consumidor</t>
        </is>
      </c>
      <c r="L494" s="16" t="inlineStr">
        <is>
          <t>2-10 anos + multa. Lei da Economia Popular. Inclui usura (juros superiores ao legal), açambarcamento, manipulação de preços, fraude comercial. Ação processada e julgada pelo rito sumário</t>
        </is>
      </c>
      <c r="M494" s="7" t="inlineStr">
        <is>
          <t>Sim</t>
        </is>
      </c>
      <c r="N494" s="7" t="inlineStr">
        <is>
          <t>Não</t>
        </is>
      </c>
    </row>
    <row r="495">
      <c r="A495" s="7" t="inlineStr">
        <is>
          <t>Lei 1.521/51</t>
        </is>
      </c>
      <c r="B495" s="7" t="inlineStr">
        <is>
          <t>Art. 3º, I-XI</t>
        </is>
      </c>
      <c r="C495" s="16" t="inlineStr">
        <is>
          <t>Fraudes e abusos na fundação ou administração de sociedades por ações</t>
        </is>
      </c>
      <c r="D495" s="7" t="n">
        <v>24</v>
      </c>
      <c r="E495" s="7" t="n">
        <v>120</v>
      </c>
      <c r="F495" s="7" t="inlineStr">
        <is>
          <t>Detenção</t>
        </is>
      </c>
      <c r="G495" s="7" t="inlineStr">
        <is>
          <t>Pública Incondicionada</t>
        </is>
      </c>
      <c r="H495" s="7" t="inlineStr">
        <is>
          <t>Não</t>
        </is>
      </c>
      <c r="I495" s="7" t="inlineStr">
        <is>
          <t>Doloso</t>
        </is>
      </c>
      <c r="J495" s="7" t="inlineStr">
        <is>
          <t>Sim</t>
        </is>
      </c>
      <c r="K495" s="16" t="inlineStr">
        <is>
          <t>—</t>
        </is>
      </c>
      <c r="L495" s="16" t="inlineStr">
        <is>
          <t>Gerir fraudulentamente/fazer falsas afirmações/distribuir dividendos fictícios em sociedades por ações populares</t>
        </is>
      </c>
      <c r="M495" s="7" t="inlineStr">
        <is>
          <t>Sim</t>
        </is>
      </c>
      <c r="N495" s="7" t="inlineStr">
        <is>
          <t>Não</t>
        </is>
      </c>
    </row>
    <row r="496">
      <c r="A496" s="7" t="inlineStr">
        <is>
          <t>Lei 8.078/90 (CDC)</t>
        </is>
      </c>
      <c r="B496" s="7" t="inlineStr">
        <is>
          <t>Art. 63</t>
        </is>
      </c>
      <c r="C496" s="16" t="inlineStr">
        <is>
          <t>Omissão de dizeres/sinais ostensivos sobre nocividade/periculosidade de produto</t>
        </is>
      </c>
      <c r="D496" s="7" t="n">
        <v>6</v>
      </c>
      <c r="E496" s="7" t="n">
        <v>24</v>
      </c>
      <c r="F496" s="7" t="inlineStr">
        <is>
          <t>Detenção</t>
        </is>
      </c>
      <c r="G496" s="7" t="inlineStr">
        <is>
          <t>Pública Incondicionada</t>
        </is>
      </c>
      <c r="H496" s="7" t="inlineStr">
        <is>
          <t>Não</t>
        </is>
      </c>
      <c r="I496" s="7" t="inlineStr">
        <is>
          <t>Doloso</t>
        </is>
      </c>
      <c r="J496" s="7" t="inlineStr">
        <is>
          <t>Sim</t>
        </is>
      </c>
      <c r="K496" s="16" t="inlineStr">
        <is>
          <t>§1º: modalidade culposa: 1-6 meses detenção</t>
        </is>
      </c>
      <c r="L496" s="16" t="inlineStr">
        <is>
          <t>6 meses a 2 anos + multa</t>
        </is>
      </c>
      <c r="M496" s="7" t="inlineStr">
        <is>
          <t>Sim</t>
        </is>
      </c>
      <c r="N496" s="7" t="inlineStr">
        <is>
          <t>Sim</t>
        </is>
      </c>
    </row>
    <row r="497">
      <c r="A497" s="7" t="inlineStr">
        <is>
          <t>Lei 8.078/90 (CDC)</t>
        </is>
      </c>
      <c r="B497" s="7" t="inlineStr">
        <is>
          <t>Art. 64</t>
        </is>
      </c>
      <c r="C497" s="16" t="inlineStr">
        <is>
          <t>Deixar de comunicar periculosidade de produto/serviço após colocação no mercado</t>
        </is>
      </c>
      <c r="D497" s="7" t="n">
        <v>6</v>
      </c>
      <c r="E497" s="7" t="n">
        <v>24</v>
      </c>
      <c r="F497" s="7" t="inlineStr">
        <is>
          <t>Detenção</t>
        </is>
      </c>
      <c r="G497" s="7" t="inlineStr">
        <is>
          <t>Pública Incondicionada</t>
        </is>
      </c>
      <c r="H497" s="7" t="inlineStr">
        <is>
          <t>Não</t>
        </is>
      </c>
      <c r="I497" s="7" t="inlineStr">
        <is>
          <t>Doloso</t>
        </is>
      </c>
      <c r="J497" s="7" t="inlineStr">
        <is>
          <t>Sim</t>
        </is>
      </c>
      <c r="K497" s="16" t="inlineStr">
        <is>
          <t>—</t>
        </is>
      </c>
      <c r="L497" s="16" t="inlineStr">
        <is>
          <t>6 meses a 2 anos + multa</t>
        </is>
      </c>
      <c r="M497" s="7" t="inlineStr">
        <is>
          <t>Sim</t>
        </is>
      </c>
      <c r="N497" s="7" t="inlineStr">
        <is>
          <t>Sim</t>
        </is>
      </c>
    </row>
    <row r="498">
      <c r="A498" s="7" t="inlineStr">
        <is>
          <t>Lei 8.078/90 (CDC)</t>
        </is>
      </c>
      <c r="B498" s="7" t="inlineStr">
        <is>
          <t>Art. 65</t>
        </is>
      </c>
      <c r="C498" s="16" t="inlineStr">
        <is>
          <t>Executar serviço de alto grau de periculosidade contrariando determinação de autoridade</t>
        </is>
      </c>
      <c r="D498" s="7" t="n">
        <v>6</v>
      </c>
      <c r="E498" s="7" t="n">
        <v>24</v>
      </c>
      <c r="F498" s="7" t="inlineStr">
        <is>
          <t>Detenção</t>
        </is>
      </c>
      <c r="G498" s="7" t="inlineStr">
        <is>
          <t>Pública Incondicionada</t>
        </is>
      </c>
      <c r="H498" s="7" t="inlineStr">
        <is>
          <t>Não</t>
        </is>
      </c>
      <c r="I498" s="7" t="inlineStr">
        <is>
          <t>Doloso</t>
        </is>
      </c>
      <c r="J498" s="7" t="inlineStr">
        <is>
          <t>Sim</t>
        </is>
      </c>
      <c r="K498" s="16" t="inlineStr">
        <is>
          <t>—</t>
        </is>
      </c>
      <c r="L498" s="16" t="inlineStr">
        <is>
          <t>6 meses a 2 anos + multa</t>
        </is>
      </c>
      <c r="M498" s="7" t="inlineStr">
        <is>
          <t>Sim</t>
        </is>
      </c>
      <c r="N498" s="7" t="inlineStr">
        <is>
          <t>Sim</t>
        </is>
      </c>
    </row>
    <row r="499">
      <c r="A499" s="7" t="inlineStr">
        <is>
          <t>Lei 8.078/90 (CDC)</t>
        </is>
      </c>
      <c r="B499" s="7" t="inlineStr">
        <is>
          <t>Art. 66</t>
        </is>
      </c>
      <c r="C499" s="16" t="inlineStr">
        <is>
          <t>Afirmação falsa ou enganosa/omissão de informação relevante sobre produto/serviço</t>
        </is>
      </c>
      <c r="D499" s="7" t="n">
        <v>3</v>
      </c>
      <c r="E499" s="7" t="n">
        <v>12</v>
      </c>
      <c r="F499" s="7" t="inlineStr">
        <is>
          <t>Detenção</t>
        </is>
      </c>
      <c r="G499" s="7" t="inlineStr">
        <is>
          <t>Pública Incondicionada</t>
        </is>
      </c>
      <c r="H499" s="7" t="inlineStr">
        <is>
          <t>Não</t>
        </is>
      </c>
      <c r="I499" s="7" t="inlineStr">
        <is>
          <t>Doloso</t>
        </is>
      </c>
      <c r="J499" s="7" t="inlineStr">
        <is>
          <t>Sim</t>
        </is>
      </c>
      <c r="K499" s="16" t="inlineStr">
        <is>
          <t>§1º: modalidade culposa: 1-6 meses detenção</t>
        </is>
      </c>
      <c r="L499" s="16" t="inlineStr">
        <is>
          <t>3 meses a 1 ano + multa. Propaganda enganosa</t>
        </is>
      </c>
      <c r="M499" s="7" t="inlineStr">
        <is>
          <t>Sim</t>
        </is>
      </c>
      <c r="N499" s="7" t="inlineStr">
        <is>
          <t>Sim</t>
        </is>
      </c>
    </row>
    <row r="500">
      <c r="A500" s="7" t="inlineStr">
        <is>
          <t>Lei 8.078/90 (CDC)</t>
        </is>
      </c>
      <c r="B500" s="7" t="inlineStr">
        <is>
          <t>Art. 67</t>
        </is>
      </c>
      <c r="C500" s="16" t="inlineStr">
        <is>
          <t>Publicidade enganosa ou abusiva capaz de induzir consumidor a erro</t>
        </is>
      </c>
      <c r="D500" s="7" t="n">
        <v>3</v>
      </c>
      <c r="E500" s="7" t="n">
        <v>12</v>
      </c>
      <c r="F500" s="7" t="inlineStr">
        <is>
          <t>Detenção</t>
        </is>
      </c>
      <c r="G500" s="7" t="inlineStr">
        <is>
          <t>Pública Incondicionada</t>
        </is>
      </c>
      <c r="H500" s="7" t="inlineStr">
        <is>
          <t>Não</t>
        </is>
      </c>
      <c r="I500" s="7" t="inlineStr">
        <is>
          <t>Doloso</t>
        </is>
      </c>
      <c r="J500" s="7" t="inlineStr">
        <is>
          <t>Sim</t>
        </is>
      </c>
      <c r="K500" s="16" t="inlineStr">
        <is>
          <t>—</t>
        </is>
      </c>
      <c r="L500" s="16" t="inlineStr">
        <is>
          <t>3 meses a 1 ano + multa</t>
        </is>
      </c>
      <c r="M500" s="7" t="inlineStr">
        <is>
          <t>Sim</t>
        </is>
      </c>
      <c r="N500" s="7" t="inlineStr">
        <is>
          <t>Sim</t>
        </is>
      </c>
    </row>
    <row r="501">
      <c r="A501" s="7" t="inlineStr">
        <is>
          <t>Lei 8.078/90 (CDC)</t>
        </is>
      </c>
      <c r="B501" s="7" t="inlineStr">
        <is>
          <t>Art. 68</t>
        </is>
      </c>
      <c r="C501" s="16" t="inlineStr">
        <is>
          <t>Publicidade enganosa por omissão sobre dado essencial</t>
        </is>
      </c>
      <c r="D501" s="7" t="n">
        <v>6</v>
      </c>
      <c r="E501" s="7" t="n">
        <v>24</v>
      </c>
      <c r="F501" s="7" t="inlineStr">
        <is>
          <t>Detenção</t>
        </is>
      </c>
      <c r="G501" s="7" t="inlineStr">
        <is>
          <t>Pública Incondicionada</t>
        </is>
      </c>
      <c r="H501" s="7" t="inlineStr">
        <is>
          <t>Não</t>
        </is>
      </c>
      <c r="I501" s="7" t="inlineStr">
        <is>
          <t>Doloso</t>
        </is>
      </c>
      <c r="J501" s="7" t="inlineStr">
        <is>
          <t>Sim</t>
        </is>
      </c>
      <c r="K501" s="16" t="inlineStr">
        <is>
          <t>—</t>
        </is>
      </c>
      <c r="L501" s="16" t="inlineStr">
        <is>
          <t>6 meses a 2 anos + multa. Fazer/promover publicidade sabendo ou devendo saber ser capaz de induzir consumidor a se comportar de forma prejudicial a sua saúde/segurança</t>
        </is>
      </c>
      <c r="M501" s="7" t="inlineStr">
        <is>
          <t>Sim</t>
        </is>
      </c>
      <c r="N501" s="7" t="inlineStr">
        <is>
          <t>Sim</t>
        </is>
      </c>
    </row>
    <row r="502">
      <c r="A502" s="7" t="inlineStr">
        <is>
          <t>Lei 8.078/90 (CDC)</t>
        </is>
      </c>
      <c r="B502" s="7" t="inlineStr">
        <is>
          <t>Art. 69</t>
        </is>
      </c>
      <c r="C502" s="16" t="inlineStr">
        <is>
          <t>Deixar de organizar dados que dão base à publicidade</t>
        </is>
      </c>
      <c r="D502" s="7" t="n">
        <v>1</v>
      </c>
      <c r="E502" s="7" t="n">
        <v>6</v>
      </c>
      <c r="F502" s="7" t="inlineStr">
        <is>
          <t>Detenção</t>
        </is>
      </c>
      <c r="G502" s="7" t="inlineStr">
        <is>
          <t>Pública Incondicionada</t>
        </is>
      </c>
      <c r="H502" s="7" t="inlineStr">
        <is>
          <t>Não</t>
        </is>
      </c>
      <c r="I502" s="7" t="inlineStr">
        <is>
          <t>Doloso</t>
        </is>
      </c>
      <c r="J502" s="7" t="inlineStr">
        <is>
          <t>Sim</t>
        </is>
      </c>
      <c r="K502" s="16" t="inlineStr">
        <is>
          <t>—</t>
        </is>
      </c>
      <c r="L502" s="16" t="inlineStr">
        <is>
          <t>1-6 meses detenção ou multa</t>
        </is>
      </c>
      <c r="M502" s="7" t="inlineStr">
        <is>
          <t>Sim</t>
        </is>
      </c>
      <c r="N502" s="7" t="inlineStr">
        <is>
          <t>Sim</t>
        </is>
      </c>
    </row>
    <row r="503">
      <c r="A503" s="7" t="inlineStr">
        <is>
          <t>Lei 8.078/90 (CDC)</t>
        </is>
      </c>
      <c r="B503" s="7" t="inlineStr">
        <is>
          <t>Art. 70</t>
        </is>
      </c>
      <c r="C503" s="16" t="inlineStr">
        <is>
          <t>Empregar peças/componentes de reposição usados sem autorização do consumidor</t>
        </is>
      </c>
      <c r="D503" s="7" t="n">
        <v>3</v>
      </c>
      <c r="E503" s="7" t="n">
        <v>12</v>
      </c>
      <c r="F503" s="7" t="inlineStr">
        <is>
          <t>Detenção</t>
        </is>
      </c>
      <c r="G503" s="7" t="inlineStr">
        <is>
          <t>Pública Incondicionada</t>
        </is>
      </c>
      <c r="H503" s="7" t="inlineStr">
        <is>
          <t>Não</t>
        </is>
      </c>
      <c r="I503" s="7" t="inlineStr">
        <is>
          <t>Doloso</t>
        </is>
      </c>
      <c r="J503" s="7" t="inlineStr">
        <is>
          <t>Sim</t>
        </is>
      </c>
      <c r="K503" s="16" t="inlineStr">
        <is>
          <t>—</t>
        </is>
      </c>
      <c r="L503" s="16" t="inlineStr">
        <is>
          <t>3 meses a 1 ano + multa</t>
        </is>
      </c>
      <c r="M503" s="7" t="inlineStr">
        <is>
          <t>Sim</t>
        </is>
      </c>
      <c r="N503" s="7" t="inlineStr">
        <is>
          <t>Sim</t>
        </is>
      </c>
    </row>
    <row r="504">
      <c r="A504" s="7" t="inlineStr">
        <is>
          <t>Lei 8.078/90 (CDC)</t>
        </is>
      </c>
      <c r="B504" s="7" t="inlineStr">
        <is>
          <t>Art. 71</t>
        </is>
      </c>
      <c r="C504" s="16" t="inlineStr">
        <is>
          <t>Cobrança de dívida com ameaça/exposição ao ridículo/interferência no trabalho/descanso</t>
        </is>
      </c>
      <c r="D504" s="7" t="n">
        <v>3</v>
      </c>
      <c r="E504" s="7" t="n">
        <v>12</v>
      </c>
      <c r="F504" s="7" t="inlineStr">
        <is>
          <t>Detenção</t>
        </is>
      </c>
      <c r="G504" s="7" t="inlineStr">
        <is>
          <t>Pública Incondicionada</t>
        </is>
      </c>
      <c r="H504" s="7" t="inlineStr">
        <is>
          <t>Não</t>
        </is>
      </c>
      <c r="I504" s="7" t="inlineStr">
        <is>
          <t>Doloso</t>
        </is>
      </c>
      <c r="J504" s="7" t="inlineStr">
        <is>
          <t>Sim</t>
        </is>
      </c>
      <c r="K504" s="16" t="inlineStr">
        <is>
          <t>—</t>
        </is>
      </c>
      <c r="L504" s="16" t="inlineStr">
        <is>
          <t>3 meses a 1 ano + multa. Utilizar na cobrança de dívidas ameaça, coação, constrangimento físico ou moral, afirmações falsas, incorretas ou enganosas</t>
        </is>
      </c>
      <c r="M504" s="7" t="inlineStr">
        <is>
          <t>Sim</t>
        </is>
      </c>
      <c r="N504" s="7" t="inlineStr">
        <is>
          <t>Sim</t>
        </is>
      </c>
    </row>
    <row r="505">
      <c r="A505" s="7" t="inlineStr">
        <is>
          <t>Lei 8.078/90 (CDC)</t>
        </is>
      </c>
      <c r="B505" s="7" t="inlineStr">
        <is>
          <t>Art. 72</t>
        </is>
      </c>
      <c r="C505" s="16" t="inlineStr">
        <is>
          <t>Impedir/dificultar acesso do consumidor a informações sobre ele em bancos de dados</t>
        </is>
      </c>
      <c r="D505" s="7" t="n">
        <v>6</v>
      </c>
      <c r="E505" s="7" t="n">
        <v>12</v>
      </c>
      <c r="F505" s="7" t="inlineStr">
        <is>
          <t>Detenção</t>
        </is>
      </c>
      <c r="G505" s="7" t="inlineStr">
        <is>
          <t>Pública Incondicionada</t>
        </is>
      </c>
      <c r="H505" s="7" t="inlineStr">
        <is>
          <t>Não</t>
        </is>
      </c>
      <c r="I505" s="7" t="inlineStr">
        <is>
          <t>Doloso</t>
        </is>
      </c>
      <c r="J505" s="7" t="inlineStr">
        <is>
          <t>Sim</t>
        </is>
      </c>
      <c r="K505" s="16" t="inlineStr">
        <is>
          <t>—</t>
        </is>
      </c>
      <c r="L505" s="16" t="inlineStr">
        <is>
          <t>6 meses a 1 ano detenção ou multa</t>
        </is>
      </c>
      <c r="M505" s="7" t="inlineStr">
        <is>
          <t>Sim</t>
        </is>
      </c>
      <c r="N505" s="7" t="inlineStr">
        <is>
          <t>Sim</t>
        </is>
      </c>
    </row>
    <row r="506">
      <c r="A506" s="7" t="inlineStr">
        <is>
          <t>Lei 8.078/90 (CDC)</t>
        </is>
      </c>
      <c r="B506" s="7" t="inlineStr">
        <is>
          <t>Art. 73</t>
        </is>
      </c>
      <c r="C506" s="16" t="inlineStr">
        <is>
          <t>Deixar de corrigir dados incorretos do consumidor em banco de dados</t>
        </is>
      </c>
      <c r="D506" s="7" t="n">
        <v>12</v>
      </c>
      <c r="E506" s="7" t="n">
        <v>60</v>
      </c>
      <c r="F506" s="7" t="inlineStr">
        <is>
          <t>Detenção</t>
        </is>
      </c>
      <c r="G506" s="7" t="inlineStr">
        <is>
          <t>Pública Incondicionada</t>
        </is>
      </c>
      <c r="H506" s="7" t="inlineStr">
        <is>
          <t>Não</t>
        </is>
      </c>
      <c r="I506" s="7" t="inlineStr">
        <is>
          <t>Doloso</t>
        </is>
      </c>
      <c r="J506" s="7" t="inlineStr">
        <is>
          <t>Sim</t>
        </is>
      </c>
      <c r="K506" s="16" t="inlineStr">
        <is>
          <t>—</t>
        </is>
      </c>
      <c r="L506" s="16" t="inlineStr">
        <is>
          <t>1-5 anos detenção ou multa</t>
        </is>
      </c>
      <c r="M506" s="7" t="inlineStr">
        <is>
          <t>Sim</t>
        </is>
      </c>
      <c r="N506" s="7" t="inlineStr">
        <is>
          <t>Sim</t>
        </is>
      </c>
    </row>
    <row r="507">
      <c r="A507" s="7" t="inlineStr">
        <is>
          <t>Lei 8.078/90 (CDC)</t>
        </is>
      </c>
      <c r="B507" s="7" t="inlineStr">
        <is>
          <t>Art. 74</t>
        </is>
      </c>
      <c r="C507" s="16" t="inlineStr">
        <is>
          <t>Deixar de entregar ao consumidor o termo de garantia do produto/serviço</t>
        </is>
      </c>
      <c r="D507" s="7" t="n">
        <v>1</v>
      </c>
      <c r="E507" s="7" t="n">
        <v>6</v>
      </c>
      <c r="F507" s="7" t="inlineStr">
        <is>
          <t>Detenção</t>
        </is>
      </c>
      <c r="G507" s="7" t="inlineStr">
        <is>
          <t>Pública Incondicionada</t>
        </is>
      </c>
      <c r="H507" s="7" t="inlineStr">
        <is>
          <t>Não</t>
        </is>
      </c>
      <c r="I507" s="7" t="inlineStr">
        <is>
          <t>Doloso</t>
        </is>
      </c>
      <c r="J507" s="7" t="inlineStr">
        <is>
          <t>Sim</t>
        </is>
      </c>
      <c r="K507" s="16" t="inlineStr">
        <is>
          <t>—</t>
        </is>
      </c>
      <c r="L507" s="16" t="inlineStr">
        <is>
          <t>1-6 meses detenção ou multa</t>
        </is>
      </c>
      <c r="M507" s="7" t="inlineStr">
        <is>
          <t>Sim</t>
        </is>
      </c>
      <c r="N507" s="7" t="inlineStr">
        <is>
          <t>Sim</t>
        </is>
      </c>
    </row>
    <row r="508">
      <c r="A508" s="7" t="inlineStr">
        <is>
          <t>Lei 8.176/91</t>
        </is>
      </c>
      <c r="B508" s="7" t="inlineStr">
        <is>
          <t>Art. 1º</t>
        </is>
      </c>
      <c r="C508" s="16" t="inlineStr">
        <is>
          <t>Usurpação de matérias-primas pertencentes ao patrimônio da União (petróleo, gás, minerais)</t>
        </is>
      </c>
      <c r="D508" s="7" t="n">
        <v>12</v>
      </c>
      <c r="E508" s="7" t="n">
        <v>60</v>
      </c>
      <c r="F508" s="7" t="inlineStr">
        <is>
          <t>Detenção</t>
        </is>
      </c>
      <c r="G508" s="7" t="inlineStr">
        <is>
          <t>Pública Incondicionada</t>
        </is>
      </c>
      <c r="H508" s="7" t="inlineStr">
        <is>
          <t>Não</t>
        </is>
      </c>
      <c r="I508" s="7" t="inlineStr">
        <is>
          <t>Doloso</t>
        </is>
      </c>
      <c r="J508" s="7" t="inlineStr">
        <is>
          <t>Sim</t>
        </is>
      </c>
      <c r="K508" s="16" t="inlineStr">
        <is>
          <t>—</t>
        </is>
      </c>
      <c r="L508" s="16" t="inlineStr">
        <is>
          <t>1-5 anos + multa. Usurpar matérias-primas pertencentes ao patrimônio da União sem autorização</t>
        </is>
      </c>
      <c r="M508" s="7" t="inlineStr">
        <is>
          <t>Sim</t>
        </is>
      </c>
      <c r="N508" s="7" t="inlineStr">
        <is>
          <t>Sim</t>
        </is>
      </c>
    </row>
    <row r="509">
      <c r="A509" s="7" t="inlineStr">
        <is>
          <t>Lei 8.176/91</t>
        </is>
      </c>
      <c r="B509" s="7" t="inlineStr">
        <is>
          <t>Art. 2º</t>
        </is>
      </c>
      <c r="C509" s="16" t="inlineStr">
        <is>
          <t>Adulterar/vender combustível adulterado (crimes contra ordem econômica)</t>
        </is>
      </c>
      <c r="D509" s="7" t="n">
        <v>12</v>
      </c>
      <c r="E509" s="7" t="n">
        <v>60</v>
      </c>
      <c r="F509" s="7" t="inlineStr">
        <is>
          <t>Detenção</t>
        </is>
      </c>
      <c r="G509" s="7" t="inlineStr">
        <is>
          <t>Pública Incondicionada</t>
        </is>
      </c>
      <c r="H509" s="7" t="inlineStr">
        <is>
          <t>Não</t>
        </is>
      </c>
      <c r="I509" s="7" t="inlineStr">
        <is>
          <t>Doloso</t>
        </is>
      </c>
      <c r="J509" s="7" t="inlineStr">
        <is>
          <t>Sim</t>
        </is>
      </c>
      <c r="K509" s="16" t="inlineStr">
        <is>
          <t>—</t>
        </is>
      </c>
      <c r="L509" s="16" t="inlineStr">
        <is>
          <t>1-5 anos + multa. Adquirir/distribuir/revender derivados de petróleo/gás natural/álcool em desacordo com normas</t>
        </is>
      </c>
      <c r="M509" s="7" t="inlineStr">
        <is>
          <t>Sim</t>
        </is>
      </c>
      <c r="N509" s="7" t="inlineStr">
        <is>
          <t>Sim</t>
        </is>
      </c>
    </row>
    <row r="510">
      <c r="A510" s="7" t="inlineStr">
        <is>
          <t>Lei 8.245/91</t>
        </is>
      </c>
      <c r="B510" s="7" t="inlineStr">
        <is>
          <t>Art. 43</t>
        </is>
      </c>
      <c r="C510" s="16" t="inlineStr">
        <is>
          <t>Crimes na locação de imóveis (cobranças irregulares pelo locador)</t>
        </is>
      </c>
      <c r="D510" s="7" t="n">
        <v>5</v>
      </c>
      <c r="E510" s="7" t="n">
        <v>12</v>
      </c>
      <c r="F510" s="7" t="inlineStr">
        <is>
          <t>Detenção</t>
        </is>
      </c>
      <c r="G510" s="7" t="inlineStr">
        <is>
          <t>Pública Incondicionada</t>
        </is>
      </c>
      <c r="H510" s="7" t="inlineStr">
        <is>
          <t>Não</t>
        </is>
      </c>
      <c r="I510" s="7" t="inlineStr">
        <is>
          <t>Doloso</t>
        </is>
      </c>
      <c r="J510" s="7" t="inlineStr">
        <is>
          <t>Sim</t>
        </is>
      </c>
      <c r="K510" s="16" t="inlineStr">
        <is>
          <t>I: exigir antecipação indevida; II: exigir mais de uma garantia; III: cobrar além do permitido em contrato</t>
        </is>
      </c>
      <c r="L510" s="16" t="inlineStr">
        <is>
          <t>Detenção de 5 dias a 6 meses ou multa + detenção de 1-4 meses ou multa, conforme inciso. Contravenção/crime especial de locação</t>
        </is>
      </c>
      <c r="M510" s="7" t="inlineStr">
        <is>
          <t>Sim</t>
        </is>
      </c>
      <c r="N510" s="7" t="inlineStr">
        <is>
          <t>Sim</t>
        </is>
      </c>
    </row>
    <row r="511">
      <c r="A511" s="7" t="inlineStr">
        <is>
          <t>Lei 1.579/52</t>
        </is>
      </c>
      <c r="B511" s="7" t="inlineStr">
        <is>
          <t>Art. 4º</t>
        </is>
      </c>
      <c r="C511" s="16" t="inlineStr">
        <is>
          <t>Crimes em CPI (obstar investigação, fazer afirmação falsa, sonegar documentos)</t>
        </is>
      </c>
      <c r="D511" s="7" t="n">
        <v>12</v>
      </c>
      <c r="E511" s="7" t="n">
        <v>36</v>
      </c>
      <c r="F511" s="7" t="inlineStr">
        <is>
          <t>Detenção</t>
        </is>
      </c>
      <c r="G511" s="7" t="inlineStr">
        <is>
          <t>Pública Incondicionada</t>
        </is>
      </c>
      <c r="H511" s="7" t="inlineStr">
        <is>
          <t>Não</t>
        </is>
      </c>
      <c r="I511" s="7" t="inlineStr">
        <is>
          <t>Doloso</t>
        </is>
      </c>
      <c r="J511" s="7" t="inlineStr">
        <is>
          <t>Sim</t>
        </is>
      </c>
      <c r="K511" s="16" t="inlineStr">
        <is>
          <t>I: impedir/tentar impedir reunião da CPI; II: obstaculizar investigação; III: fazer afirmação falsa/negar verdade/calar-se sobre fato; §1º: indiciado que deixar de comparecer → condução coercitiva</t>
        </is>
      </c>
      <c r="L511" s="16" t="inlineStr">
        <is>
          <t>Detenção de 1-3 anos. Crime próprio (praticado perante CPI). Aplicável também a depoentes em CPIs estaduais/municipais</t>
        </is>
      </c>
      <c r="M511" s="7" t="inlineStr">
        <is>
          <t>Sim</t>
        </is>
      </c>
      <c r="N511" s="7" t="inlineStr">
        <is>
          <t>Sim</t>
        </is>
      </c>
    </row>
    <row r="512">
      <c r="A512" s="7" t="inlineStr">
        <is>
          <t>Lei 9.504/97</t>
        </is>
      </c>
      <c r="B512" s="7" t="inlineStr">
        <is>
          <t>Art. 33, §4º</t>
        </is>
      </c>
      <c r="C512" s="16" t="inlineStr">
        <is>
          <t>Pesquisa fraudulenta (divulgação de resultados manipulados)</t>
        </is>
      </c>
      <c r="D512" s="7" t="n">
        <v>6</v>
      </c>
      <c r="E512" s="7" t="n">
        <v>12</v>
      </c>
      <c r="F512" s="7" t="inlineStr">
        <is>
          <t>Detenção</t>
        </is>
      </c>
      <c r="G512" s="7" t="inlineStr">
        <is>
          <t>Pública Incondicionada</t>
        </is>
      </c>
      <c r="H512" s="7" t="inlineStr">
        <is>
          <t>Não</t>
        </is>
      </c>
      <c r="I512" s="7" t="inlineStr">
        <is>
          <t>Doloso</t>
        </is>
      </c>
      <c r="J512" s="7" t="inlineStr">
        <is>
          <t>Sim</t>
        </is>
      </c>
      <c r="K512" s="16" t="inlineStr">
        <is>
          <t>—</t>
        </is>
      </c>
      <c r="L512" s="16" t="inlineStr">
        <is>
          <t>6 meses a 1 ano + multa. Divulgar pesquisa fraudulenta</t>
        </is>
      </c>
      <c r="M512" s="7" t="inlineStr">
        <is>
          <t>Sim</t>
        </is>
      </c>
      <c r="N512" s="7" t="inlineStr">
        <is>
          <t>Sim</t>
        </is>
      </c>
    </row>
    <row r="513">
      <c r="A513" s="7" t="inlineStr">
        <is>
          <t>Lei 9.504/97</t>
        </is>
      </c>
      <c r="B513" s="7" t="inlineStr">
        <is>
          <t>Art. 34</t>
        </is>
      </c>
      <c r="C513" s="16" t="inlineStr">
        <is>
          <t>Divulgação de pesquisa sem registro prévio</t>
        </is>
      </c>
      <c r="D513" s="7" t="n">
        <v>6</v>
      </c>
      <c r="E513" s="7" t="n">
        <v>12</v>
      </c>
      <c r="F513" s="7" t="inlineStr">
        <is>
          <t>Detenção</t>
        </is>
      </c>
      <c r="G513" s="7" t="inlineStr">
        <is>
          <t>Pública Incondicionada</t>
        </is>
      </c>
      <c r="H513" s="7" t="inlineStr">
        <is>
          <t>Não</t>
        </is>
      </c>
      <c r="I513" s="7" t="inlineStr">
        <is>
          <t>Doloso</t>
        </is>
      </c>
      <c r="J513" s="7" t="inlineStr">
        <is>
          <t>Sim</t>
        </is>
      </c>
      <c r="K513" s="16" t="inlineStr">
        <is>
          <t>—</t>
        </is>
      </c>
      <c r="L513" s="16" t="inlineStr">
        <is>
          <t>6 meses a 1 ano + multa</t>
        </is>
      </c>
      <c r="M513" s="7" t="inlineStr">
        <is>
          <t>Sim</t>
        </is>
      </c>
      <c r="N513" s="7" t="inlineStr">
        <is>
          <t>Sim</t>
        </is>
      </c>
    </row>
    <row r="514">
      <c r="A514" s="7" t="inlineStr">
        <is>
          <t>Lei 9.504/97</t>
        </is>
      </c>
      <c r="B514" s="7" t="inlineStr">
        <is>
          <t>Art. 39, §5º</t>
        </is>
      </c>
      <c r="C514" s="16" t="inlineStr">
        <is>
          <t>Boca de urna / propaganda no dia da eleição</t>
        </is>
      </c>
      <c r="D514" s="7" t="n">
        <v>6</v>
      </c>
      <c r="E514" s="7" t="n">
        <v>12</v>
      </c>
      <c r="F514" s="7" t="inlineStr">
        <is>
          <t>Detenção</t>
        </is>
      </c>
      <c r="G514" s="7" t="inlineStr">
        <is>
          <t>Pública Incondicionada</t>
        </is>
      </c>
      <c r="H514" s="7" t="inlineStr">
        <is>
          <t>Não</t>
        </is>
      </c>
      <c r="I514" s="7" t="inlineStr">
        <is>
          <t>Doloso</t>
        </is>
      </c>
      <c r="J514" s="7" t="inlineStr">
        <is>
          <t>Sim</t>
        </is>
      </c>
      <c r="K514" s="16" t="inlineStr">
        <is>
          <t>+1/3 se reincidente</t>
        </is>
      </c>
      <c r="L514" s="16" t="inlineStr">
        <is>
          <t>Praticar propaganda eleitoral no dia da eleição (boca de urna). 6m-1a detenção ou multa</t>
        </is>
      </c>
      <c r="M514" s="7" t="inlineStr">
        <is>
          <t>Sim</t>
        </is>
      </c>
      <c r="N514" s="7" t="inlineStr">
        <is>
          <t>Sim</t>
        </is>
      </c>
    </row>
    <row r="515">
      <c r="A515" s="7" t="inlineStr">
        <is>
          <t>Lei 9.504/97</t>
        </is>
      </c>
      <c r="B515" s="7" t="inlineStr">
        <is>
          <t>Art. 72</t>
        </is>
      </c>
      <c r="C515" s="16" t="inlineStr">
        <is>
          <t>Inserção de dados falsos em sistemas de informações eleitorais</t>
        </is>
      </c>
      <c r="D515" s="7" t="n">
        <v>60</v>
      </c>
      <c r="E515" s="7" t="n">
        <v>120</v>
      </c>
      <c r="F515" s="7" t="inlineStr">
        <is>
          <t>Reclusão</t>
        </is>
      </c>
      <c r="G515" s="7" t="inlineStr">
        <is>
          <t>Pública Incondicionada</t>
        </is>
      </c>
      <c r="H515" s="7" t="inlineStr">
        <is>
          <t>Não</t>
        </is>
      </c>
      <c r="I515" s="7" t="inlineStr">
        <is>
          <t>Doloso</t>
        </is>
      </c>
      <c r="J515" s="7" t="inlineStr">
        <is>
          <t>Sim</t>
        </is>
      </c>
      <c r="K515" s="16" t="inlineStr">
        <is>
          <t>—</t>
        </is>
      </c>
      <c r="L515" s="16" t="inlineStr">
        <is>
          <t>5-10 anos reclusão. Crime contra sistema de informações da Justiça Eleitoral</t>
        </is>
      </c>
      <c r="M515" s="7" t="inlineStr">
        <is>
          <t>Verificar</t>
        </is>
      </c>
      <c r="N515" s="7" t="inlineStr">
        <is>
          <t>Não</t>
        </is>
      </c>
    </row>
    <row r="516">
      <c r="A516" s="7" t="inlineStr">
        <is>
          <t>Lei 4.591/64</t>
        </is>
      </c>
      <c r="B516" s="7" t="inlineStr">
        <is>
          <t>Art. 65</t>
        </is>
      </c>
      <c r="C516" s="16" t="inlineStr">
        <is>
          <t>Crimes contra a economia popular na incorporação imobiliária</t>
        </is>
      </c>
      <c r="D516" s="7" t="n">
        <v>12</v>
      </c>
      <c r="E516" s="7" t="n">
        <v>60</v>
      </c>
      <c r="F516" s="7" t="inlineStr">
        <is>
          <t>Reclusão</t>
        </is>
      </c>
      <c r="G516" s="7" t="inlineStr">
        <is>
          <t>Pública Incondicionada</t>
        </is>
      </c>
      <c r="H516" s="7" t="inlineStr">
        <is>
          <t>Não</t>
        </is>
      </c>
      <c r="I516" s="7" t="inlineStr">
        <is>
          <t>Doloso</t>
        </is>
      </c>
      <c r="J516" s="7" t="inlineStr">
        <is>
          <t>Sim</t>
        </is>
      </c>
      <c r="K516" s="16" t="inlineStr">
        <is>
          <t>I: negociar frações ideais sem registro de incorporação; II: omissão no registro; III: aplicação diversa dos recursos; IV: modificação substancial do projeto sem consentimento</t>
        </is>
      </c>
      <c r="L516" s="16" t="inlineStr">
        <is>
          <t>1-5 anos reclusão + multa. Enquadrado como crime contra a economia popular (Lei 1.521/51, art. 2º, IX)</t>
        </is>
      </c>
      <c r="M516" s="7" t="inlineStr">
        <is>
          <t>Sim</t>
        </is>
      </c>
      <c r="N516" s="7" t="inlineStr">
        <is>
          <t>Sim</t>
        </is>
      </c>
    </row>
    <row r="517">
      <c r="A517" s="7" t="inlineStr">
        <is>
          <t>Lei 6.001/73</t>
        </is>
      </c>
      <c r="B517" s="7" t="inlineStr">
        <is>
          <t>Arts. 58-59</t>
        </is>
      </c>
      <c r="C517" s="16" t="inlineStr">
        <is>
          <t>Atos de discriminação ou exploração de indígenas</t>
        </is>
      </c>
      <c r="D517" s="7" t="n">
        <v>12</v>
      </c>
      <c r="E517" s="7" t="n">
        <v>36</v>
      </c>
      <c r="F517" s="7" t="inlineStr">
        <is>
          <t>Detenção</t>
        </is>
      </c>
      <c r="G517" s="7" t="inlineStr">
        <is>
          <t>Pública Incondicionada</t>
        </is>
      </c>
      <c r="H517" s="7" t="inlineStr">
        <is>
          <t>Não</t>
        </is>
      </c>
      <c r="I517" s="7" t="inlineStr">
        <is>
          <t>Doloso</t>
        </is>
      </c>
      <c r="J517" s="7" t="inlineStr">
        <is>
          <t>Sim</t>
        </is>
      </c>
      <c r="K517" s="16" t="inlineStr">
        <is>
          <t>—</t>
        </is>
      </c>
      <c r="L517" s="16" t="inlineStr">
        <is>
          <t>Art. 58: vilipendiar/ultrajar índios → 1-3 anos detenção. Art. 59: negociar com índio/propiciar embriaguez → reclusão 2-6 anos. Competência: Justiça Federal</t>
        </is>
      </c>
      <c r="M517" s="7" t="inlineStr">
        <is>
          <t>Sim</t>
        </is>
      </c>
      <c r="N517" s="7" t="inlineStr">
        <is>
          <t>Sim</t>
        </is>
      </c>
    </row>
    <row r="518">
      <c r="A518" s="7" t="inlineStr">
        <is>
          <t>DL 6.259/44</t>
        </is>
      </c>
      <c r="B518" s="7" t="inlineStr">
        <is>
          <t>Art. 45</t>
        </is>
      </c>
      <c r="C518" s="16" t="inlineStr">
        <is>
          <t>Exploração de loteria não autorizada</t>
        </is>
      </c>
      <c r="D518" s="7" t="n">
        <v>6</v>
      </c>
      <c r="E518" s="7" t="n">
        <v>24</v>
      </c>
      <c r="F518" s="7" t="inlineStr">
        <is>
          <t>Prisão simples</t>
        </is>
      </c>
      <c r="G518" s="7" t="inlineStr">
        <is>
          <t>Pública Incondicionada</t>
        </is>
      </c>
      <c r="H518" s="7" t="inlineStr">
        <is>
          <t>Não</t>
        </is>
      </c>
      <c r="I518" s="7" t="inlineStr">
        <is>
          <t>Doloso</t>
        </is>
      </c>
      <c r="J518" s="7" t="inlineStr">
        <is>
          <t>Sim</t>
        </is>
      </c>
      <c r="K518" s="16" t="inlineStr">
        <is>
          <t>—</t>
        </is>
      </c>
      <c r="L518" s="16" t="inlineStr">
        <is>
          <t>6 meses a 2 anos + multa. Explorar jogos de azar fora das condições autorizadas</t>
        </is>
      </c>
      <c r="M518" s="7" t="inlineStr">
        <is>
          <t>Sim</t>
        </is>
      </c>
      <c r="N518" s="7" t="inlineStr">
        <is>
          <t>Sim</t>
        </is>
      </c>
    </row>
    <row r="519">
      <c r="A519" s="7" t="inlineStr">
        <is>
          <t>Lei 4.729/65</t>
        </is>
      </c>
      <c r="B519" s="7" t="inlineStr">
        <is>
          <t>Art. 1º</t>
        </is>
      </c>
      <c r="C519" s="16" t="inlineStr">
        <is>
          <t>Sonegação fiscal (prestar declaração falsa/inserir elementos inexatos/alterar fatura)</t>
        </is>
      </c>
      <c r="D519" s="7" t="n">
        <v>6</v>
      </c>
      <c r="E519" s="7" t="n">
        <v>24</v>
      </c>
      <c r="F519" s="7" t="inlineStr">
        <is>
          <t>Detenção</t>
        </is>
      </c>
      <c r="G519" s="7" t="inlineStr">
        <is>
          <t>Pública Incondicionada</t>
        </is>
      </c>
      <c r="H519" s="7" t="inlineStr">
        <is>
          <t>Não</t>
        </is>
      </c>
      <c r="I519" s="7" t="inlineStr">
        <is>
          <t>Doloso</t>
        </is>
      </c>
      <c r="J519" s="7" t="inlineStr">
        <is>
          <t>Sim</t>
        </is>
      </c>
      <c r="K519" s="16" t="inlineStr">
        <is>
          <t>+1/3 se funcionário público. Extinção da punibilidade pelo pagamento do tributo</t>
        </is>
      </c>
      <c r="L519" s="16" t="inlineStr">
        <is>
          <t>6 meses a 2 anos + multa. Parcialmente revogada pela Lei 8.137/90 (que ampliou os tipos tributários). Alguns dispositivos ainda vigentes</t>
        </is>
      </c>
      <c r="M519" s="7" t="inlineStr">
        <is>
          <t>Sim</t>
        </is>
      </c>
      <c r="N519" s="7" t="inlineStr">
        <is>
          <t>Sim</t>
        </is>
      </c>
    </row>
    <row r="520">
      <c r="A520" s="7" t="inlineStr">
        <is>
          <t>Lei 14.811/24</t>
        </is>
      </c>
      <c r="B520" s="7" t="inlineStr">
        <is>
          <t>Art. 146-A, §§3º-4º (CP)</t>
        </is>
      </c>
      <c r="C520" s="16" t="inlineStr">
        <is>
          <t>Bullying e Cyberbullying</t>
        </is>
      </c>
      <c r="D520" s="7" t="n">
        <v>24</v>
      </c>
      <c r="E520" s="7" t="n">
        <v>48</v>
      </c>
      <c r="F520" s="7" t="inlineStr">
        <is>
          <t>Reclusão</t>
        </is>
      </c>
      <c r="G520" s="7" t="inlineStr">
        <is>
          <t>Pública Incondicionada</t>
        </is>
      </c>
      <c r="H520" s="7" t="inlineStr">
        <is>
          <t>Não</t>
        </is>
      </c>
      <c r="I520" s="7" t="inlineStr">
        <is>
          <t>Doloso</t>
        </is>
      </c>
      <c r="J520" s="7" t="inlineStr">
        <is>
          <t>Sim</t>
        </is>
      </c>
      <c r="K520" s="16" t="inlineStr">
        <is>
          <t>§3º (bullying — intimidação sistemática): multa, se não constitui crime mais grave. §4º (cyberbullying — meio virtual): 2-4 anos reclusão + multa</t>
        </is>
      </c>
      <c r="L520" s="16" t="inlineStr">
        <is>
          <t>Incluído no CP pela Lei 14.811/2024. Intimidação sistemática (bullying) = intimidar sistematicamente indivíduo/grupo, mediante violência física ou psicológica. Cyberbullying = modalidade virtual, pena mais grave</t>
        </is>
      </c>
      <c r="M520" s="7" t="inlineStr">
        <is>
          <t>Sim</t>
        </is>
      </c>
      <c r="N520" s="7" t="inlineStr">
        <is>
          <t>Não</t>
        </is>
      </c>
    </row>
    <row r="521">
      <c r="A521" s="17" t="inlineStr">
        <is>
          <t>ECA (8.069/90)</t>
        </is>
      </c>
      <c r="B521" s="17" t="inlineStr">
        <is>
          <t>Art. 241</t>
        </is>
      </c>
      <c r="C521" s="18" t="inlineStr">
        <is>
          <t>Vender/expor à venda fotografia/vídeo/registro com cena de sexo envolvendo criança/adolescente</t>
        </is>
      </c>
      <c r="D521" s="17" t="n">
        <v>48</v>
      </c>
      <c r="E521" s="17" t="n">
        <v>96</v>
      </c>
      <c r="F521" s="17" t="inlineStr">
        <is>
          <t>Reclusão</t>
        </is>
      </c>
      <c r="G521" s="17" t="inlineStr">
        <is>
          <t>Pública Incondicionada</t>
        </is>
      </c>
      <c r="H521" s="17" t="inlineStr">
        <is>
          <t>Sim</t>
        </is>
      </c>
      <c r="I521" s="17" t="inlineStr">
        <is>
          <t>Doloso</t>
        </is>
      </c>
      <c r="J521" s="17" t="inlineStr">
        <is>
          <t>Sim</t>
        </is>
      </c>
      <c r="K521" s="18" t="inlineStr">
        <is>
          <t>—</t>
        </is>
      </c>
      <c r="L521" s="18" t="inlineStr">
        <is>
          <t>4-8 anos + multa. Hediondo (incluído pela Lei 14.811/2024)</t>
        </is>
      </c>
      <c r="M521" s="17" t="inlineStr">
        <is>
          <t>Verificar</t>
        </is>
      </c>
      <c r="N521" s="17" t="inlineStr">
        <is>
          <t>Não</t>
        </is>
      </c>
    </row>
    <row r="522">
      <c r="A522" s="17" t="inlineStr">
        <is>
          <t>ECA (8.069/90)</t>
        </is>
      </c>
      <c r="B522" s="17" t="inlineStr">
        <is>
          <t>Art. 241-A</t>
        </is>
      </c>
      <c r="C522" s="18" t="inlineStr">
        <is>
          <t>Oferecer/trocar/disponibilizar/transmitir/distribuir pornografia infantil pela internet</t>
        </is>
      </c>
      <c r="D522" s="17" t="n">
        <v>36</v>
      </c>
      <c r="E522" s="17" t="n">
        <v>72</v>
      </c>
      <c r="F522" s="17" t="inlineStr">
        <is>
          <t>Reclusão</t>
        </is>
      </c>
      <c r="G522" s="17" t="inlineStr">
        <is>
          <t>Pública Incondicionada</t>
        </is>
      </c>
      <c r="H522" s="17" t="inlineStr">
        <is>
          <t>Sim</t>
        </is>
      </c>
      <c r="I522" s="17" t="inlineStr">
        <is>
          <t>Doloso</t>
        </is>
      </c>
      <c r="J522" s="17" t="inlineStr">
        <is>
          <t>Sim</t>
        </is>
      </c>
      <c r="K522" s="18" t="inlineStr">
        <is>
          <t>§1º: mesma pena para quem assegura os meios/serviços para armazenamento</t>
        </is>
      </c>
      <c r="L522" s="18" t="inlineStr">
        <is>
          <t>3-6 anos + multa. Hediondo (Lei 14.811/2024)</t>
        </is>
      </c>
      <c r="M522" s="17" t="inlineStr">
        <is>
          <t>Sim</t>
        </is>
      </c>
      <c r="N522" s="17" t="inlineStr">
        <is>
          <t>Não</t>
        </is>
      </c>
    </row>
    <row r="523">
      <c r="A523" s="7" t="inlineStr">
        <is>
          <t>ECA (8.069/90)</t>
        </is>
      </c>
      <c r="B523" s="7" t="inlineStr">
        <is>
          <t>Art. 241-B</t>
        </is>
      </c>
      <c r="C523" s="16" t="inlineStr">
        <is>
          <t>Armazenar/possuir fotografia/vídeo com cena de sexo envolvendo criança/adolescente</t>
        </is>
      </c>
      <c r="D523" s="7" t="n">
        <v>12</v>
      </c>
      <c r="E523" s="7" t="n">
        <v>48</v>
      </c>
      <c r="F523" s="7" t="inlineStr">
        <is>
          <t>Reclusão</t>
        </is>
      </c>
      <c r="G523" s="7" t="inlineStr">
        <is>
          <t>Pública Incondicionada</t>
        </is>
      </c>
      <c r="H523" s="7" t="inlineStr">
        <is>
          <t>Não</t>
        </is>
      </c>
      <c r="I523" s="7" t="inlineStr">
        <is>
          <t>Doloso</t>
        </is>
      </c>
      <c r="J523" s="7" t="inlineStr">
        <is>
          <t>Sim</t>
        </is>
      </c>
      <c r="K523" s="16" t="inlineStr">
        <is>
          <t>§1º: diminuição de 1/3 a 2/3 se quantidade pequena e circunstâncias indicarem que era para uso pessoal</t>
        </is>
      </c>
      <c r="L523" s="16" t="inlineStr">
        <is>
          <t>1-4 anos + multa</t>
        </is>
      </c>
      <c r="M523" s="7" t="inlineStr">
        <is>
          <t>Sim</t>
        </is>
      </c>
      <c r="N523" s="7" t="inlineStr">
        <is>
          <t>Sim</t>
        </is>
      </c>
    </row>
    <row r="524">
      <c r="A524" s="7" t="inlineStr">
        <is>
          <t>ECA (8.069/90)</t>
        </is>
      </c>
      <c r="B524" s="7" t="inlineStr">
        <is>
          <t>Art. 241-C</t>
        </is>
      </c>
      <c r="C524" s="16" t="inlineStr">
        <is>
          <t>Simular participação de criança/adolescente em cena de sexo (montagem/adulteração)</t>
        </is>
      </c>
      <c r="D524" s="7" t="n">
        <v>12</v>
      </c>
      <c r="E524" s="7" t="n">
        <v>36</v>
      </c>
      <c r="F524" s="7" t="inlineStr">
        <is>
          <t>Reclusão</t>
        </is>
      </c>
      <c r="G524" s="7" t="inlineStr">
        <is>
          <t>Pública Incondicionada</t>
        </is>
      </c>
      <c r="H524" s="7" t="inlineStr">
        <is>
          <t>Não</t>
        </is>
      </c>
      <c r="I524" s="7" t="inlineStr">
        <is>
          <t>Doloso</t>
        </is>
      </c>
      <c r="J524" s="7" t="inlineStr">
        <is>
          <t>Sim</t>
        </is>
      </c>
      <c r="K524" s="16" t="inlineStr">
        <is>
          <t>—</t>
        </is>
      </c>
      <c r="L524" s="16" t="inlineStr">
        <is>
          <t>1-3 anos + multa</t>
        </is>
      </c>
      <c r="M524" s="7" t="inlineStr">
        <is>
          <t>Sim</t>
        </is>
      </c>
      <c r="N524" s="7" t="inlineStr">
        <is>
          <t>Sim</t>
        </is>
      </c>
    </row>
    <row r="525">
      <c r="A525" s="7" t="inlineStr">
        <is>
          <t>ECA (8.069/90)</t>
        </is>
      </c>
      <c r="B525" s="7" t="inlineStr">
        <is>
          <t>Art. 241-D</t>
        </is>
      </c>
      <c r="C525" s="16" t="inlineStr">
        <is>
          <t>Aliciamento de criança via internet para prática de ato libidinoso</t>
        </is>
      </c>
      <c r="D525" s="7" t="n">
        <v>12</v>
      </c>
      <c r="E525" s="7" t="n">
        <v>36</v>
      </c>
      <c r="F525" s="7" t="inlineStr">
        <is>
          <t>Reclusão</t>
        </is>
      </c>
      <c r="G525" s="7" t="inlineStr">
        <is>
          <t>Pública Incondicionada</t>
        </is>
      </c>
      <c r="H525" s="7" t="inlineStr">
        <is>
          <t>Não</t>
        </is>
      </c>
      <c r="I525" s="7" t="inlineStr">
        <is>
          <t>Doloso</t>
        </is>
      </c>
      <c r="J525" s="7" t="inlineStr">
        <is>
          <t>Sim</t>
        </is>
      </c>
      <c r="K525" s="16" t="inlineStr">
        <is>
          <t>—</t>
        </is>
      </c>
      <c r="L525" s="16" t="inlineStr">
        <is>
          <t>1-3 anos + multa</t>
        </is>
      </c>
      <c r="M525" s="7" t="inlineStr">
        <is>
          <t>Sim</t>
        </is>
      </c>
      <c r="N525" s="7" t="inlineStr">
        <is>
          <t>Sim</t>
        </is>
      </c>
    </row>
    <row r="526">
      <c r="A526" s="19" t="inlineStr">
        <is>
          <t>CP</t>
        </is>
      </c>
      <c r="B526" s="19" t="inlineStr">
        <is>
          <t>Art. 141, §2º</t>
        </is>
      </c>
      <c r="C526" s="20" t="inlineStr">
        <is>
          <t>Calúnia/difamação/injúria contra funcionário público no exercício das funções (aumento de pena)</t>
        </is>
      </c>
      <c r="D526" s="19" t="inlineStr">
        <is>
          <t>—</t>
        </is>
      </c>
      <c r="E526" s="19" t="inlineStr">
        <is>
          <t>—</t>
        </is>
      </c>
      <c r="F526" s="19" t="inlineStr">
        <is>
          <t>—</t>
        </is>
      </c>
      <c r="G526" s="19" t="inlineStr">
        <is>
          <t>Pública Condicionada</t>
        </is>
      </c>
      <c r="H526" s="19" t="inlineStr">
        <is>
          <t>Não</t>
        </is>
      </c>
      <c r="I526" s="19" t="inlineStr">
        <is>
          <t>Doloso</t>
        </is>
      </c>
      <c r="J526" s="19" t="inlineStr">
        <is>
          <t>Sim</t>
        </is>
      </c>
      <c r="K526" s="20" t="inlineStr">
        <is>
          <t>—</t>
        </is>
      </c>
      <c r="L526" s="20" t="inlineStr">
        <is>
          <t>REFERÊNCIA — NÃO é tipo autônomo. Causa de aumento de 1/3 nos crimes de calúnia, difamação e injúria quando contra funcionário público em razão de suas funções. Ação pública condicionada à representação</t>
        </is>
      </c>
      <c r="M526" s="19" t="inlineStr">
        <is>
          <t>—</t>
        </is>
      </c>
      <c r="N526" s="19" t="inlineStr">
        <is>
          <t>—</t>
        </is>
      </c>
    </row>
    <row r="527">
      <c r="A527" s="19" t="inlineStr">
        <is>
          <t>Lei 12.965/14</t>
        </is>
      </c>
      <c r="B527" s="19" t="inlineStr">
        <is>
          <t>Arts. 10-12</t>
        </is>
      </c>
      <c r="C527" s="20" t="inlineStr">
        <is>
          <t>Violação de guarda/disponibilização de registros de conexão (Marco Civil da Internet)</t>
        </is>
      </c>
      <c r="D527" s="19" t="inlineStr">
        <is>
          <t>—</t>
        </is>
      </c>
      <c r="E527" s="19" t="inlineStr">
        <is>
          <t>—</t>
        </is>
      </c>
      <c r="F527" s="19" t="inlineStr">
        <is>
          <t>—</t>
        </is>
      </c>
      <c r="G527" s="19" t="inlineStr">
        <is>
          <t>—</t>
        </is>
      </c>
      <c r="H527" s="19" t="inlineStr">
        <is>
          <t>Não</t>
        </is>
      </c>
      <c r="I527" s="19" t="inlineStr">
        <is>
          <t>Doloso</t>
        </is>
      </c>
      <c r="J527" s="19" t="inlineStr">
        <is>
          <t>—</t>
        </is>
      </c>
      <c r="K527" s="20" t="inlineStr">
        <is>
          <t>—</t>
        </is>
      </c>
      <c r="L527" s="20" t="inlineStr">
        <is>
          <t>REFERÊNCIA — O Marco Civil prevê sanções administrativas e cíveis, não tipos penais autônomos. Incluído como referência por conexão com crimes digitais (invasão de dispositivo Art. 154-A CP, interceptação Art. 10 Lei 9.296/96)</t>
        </is>
      </c>
      <c r="M527" s="19" t="inlineStr">
        <is>
          <t>—</t>
        </is>
      </c>
      <c r="N527" s="19" t="inlineStr">
        <is>
          <t>—</t>
        </is>
      </c>
    </row>
    <row r="528">
      <c r="A528" s="7" t="inlineStr">
        <is>
          <t>Lei 6.385/76</t>
        </is>
      </c>
      <c r="B528" s="7" t="inlineStr">
        <is>
          <t>Art. 27-C</t>
        </is>
      </c>
      <c r="C528" s="16" t="inlineStr">
        <is>
          <t>Manipulação do mercado de capitais</t>
        </is>
      </c>
      <c r="D528" s="7" t="n">
        <v>12</v>
      </c>
      <c r="E528" s="7" t="n">
        <v>96</v>
      </c>
      <c r="F528" s="7" t="inlineStr">
        <is>
          <t>Reclusão</t>
        </is>
      </c>
      <c r="G528" s="7" t="inlineStr">
        <is>
          <t>Pública Incondicionada</t>
        </is>
      </c>
      <c r="H528" s="7" t="inlineStr">
        <is>
          <t>Não</t>
        </is>
      </c>
      <c r="I528" s="7" t="inlineStr">
        <is>
          <t>Doloso</t>
        </is>
      </c>
      <c r="J528" s="7" t="inlineStr">
        <is>
          <t>Sim</t>
        </is>
      </c>
      <c r="K528" s="16" t="inlineStr">
        <is>
          <t>—</t>
        </is>
      </c>
      <c r="L528" s="16" t="inlineStr">
        <is>
          <t>1-8 anos + multa até 3x vantagem obtida. Realizar operações simuladas/manobra fraudulenta destinada a elevar/manter/baixar cotação/preço/volume de negócios de valores mobiliários</t>
        </is>
      </c>
      <c r="M528" s="7" t="inlineStr">
        <is>
          <t>Sim</t>
        </is>
      </c>
      <c r="N528" s="7" t="inlineStr">
        <is>
          <t>Sim</t>
        </is>
      </c>
    </row>
    <row r="529">
      <c r="A529" s="7" t="inlineStr">
        <is>
          <t>Lei 6.385/76</t>
        </is>
      </c>
      <c r="B529" s="7" t="inlineStr">
        <is>
          <t>Art. 27-D</t>
        </is>
      </c>
      <c r="C529" s="16" t="inlineStr">
        <is>
          <t>Uso indevido de informação privilegiada (insider trading)</t>
        </is>
      </c>
      <c r="D529" s="7" t="n">
        <v>12</v>
      </c>
      <c r="E529" s="7" t="n">
        <v>60</v>
      </c>
      <c r="F529" s="7" t="inlineStr">
        <is>
          <t>Reclusão</t>
        </is>
      </c>
      <c r="G529" s="7" t="inlineStr">
        <is>
          <t>Pública Incondicionada</t>
        </is>
      </c>
      <c r="H529" s="7" t="inlineStr">
        <is>
          <t>Não</t>
        </is>
      </c>
      <c r="I529" s="7" t="inlineStr">
        <is>
          <t>Doloso</t>
        </is>
      </c>
      <c r="J529" s="7" t="inlineStr">
        <is>
          <t>Sim</t>
        </is>
      </c>
      <c r="K529" s="16" t="inlineStr">
        <is>
          <t>+1/3 se o agente comete o crime prevalecendo-se de informação relevante de que tenha conhecimento e deva manter sigilo</t>
        </is>
      </c>
      <c r="L529" s="16" t="inlineStr">
        <is>
          <t>1-5 anos + multa até 3x vantagem obtida. Utilizar informação relevante de que tenha conhecimento, ainda não divulgada ao mercado, capaz de propiciar vantagem indevida</t>
        </is>
      </c>
      <c r="M529" s="7" t="inlineStr">
        <is>
          <t>Sim</t>
        </is>
      </c>
      <c r="N529" s="7" t="inlineStr">
        <is>
          <t>Sim</t>
        </is>
      </c>
    </row>
    <row r="530">
      <c r="A530" s="7" t="inlineStr">
        <is>
          <t>Lei 6.385/76</t>
        </is>
      </c>
      <c r="B530" s="7" t="inlineStr">
        <is>
          <t>Art. 27-E</t>
        </is>
      </c>
      <c r="C530" s="16" t="inlineStr">
        <is>
          <t>Exercício irregular de cargo/profissão/atividade no mercado de valores mobiliários</t>
        </is>
      </c>
      <c r="D530" s="7" t="n">
        <v>6</v>
      </c>
      <c r="E530" s="7" t="n">
        <v>24</v>
      </c>
      <c r="F530" s="7" t="inlineStr">
        <is>
          <t>Detenção</t>
        </is>
      </c>
      <c r="G530" s="7" t="inlineStr">
        <is>
          <t>Pública Incondicionada</t>
        </is>
      </c>
      <c r="H530" s="7" t="inlineStr">
        <is>
          <t>Não</t>
        </is>
      </c>
      <c r="I530" s="7" t="inlineStr">
        <is>
          <t>Doloso</t>
        </is>
      </c>
      <c r="J530" s="7" t="inlineStr">
        <is>
          <t>Sim</t>
        </is>
      </c>
      <c r="K530" s="16" t="inlineStr">
        <is>
          <t>—</t>
        </is>
      </c>
      <c r="L530" s="16" t="inlineStr">
        <is>
          <t>6 meses a 2 anos + multa</t>
        </is>
      </c>
      <c r="M530" s="7" t="inlineStr">
        <is>
          <t>Sim</t>
        </is>
      </c>
      <c r="N530" s="7" t="inlineStr">
        <is>
          <t>Sim</t>
        </is>
      </c>
    </row>
    <row r="531">
      <c r="A531" s="19" t="inlineStr">
        <is>
          <t>Lei 12.318/10</t>
        </is>
      </c>
      <c r="B531" s="19" t="inlineStr">
        <is>
          <t>Art. 2º</t>
        </is>
      </c>
      <c r="C531" s="20" t="inlineStr">
        <is>
          <t>Alienação parental (referência — sanções cíveis, não penais)</t>
        </is>
      </c>
      <c r="D531" s="19" t="inlineStr">
        <is>
          <t>—</t>
        </is>
      </c>
      <c r="E531" s="19" t="inlineStr">
        <is>
          <t>—</t>
        </is>
      </c>
      <c r="F531" s="19" t="inlineStr">
        <is>
          <t>—</t>
        </is>
      </c>
      <c r="G531" s="19" t="inlineStr">
        <is>
          <t>—</t>
        </is>
      </c>
      <c r="H531" s="19" t="inlineStr">
        <is>
          <t>—</t>
        </is>
      </c>
      <c r="I531" s="19" t="inlineStr">
        <is>
          <t>Doloso</t>
        </is>
      </c>
      <c r="J531" s="19" t="inlineStr">
        <is>
          <t>—</t>
        </is>
      </c>
      <c r="K531" s="20" t="inlineStr">
        <is>
          <t>Sanções do Art. 6º: advertência, ampliação do regime de convivência, multa, inversão da guarda, fixação cautelar de domicílio, suspensão da autoridade parental</t>
        </is>
      </c>
      <c r="L531" s="20" t="inlineStr">
        <is>
          <t>REFERÊNCIA — NÃO é crime penal. Incluído por relevância prática para criminalistas (conexão com crimes contra a família, abandono intelectual, subtração de incapazes). Veto ao Art. 9º que criminalizava</t>
        </is>
      </c>
      <c r="M531" s="19" t="inlineStr">
        <is>
          <t>—</t>
        </is>
      </c>
      <c r="N531" s="19" t="inlineStr">
        <is>
          <t>—</t>
        </is>
      </c>
    </row>
    <row r="532">
      <c r="A532" s="7" t="inlineStr">
        <is>
          <t>Lei 11.340/06</t>
        </is>
      </c>
      <c r="B532" s="7" t="inlineStr">
        <is>
          <t>Art. 24-A, §1º</t>
        </is>
      </c>
      <c r="C532" s="16" t="inlineStr">
        <is>
          <t>Descumprimento de medida protetiva de urgência — agravante se com arma de fogo</t>
        </is>
      </c>
      <c r="D532" s="7" t="n">
        <v>24</v>
      </c>
      <c r="E532" s="7" t="n">
        <v>60</v>
      </c>
      <c r="F532" s="7" t="inlineStr">
        <is>
          <t>Detenção</t>
        </is>
      </c>
      <c r="G532" s="7" t="inlineStr">
        <is>
          <t>Pública Incondicionada</t>
        </is>
      </c>
      <c r="H532" s="7" t="inlineStr">
        <is>
          <t>Não</t>
        </is>
      </c>
      <c r="I532" s="7" t="inlineStr">
        <is>
          <t>Doloso</t>
        </is>
      </c>
      <c r="J532" s="7" t="inlineStr">
        <is>
          <t>Sim</t>
        </is>
      </c>
      <c r="K532" s="16" t="inlineStr">
        <is>
          <t>§1º: +1/2 se com emprego de arma de fogo. §2º: +1/2 se acompanhado de pessoa menor de 18 anos ou deficiente</t>
        </is>
      </c>
      <c r="L532" s="16" t="inlineStr">
        <is>
          <t>Agravantes do crime de descumprimento de medida protetiva (Art. 24-A). Observação: Art. 24-A caput já está no catálogo com pena 3m-2a detenção</t>
        </is>
      </c>
      <c r="M532" s="7" t="inlineStr">
        <is>
          <t>Sim</t>
        </is>
      </c>
      <c r="N532" s="7" t="inlineStr">
        <is>
          <t>Não</t>
        </is>
      </c>
    </row>
  </sheetData>
  <autoFilter ref="A3:N532"/>
  <mergeCells count="2">
    <mergeCell ref="A2:N2"/>
    <mergeCell ref="A1:N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cols>
    <col width="50" customWidth="1" min="1" max="1"/>
    <col width="70" customWidth="1" min="2" max="2"/>
  </cols>
  <sheetData>
    <row r="1">
      <c r="A1" s="1" t="inlineStr">
        <is>
          <t>TEORIA TRIPARTITE DO DELITO — REGRAS GERAIS DE TIPIFICAÇÃO</t>
        </is>
      </c>
    </row>
    <row r="3">
      <c r="A3" s="21" t="inlineStr"/>
      <c r="B3" s="21" t="inlineStr"/>
    </row>
    <row r="4">
      <c r="A4" s="22" t="inlineStr">
        <is>
          <t>═══ 1. CONCEITO ANALÍTICO DE CRIME (TEORIA TRIPARTITE) ═══</t>
        </is>
      </c>
      <c r="B4" s="23" t="inlineStr"/>
    </row>
    <row r="5">
      <c r="A5" s="21" t="inlineStr"/>
      <c r="B5" s="21" t="inlineStr"/>
    </row>
    <row r="6">
      <c r="A6" s="21" t="inlineStr">
        <is>
          <t>Crime = Fato Típico + Ilicitude (Antijuridicidade) + Culpabilidade</t>
        </is>
      </c>
      <c r="B6" s="21" t="inlineStr">
        <is>
          <t>Teoria adotada pela doutrina majoritária no Brasil (Welzel, Damásio, Bitencourt, Nucci)</t>
        </is>
      </c>
    </row>
    <row r="7">
      <c r="A7" s="21" t="inlineStr"/>
      <c r="B7" s="21" t="inlineStr"/>
    </row>
    <row r="8">
      <c r="A8" s="21" t="inlineStr">
        <is>
          <t>1.1. FATO TÍPICO</t>
        </is>
      </c>
      <c r="B8" s="21" t="inlineStr"/>
    </row>
    <row r="9">
      <c r="A9" s="21" t="inlineStr">
        <is>
          <t>Conduta (ação ou omissão)</t>
        </is>
      </c>
      <c r="B9" s="21" t="inlineStr">
        <is>
          <t>Comportamento humano voluntário dirigido a uma finalidade (teoria finalista da ação — Welzel)</t>
        </is>
      </c>
    </row>
    <row r="10">
      <c r="A10" s="21" t="inlineStr">
        <is>
          <t>Resultado (naturalístico)</t>
        </is>
      </c>
      <c r="B10" s="21" t="inlineStr">
        <is>
          <t>Modificação do mundo exterior causada pela conduta. Nem todo crime exige resultado naturalístico (crimes formais e de mera conduta)</t>
        </is>
      </c>
    </row>
    <row r="11">
      <c r="A11" s="21" t="inlineStr">
        <is>
          <t>Nexo causal (Art. 13, CP)</t>
        </is>
      </c>
      <c r="B11" s="21" t="inlineStr">
        <is>
          <t>Relação de causa e efeito entre conduta e resultado. Teoria da equivalência dos antecedentes (conditio sine qua non)</t>
        </is>
      </c>
    </row>
    <row r="12">
      <c r="A12" s="21" t="inlineStr">
        <is>
          <t>Tipicidade</t>
        </is>
      </c>
      <c r="B12" s="21" t="inlineStr">
        <is>
          <t>Adequação do fato à descrição legal (tipo penal). Tipicidade formal + tipicidade material (princípio da insignificância pode afastar)</t>
        </is>
      </c>
    </row>
    <row r="13">
      <c r="A13" s="21" t="inlineStr"/>
      <c r="B13" s="21" t="inlineStr"/>
    </row>
    <row r="14">
      <c r="A14" s="21" t="inlineStr">
        <is>
          <t>1.2. ILICITUDE (ANTIJURIDICIDADE)</t>
        </is>
      </c>
      <c r="B14" s="21" t="inlineStr"/>
    </row>
    <row r="15">
      <c r="A15" s="21" t="inlineStr">
        <is>
          <t>Conceito</t>
        </is>
      </c>
      <c r="B15" s="21" t="inlineStr">
        <is>
          <t>Contrariedade entre o fato típico e o ordenamento jurídico. Todo fato típico é presumidamente ilícito (presunção relativa)</t>
        </is>
      </c>
    </row>
    <row r="16">
      <c r="A16" s="21" t="inlineStr">
        <is>
          <t>Excludentes (Art. 23, CP):</t>
        </is>
      </c>
      <c r="B16" s="21" t="inlineStr"/>
    </row>
    <row r="17">
      <c r="A17" s="21" t="inlineStr">
        <is>
          <t xml:space="preserve">  I — Legítima defesa (Art. 25)</t>
        </is>
      </c>
      <c r="B17" s="21" t="inlineStr">
        <is>
          <t>Repelir injusta agressão, atual ou iminente, a direito próprio ou alheio, usando moderadamente os meios necessários</t>
        </is>
      </c>
    </row>
    <row r="18">
      <c r="A18" s="21" t="inlineStr">
        <is>
          <t xml:space="preserve">  II — Estado de necessidade (Art. 24)</t>
        </is>
      </c>
      <c r="B18" s="21" t="inlineStr">
        <is>
          <t>Sacrificar direito alheio para salvar de perigo atual, não provocado, direito próprio ou alheio, quando não era razoável exigir-se outro comportamento</t>
        </is>
      </c>
    </row>
    <row r="19">
      <c r="A19" s="21" t="inlineStr">
        <is>
          <t xml:space="preserve">  III — Estrito cumprimento do dever legal</t>
        </is>
      </c>
      <c r="B19" s="21" t="inlineStr">
        <is>
          <t>Agente público que age nos exatos limites de seu dever funcional (ex: policial que usa força proporcional)</t>
        </is>
      </c>
    </row>
    <row r="20">
      <c r="A20" s="21" t="inlineStr">
        <is>
          <t xml:space="preserve">  IV — Exercício regular de direito</t>
        </is>
      </c>
      <c r="B20" s="21" t="inlineStr">
        <is>
          <t>Ação dentro dos limites autorizados pelo direito (ex: intervenção cirúrgica consentida, violência esportiva dentro das regras)</t>
        </is>
      </c>
    </row>
    <row r="21">
      <c r="A21" s="21" t="inlineStr">
        <is>
          <t xml:space="preserve">  Consentimento do ofendido (supralegal)</t>
        </is>
      </c>
      <c r="B21" s="21" t="inlineStr">
        <is>
          <t>Aceito pela doutrina como causa supralegal de exclusão da ilicitude, quando o bem jurídico é disponível e o consentimento é válido</t>
        </is>
      </c>
    </row>
    <row r="22">
      <c r="A22" s="21" t="inlineStr"/>
      <c r="B22" s="21" t="inlineStr"/>
    </row>
    <row r="23">
      <c r="A23" s="21" t="inlineStr">
        <is>
          <t>1.3. CULPABILIDADE</t>
        </is>
      </c>
      <c r="B23" s="21" t="inlineStr"/>
    </row>
    <row r="24">
      <c r="A24" s="21" t="inlineStr">
        <is>
          <t>Conceito</t>
        </is>
      </c>
      <c r="B24" s="21" t="inlineStr">
        <is>
          <t>Juízo de reprovabilidade sobre o agente que praticou fato típico e ilícito. Pergunta: 'era exigível outra conduta?'</t>
        </is>
      </c>
    </row>
    <row r="25">
      <c r="A25" s="21" t="inlineStr">
        <is>
          <t>Elementos:</t>
        </is>
      </c>
      <c r="B25" s="21" t="inlineStr"/>
    </row>
    <row r="26">
      <c r="A26" s="21" t="inlineStr">
        <is>
          <t xml:space="preserve">  Imputabilidade (Arts. 26-28)</t>
        </is>
      </c>
      <c r="B26" s="21" t="inlineStr">
        <is>
          <t>Capacidade de entender o caráter ilícito do fato e de determinar-se de acordo. Menores de 18 anos são inimputáveis (Art. 228 CF). Doentes mentais: Art. 26.</t>
        </is>
      </c>
    </row>
    <row r="27">
      <c r="A27" s="21" t="inlineStr">
        <is>
          <t xml:space="preserve">  Potencial consciência da ilicitude</t>
        </is>
      </c>
      <c r="B27" s="21" t="inlineStr">
        <is>
          <t>Possibilidade de o agente saber que sua conduta é ilícita. Erro de proibição inevitável exclui (Art. 21, caput)</t>
        </is>
      </c>
    </row>
    <row r="28">
      <c r="A28" s="21" t="inlineStr">
        <is>
          <t xml:space="preserve">  Exigibilidade de conduta diversa</t>
        </is>
      </c>
      <c r="B28" s="21" t="inlineStr">
        <is>
          <t>Se não era razoável exigir outra conduta, não há culpabilidade. Dirimentes: coação moral irresistível (Art. 22), obediência hierárquica (Art. 22)</t>
        </is>
      </c>
    </row>
    <row r="29">
      <c r="A29" s="21" t="inlineStr"/>
      <c r="B29" s="21" t="inlineStr"/>
    </row>
    <row r="30">
      <c r="A30" s="22" t="inlineStr">
        <is>
          <t>═══ 2. ELEMENTO SUBJETIVO ═══</t>
        </is>
      </c>
      <c r="B30" s="23" t="inlineStr"/>
    </row>
    <row r="31">
      <c r="A31" s="21" t="inlineStr"/>
      <c r="B31" s="21" t="inlineStr"/>
    </row>
    <row r="32">
      <c r="A32" s="21" t="inlineStr">
        <is>
          <t>DOLO (Art. 18, I)</t>
        </is>
      </c>
      <c r="B32" s="21" t="inlineStr"/>
    </row>
    <row r="33">
      <c r="A33" s="21" t="inlineStr">
        <is>
          <t>Dolo direto</t>
        </is>
      </c>
      <c r="B33" s="21" t="inlineStr">
        <is>
          <t>Agente quer o resultado (teoria da vontade)</t>
        </is>
      </c>
    </row>
    <row r="34">
      <c r="A34" s="21" t="inlineStr">
        <is>
          <t>Dolo eventual</t>
        </is>
      </c>
      <c r="B34" s="21" t="inlineStr">
        <is>
          <t>Agente não quer diretamente o resultado, mas assume o risco de produzi-lo (Art. 18, I, segunda parte). Ex: racha que causa morte</t>
        </is>
      </c>
    </row>
    <row r="35">
      <c r="A35" s="21" t="inlineStr"/>
      <c r="B35" s="21" t="inlineStr"/>
    </row>
    <row r="36">
      <c r="A36" s="21" t="inlineStr">
        <is>
          <t>CULPA (Art. 18, II)</t>
        </is>
      </c>
      <c r="B36" s="21" t="inlineStr"/>
    </row>
    <row r="37">
      <c r="A37" s="21" t="inlineStr">
        <is>
          <t>Conceito</t>
        </is>
      </c>
      <c r="B37" s="21" t="inlineStr">
        <is>
          <t>Agente dá causa ao resultado por imprudência, negligência ou imperícia. Só é punível quando expressamente previsto em lei</t>
        </is>
      </c>
    </row>
    <row r="38">
      <c r="A38" s="21" t="inlineStr">
        <is>
          <t>Imprudência</t>
        </is>
      </c>
      <c r="B38" s="21" t="inlineStr">
        <is>
          <t>Ação descuidada, precipitada (fazer o que não deveria). Ex: dirigir em alta velocidade</t>
        </is>
      </c>
    </row>
    <row r="39">
      <c r="A39" s="21" t="inlineStr">
        <is>
          <t>Negligência</t>
        </is>
      </c>
      <c r="B39" s="21" t="inlineStr">
        <is>
          <t>Omissão de cuidado devido (deixar de fazer o que deveria). Ex: não sinalizar obra</t>
        </is>
      </c>
    </row>
    <row r="40">
      <c r="A40" s="21" t="inlineStr">
        <is>
          <t>Imperícia</t>
        </is>
      </c>
      <c r="B40" s="21" t="inlineStr">
        <is>
          <t>Falta de aptidão técnica para exercício de arte/profissão. Ex: cirurgião que erra procedimento básico</t>
        </is>
      </c>
    </row>
    <row r="41">
      <c r="A41" s="21" t="inlineStr">
        <is>
          <t>Culpa consciente vs. Dolo eventual</t>
        </is>
      </c>
      <c r="B41" s="21" t="inlineStr">
        <is>
          <t>Culpa consciente: agente prevê resultado, mas acredita sinceramente que não ocorrerá. Dolo eventual: agente prevê e aceita o risco. Distinção fundamental para dosimetria e tipo penal</t>
        </is>
      </c>
    </row>
    <row r="42">
      <c r="A42" s="21" t="inlineStr"/>
      <c r="B42" s="21" t="inlineStr"/>
    </row>
    <row r="43">
      <c r="A43" s="21" t="inlineStr">
        <is>
          <t>PRETERDOLO (Crime preterdoloso)</t>
        </is>
      </c>
      <c r="B43" s="21" t="inlineStr"/>
    </row>
    <row r="44">
      <c r="A44" s="21" t="inlineStr">
        <is>
          <t>Conceito</t>
        </is>
      </c>
      <c r="B44" s="21" t="inlineStr">
        <is>
          <t>Dolo no antecedente + culpa no consequente. Ex: lesão corporal seguida de morte (Art. 129, §3º). Agente quer lesionar mas não quer matar; morte ocorre por culpa</t>
        </is>
      </c>
    </row>
    <row r="45">
      <c r="A45" s="21" t="inlineStr">
        <is>
          <t>Consequência processual</t>
        </is>
      </c>
      <c r="B45" s="21" t="inlineStr">
        <is>
          <t>Não admite tentativa (resultado culposo é incompatível com tentativa)</t>
        </is>
      </c>
    </row>
    <row r="46">
      <c r="A46" s="21" t="inlineStr"/>
      <c r="B46" s="21" t="inlineStr"/>
    </row>
    <row r="47">
      <c r="A47" s="22" t="inlineStr">
        <is>
          <t>═══ 3. ITER CRIMINIS (CAMINHO DO CRIME) ═══</t>
        </is>
      </c>
      <c r="B47" s="23" t="inlineStr"/>
    </row>
    <row r="48">
      <c r="A48" s="21" t="inlineStr"/>
      <c r="B48" s="21" t="inlineStr"/>
    </row>
    <row r="49">
      <c r="A49" s="21" t="inlineStr">
        <is>
          <t>1. Cogitação</t>
        </is>
      </c>
      <c r="B49" s="21" t="inlineStr">
        <is>
          <t>Pensamento sobre cometer o crime. NÃO é punível (cogitationis poenam nemo patitur)</t>
        </is>
      </c>
    </row>
    <row r="50">
      <c r="A50" s="21" t="inlineStr">
        <is>
          <t>2. Atos preparatórios</t>
        </is>
      </c>
      <c r="B50" s="21" t="inlineStr">
        <is>
          <t>Preparação material para o crime. REGRA: não puníveis. EXCEÇÃO: quando a lei tipifica autonomamente (ex: associação criminosa, petrechos para falsificação, atos preparatórios de terrorismo)</t>
        </is>
      </c>
    </row>
    <row r="51">
      <c r="A51" s="21" t="inlineStr">
        <is>
          <t>3. Execução</t>
        </is>
      </c>
      <c r="B51" s="21" t="inlineStr">
        <is>
          <t>Início da realização do tipo penal. Marco da punibilidade. Critérios: teoria objetivo-formal (início do verbo nuclear) ou objetivo-material (atos imediatamente anteriores)</t>
        </is>
      </c>
    </row>
    <row r="52">
      <c r="A52" s="21" t="inlineStr">
        <is>
          <t>4. Consumação</t>
        </is>
      </c>
      <c r="B52" s="21" t="inlineStr">
        <is>
          <t>Reunião de todos os elementos do tipo penal. Crime consumado = Art. 14, I</t>
        </is>
      </c>
    </row>
    <row r="53">
      <c r="A53" s="21" t="inlineStr"/>
      <c r="B53" s="21" t="inlineStr"/>
    </row>
    <row r="54">
      <c r="A54" s="21" t="inlineStr">
        <is>
          <t>TENTATIVA (Art. 14, II)</t>
        </is>
      </c>
      <c r="B54" s="21" t="inlineStr"/>
    </row>
    <row r="55">
      <c r="A55" s="21" t="inlineStr">
        <is>
          <t>Conceito</t>
        </is>
      </c>
      <c r="B55" s="21" t="inlineStr">
        <is>
          <t>Agente inicia a execução mas não a consuma por circunstâncias alheias à sua vontade</t>
        </is>
      </c>
    </row>
    <row r="56">
      <c r="A56" s="21" t="inlineStr">
        <is>
          <t>Pena</t>
        </is>
      </c>
      <c r="B56" s="21" t="inlineStr">
        <is>
          <t>Pena do crime consumado, diminuída de 1/3 a 2/3 (quanto mais próximo da consumação, menor a redução)</t>
        </is>
      </c>
    </row>
    <row r="57">
      <c r="A57" s="21" t="inlineStr">
        <is>
          <t>Crimes que NÃO admitem tentativa</t>
        </is>
      </c>
      <c r="B57" s="21" t="inlineStr">
        <is>
          <t>Culposos, preterdolosos, unissubsistentes, omissivos próprios, habituais, de atentado (pena = consumação), contravenções penais</t>
        </is>
      </c>
    </row>
    <row r="58">
      <c r="A58" s="21" t="inlineStr"/>
      <c r="B58" s="21" t="inlineStr"/>
    </row>
    <row r="59">
      <c r="A59" s="21" t="inlineStr">
        <is>
          <t>DESISTÊNCIA VOLUNTÁRIA (Art. 15, 1ª parte)</t>
        </is>
      </c>
      <c r="B59" s="21" t="inlineStr"/>
    </row>
    <row r="60">
      <c r="A60" s="21" t="inlineStr">
        <is>
          <t>Conceito</t>
        </is>
      </c>
      <c r="B60" s="21" t="inlineStr">
        <is>
          <t>Agente voluntariamente desiste de prosseguir na execução. Responde só pelos atos já praticados (ex: desiste do homicídio → responde só pela lesão)</t>
        </is>
      </c>
    </row>
    <row r="61">
      <c r="A61" s="21" t="inlineStr"/>
      <c r="B61" s="21" t="inlineStr"/>
    </row>
    <row r="62">
      <c r="A62" s="21" t="inlineStr">
        <is>
          <t>ARREPENDIMENTO EFICAZ (Art. 15, 2ª parte)</t>
        </is>
      </c>
      <c r="B62" s="21" t="inlineStr"/>
    </row>
    <row r="63">
      <c r="A63" s="21" t="inlineStr">
        <is>
          <t>Conceito</t>
        </is>
      </c>
      <c r="B63" s="21" t="inlineStr">
        <is>
          <t>Agente esgota a execução mas impede o resultado. Mesma consequência da desistência voluntária</t>
        </is>
      </c>
    </row>
    <row r="64">
      <c r="A64" s="21" t="inlineStr"/>
      <c r="B64" s="21" t="inlineStr"/>
    </row>
    <row r="65">
      <c r="A65" s="21" t="inlineStr">
        <is>
          <t>ARREPENDIMENTO POSTERIOR (Art. 16)</t>
        </is>
      </c>
      <c r="B65" s="21" t="inlineStr"/>
    </row>
    <row r="66">
      <c r="A66" s="21" t="inlineStr">
        <is>
          <t>Conceito</t>
        </is>
      </c>
      <c r="B66" s="21" t="inlineStr">
        <is>
          <t>Após consumação de crime SEM violência/grave ameaça: reparação do dano até o recebimento da denúncia → reduz pena de 1/3 a 2/3</t>
        </is>
      </c>
    </row>
    <row r="67">
      <c r="A67" s="21" t="inlineStr"/>
      <c r="B67" s="21" t="inlineStr"/>
    </row>
    <row r="68">
      <c r="A68" s="21" t="inlineStr">
        <is>
          <t>CRIME IMPOSSÍVEL (Art. 17)</t>
        </is>
      </c>
      <c r="B68" s="21" t="inlineStr"/>
    </row>
    <row r="69">
      <c r="A69" s="21" t="inlineStr">
        <is>
          <t>Conceito</t>
        </is>
      </c>
      <c r="B69" s="21" t="inlineStr">
        <is>
          <t>Não se pune a tentativa quando, por ineficácia absoluta do meio ou impropriedade absoluta do objeto, é impossível consumar o crime</t>
        </is>
      </c>
    </row>
    <row r="70">
      <c r="A70" s="21" t="inlineStr">
        <is>
          <t>Exemplos</t>
        </is>
      </c>
      <c r="B70" s="21" t="inlineStr">
        <is>
          <t>Tentar matar com arma de brinquedo (meio absolutamente ineficaz); atirar em cadáver (objeto absolutamente impróprio)</t>
        </is>
      </c>
    </row>
    <row r="71">
      <c r="A71" s="21" t="inlineStr"/>
      <c r="B71" s="21" t="inlineStr"/>
    </row>
    <row r="72">
      <c r="A72" s="22" t="inlineStr">
        <is>
          <t>═══ 4. CONCURSO DE CRIMES (Arts. 69-71) ═══</t>
        </is>
      </c>
      <c r="B72" s="23" t="inlineStr"/>
    </row>
    <row r="73">
      <c r="A73" s="21" t="inlineStr"/>
      <c r="B73" s="21" t="inlineStr"/>
    </row>
    <row r="74">
      <c r="A74" s="21" t="inlineStr">
        <is>
          <t>Concurso material (Art. 69)</t>
        </is>
      </c>
      <c r="B74" s="21" t="inlineStr">
        <is>
          <t>2+ ações → 2+ crimes. Penas SOMADAS (cúmulo material)</t>
        </is>
      </c>
    </row>
    <row r="75">
      <c r="A75" s="21" t="inlineStr">
        <is>
          <t>Concurso formal próprio (Art. 70)</t>
        </is>
      </c>
      <c r="B75" s="21" t="inlineStr">
        <is>
          <t>1 ação → 2+ crimes. Pena do mais grave + 1/6 a 1/2 (exasperação). Se resultado for maior que soma: aplica-se o material (parágrafo único)</t>
        </is>
      </c>
    </row>
    <row r="76">
      <c r="A76" s="21" t="inlineStr">
        <is>
          <t>Concurso formal impróprio (Art. 70, 2ª parte)</t>
        </is>
      </c>
      <c r="B76" s="21" t="inlineStr">
        <is>
          <t>1 ação → 2+ crimes DOLOSOS (desígnios autônomos). Penas SOMADAS (como material)</t>
        </is>
      </c>
    </row>
    <row r="77">
      <c r="A77" s="21" t="inlineStr">
        <is>
          <t>Crime continuado (Art. 71)</t>
        </is>
      </c>
      <c r="B77" s="21" t="inlineStr">
        <is>
          <t>2+ ações + mesmas condições (tempo, lugar, modo, etc.) → ficção jurídica de crime único. Pena do mais grave + 1/6 a 2/3. Crime continuado específico (§ único): doloso, contra vítimas diferentes, com violência/grave ameaça → +até o triplo</t>
        </is>
      </c>
    </row>
    <row r="78">
      <c r="A78" s="21" t="inlineStr"/>
      <c r="B78" s="21" t="inlineStr"/>
    </row>
    <row r="79">
      <c r="A79" s="22" t="inlineStr">
        <is>
          <t>═══ 5. CONCURSO DE PESSOAS (Arts. 29-31) ═══</t>
        </is>
      </c>
      <c r="B79" s="23" t="inlineStr"/>
    </row>
    <row r="80">
      <c r="A80" s="21" t="inlineStr"/>
      <c r="B80" s="21" t="inlineStr"/>
    </row>
    <row r="81">
      <c r="A81" s="21" t="inlineStr">
        <is>
          <t>Teoria monista (Art. 29)</t>
        </is>
      </c>
      <c r="B81" s="21" t="inlineStr">
        <is>
          <t>Todos que concorrem para o crime respondem por ele, na medida de sua culpabilidade</t>
        </is>
      </c>
    </row>
    <row r="82">
      <c r="A82" s="21" t="inlineStr">
        <is>
          <t>Autor</t>
        </is>
      </c>
      <c r="B82" s="21" t="inlineStr">
        <is>
          <t>Quem realiza o verbo nuclear do tipo (teoria restritiva)</t>
        </is>
      </c>
    </row>
    <row r="83">
      <c r="A83" s="21" t="inlineStr">
        <is>
          <t>Coautor</t>
        </is>
      </c>
      <c r="B83" s="21" t="inlineStr">
        <is>
          <t>Quem realiza conjuntamente a conduta típica (divisão de tarefas)</t>
        </is>
      </c>
    </row>
    <row r="84">
      <c r="A84" s="21" t="inlineStr">
        <is>
          <t>Partícipe</t>
        </is>
      </c>
      <c r="B84" s="21" t="inlineStr">
        <is>
          <t>Quem, sem realizar o verbo nuclear, concorre de forma acessória: instigação, induzimento ou auxílio material</t>
        </is>
      </c>
    </row>
    <row r="85">
      <c r="A85" s="21" t="inlineStr">
        <is>
          <t>Participação de menor importância (Art. 29, §1º)</t>
        </is>
      </c>
      <c r="B85" s="21" t="inlineStr">
        <is>
          <t>Redução de 1/6 a 1/3</t>
        </is>
      </c>
    </row>
    <row r="86">
      <c r="A86" s="21" t="inlineStr">
        <is>
          <t>Cooperação dolosamente distinta (Art. 29, §2º)</t>
        </is>
      </c>
      <c r="B86" s="21" t="inlineStr">
        <is>
          <t>Se o partícipe quis participar de crime menos grave → pena do crime menos grave. Se resultado mais grave era previsível → +até metade</t>
        </is>
      </c>
    </row>
    <row r="87">
      <c r="A87" s="21" t="inlineStr">
        <is>
          <t>Comunicabilidade de circunstâncias (Art. 30)</t>
        </is>
      </c>
      <c r="B87" s="21" t="inlineStr">
        <is>
          <t>Elementares: comunicam-se. Circunstâncias subjetivas: não comunicam (exceto se elementares)</t>
        </is>
      </c>
    </row>
    <row r="88">
      <c r="A88" s="21" t="inlineStr"/>
      <c r="B88" s="21" t="inlineStr"/>
    </row>
    <row r="89">
      <c r="A89" s="22" t="inlineStr">
        <is>
          <t>═══ 6. CLASSIFICAÇÃO DOS CRIMES ═══</t>
        </is>
      </c>
      <c r="B89" s="23" t="inlineStr"/>
    </row>
    <row r="90">
      <c r="A90" s="21" t="inlineStr"/>
      <c r="B90" s="21" t="inlineStr"/>
    </row>
    <row r="91">
      <c r="A91" s="21" t="inlineStr">
        <is>
          <t>Crime material</t>
        </is>
      </c>
      <c r="B91" s="21" t="inlineStr">
        <is>
          <t>Exige resultado naturalístico para consumação. Ex: homicídio, furto</t>
        </is>
      </c>
    </row>
    <row r="92">
      <c r="A92" s="21" t="inlineStr">
        <is>
          <t>Crime formal</t>
        </is>
      </c>
      <c r="B92" s="21" t="inlineStr">
        <is>
          <t>Não exige resultado naturalístico (consumação antecipada). Ex: extorsão (Súmula 96 STJ), ameaça</t>
        </is>
      </c>
    </row>
    <row r="93">
      <c r="A93" s="21" t="inlineStr">
        <is>
          <t>Crime de mera conduta</t>
        </is>
      </c>
      <c r="B93" s="21" t="inlineStr">
        <is>
          <t>Não há resultado naturalístico. Ex: violação de domicílio, desobediência</t>
        </is>
      </c>
    </row>
    <row r="94">
      <c r="A94" s="21" t="inlineStr">
        <is>
          <t>Crime comum</t>
        </is>
      </c>
      <c r="B94" s="21" t="inlineStr">
        <is>
          <t>Pode ser cometido por qualquer pessoa</t>
        </is>
      </c>
    </row>
    <row r="95">
      <c r="A95" s="21" t="inlineStr">
        <is>
          <t>Crime próprio</t>
        </is>
      </c>
      <c r="B95" s="21" t="inlineStr">
        <is>
          <t>Exige qualidade especial do agente. Ex: peculato (funcionário público), infanticídio (mãe)</t>
        </is>
      </c>
    </row>
    <row r="96">
      <c r="A96" s="21" t="inlineStr">
        <is>
          <t>Crime de mão própria</t>
        </is>
      </c>
      <c r="B96" s="21" t="inlineStr">
        <is>
          <t>Só pode ser executado pessoalmente. Ex: falso testemunho, bigamia</t>
        </is>
      </c>
    </row>
    <row r="97">
      <c r="A97" s="21" t="inlineStr">
        <is>
          <t>Crime de perigo abstrato</t>
        </is>
      </c>
      <c r="B97" s="21" t="inlineStr">
        <is>
          <t>Presunção legal de perigo. Ex: porte de arma, embriaguez ao volante</t>
        </is>
      </c>
    </row>
    <row r="98">
      <c r="A98" s="21" t="inlineStr">
        <is>
          <t>Crime de perigo concreto</t>
        </is>
      </c>
      <c r="B98" s="21" t="inlineStr">
        <is>
          <t>Exige comprovação do perigo. Ex: direção sem habilitação (CTB Art. 309)</t>
        </is>
      </c>
    </row>
    <row r="99">
      <c r="A99" s="21" t="inlineStr">
        <is>
          <t>Crime instantâneo</t>
        </is>
      </c>
      <c r="B99" s="21" t="inlineStr">
        <is>
          <t>Consumação em momento determinado. Ex: homicídio</t>
        </is>
      </c>
    </row>
    <row r="100">
      <c r="A100" s="21" t="inlineStr">
        <is>
          <t>Crime permanente</t>
        </is>
      </c>
      <c r="B100" s="21" t="inlineStr">
        <is>
          <t>Consumação se prolonga no tempo. Ex: sequestro, porte de arma. Flagrante enquanto durar</t>
        </is>
      </c>
    </row>
    <row r="101">
      <c r="A101" s="21" t="inlineStr">
        <is>
          <t>Crime habitual</t>
        </is>
      </c>
      <c r="B101" s="21" t="inlineStr">
        <is>
          <t>Exige reiteração de condutas. Ex: exercício ilegal da medicina, casa de prostituição</t>
        </is>
      </c>
    </row>
    <row r="102">
      <c r="A102" s="21" t="inlineStr">
        <is>
          <t>Crime unissubsistente</t>
        </is>
      </c>
      <c r="B102" s="21" t="inlineStr">
        <is>
          <t>Execução em ato único (não fracionável). Ex: injúria verbal. Não admite tentativa</t>
        </is>
      </c>
    </row>
    <row r="103">
      <c r="A103" s="21" t="inlineStr">
        <is>
          <t>Crime plurissubsistente</t>
        </is>
      </c>
      <c r="B103" s="21" t="inlineStr">
        <is>
          <t>Execução fracionável em vários atos. Ex: homicídio. Admite tentativa</t>
        </is>
      </c>
    </row>
    <row r="104">
      <c r="A104" s="21" t="inlineStr">
        <is>
          <t>Crime comissivo</t>
        </is>
      </c>
      <c r="B104" s="21" t="inlineStr">
        <is>
          <t>Praticado por ação (fazer)</t>
        </is>
      </c>
    </row>
    <row r="105">
      <c r="A105" s="21" t="inlineStr">
        <is>
          <t>Crime omissivo próprio</t>
        </is>
      </c>
      <c r="B105" s="21" t="inlineStr">
        <is>
          <t>Praticado por omissão tipificada. Ex: omissão de socorro. Não admite tentativa</t>
        </is>
      </c>
    </row>
    <row r="106">
      <c r="A106" s="21" t="inlineStr">
        <is>
          <t>Crime omissivo impróprio (comissivo por omissão)</t>
        </is>
      </c>
      <c r="B106" s="21" t="inlineStr">
        <is>
          <t>Quem tinha dever de agir (garantidor — Art. 13, §2º) se omite e resultado ocorre. Ex: mãe que não alimenta filho recém-nascido</t>
        </is>
      </c>
    </row>
    <row r="107">
      <c r="A107" s="21" t="inlineStr">
        <is>
          <t>Crime hediondo</t>
        </is>
      </c>
      <c r="B107" s="21" t="inlineStr">
        <is>
          <t>Listados na Lei 8.072/90. Consequências: inafiançável, sem graça/anistia/indulto, progressão com frações diferenciadas (16%-70%), regime inicialmente fechado para reincidentes específicos</t>
        </is>
      </c>
    </row>
    <row r="108">
      <c r="A108" s="21" t="inlineStr">
        <is>
          <t>Crime equiparado a hediondo</t>
        </is>
      </c>
      <c r="B108" s="21" t="inlineStr">
        <is>
          <t>Tortura, tráfico de drogas, terrorismo (Art. 5º, XLIII CF). Mesmas consequências dos hediondos</t>
        </is>
      </c>
    </row>
  </sheetData>
  <mergeCells count="1">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49"/>
  <sheetViews>
    <sheetView workbookViewId="0">
      <selection activeCell="A1" sqref="A1"/>
    </sheetView>
  </sheetViews>
  <sheetFormatPr baseColWidth="8" defaultRowHeight="15"/>
  <cols>
    <col width="80" customWidth="1" min="1" max="1"/>
  </cols>
  <sheetData>
    <row r="1">
      <c r="A1" s="1" t="inlineStr">
        <is>
          <t>MODELO DE FUNDAMENTAÇÃO JURÍDICA</t>
        </is>
      </c>
    </row>
    <row r="3">
      <c r="A3" s="12" t="inlineStr">
        <is>
          <t>INSTRUÇÕES:</t>
        </is>
      </c>
    </row>
    <row r="4">
      <c r="A4" t="inlineStr">
        <is>
          <t>Este modelo é gerado automaticamente pelo Google Apps Script.</t>
        </is>
      </c>
    </row>
    <row r="5">
      <c r="A5" t="inlineStr">
        <is>
          <t>No Google Sheets, use o menu 'Dosimetria Penal → Gerar Justificativa'</t>
        </is>
      </c>
    </row>
    <row r="6">
      <c r="A6" t="inlineStr">
        <is>
          <t>para produzir o texto fundamentado com base nos dados preenchidos.</t>
        </is>
      </c>
    </row>
    <row r="8">
      <c r="A8" t="inlineStr">
        <is>
          <t>O script gera textos para:</t>
        </is>
      </c>
    </row>
    <row r="9">
      <c r="A9" t="inlineStr">
        <is>
          <t xml:space="preserve">  1. Fundamentação da dosimetria (3 fases)</t>
        </is>
      </c>
    </row>
    <row r="10">
      <c r="A10" t="inlineStr">
        <is>
          <t xml:space="preserve">  2. Pedido de progressão de regime</t>
        </is>
      </c>
    </row>
    <row r="11">
      <c r="A11" t="inlineStr">
        <is>
          <t xml:space="preserve">  3. Pedido de livramento condicional</t>
        </is>
      </c>
    </row>
    <row r="12">
      <c r="A12" t="inlineStr">
        <is>
          <t xml:space="preserve">  4. Alegação de prescrição</t>
        </is>
      </c>
    </row>
    <row r="13">
      <c r="A13" t="inlineStr">
        <is>
          <t xml:space="preserve">  5. Pedido de reconhecimento de excesso de prazo</t>
        </is>
      </c>
    </row>
    <row r="14">
      <c r="A14" t="inlineStr">
        <is>
          <t xml:space="preserve">  6. Fundamentação para ANPP ou sursis processual</t>
        </is>
      </c>
    </row>
    <row r="16">
      <c r="A16" t="inlineStr">
        <is>
          <t>═══════════════════════════════════════════════════════════════</t>
        </is>
      </c>
    </row>
    <row r="17">
      <c r="A17" t="inlineStr">
        <is>
          <t>MODELO — PEDIDO DE PROGRESSÃO DE REGIME</t>
        </is>
      </c>
    </row>
    <row r="18">
      <c r="A18" t="inlineStr">
        <is>
          <t>═══════════════════════════════════════════════════════════════</t>
        </is>
      </c>
    </row>
    <row r="20">
      <c r="A20" t="inlineStr">
        <is>
          <t>EXCELENTÍSSIMO SENHOR DOUTOR JUIZ DE DIREITO DA VARA DE EXECUÇÕES PENAIS</t>
        </is>
      </c>
    </row>
    <row r="22">
      <c r="A22" t="inlineStr">
        <is>
          <t>[Nome do condenado], já qualificado nos autos do processo nº [número],</t>
        </is>
      </c>
    </row>
    <row r="23">
      <c r="A23" t="inlineStr">
        <is>
          <t>por intermédio de seu advogado que esta subscreve, vem respeitosamente</t>
        </is>
      </c>
    </row>
    <row r="24">
      <c r="A24" t="inlineStr">
        <is>
          <t>requerer a PROGRESSÃO DE REGIME, do [fechado/semiaberto] para o</t>
        </is>
      </c>
    </row>
    <row r="25">
      <c r="A25" t="inlineStr">
        <is>
          <t>[semiaberto/aberto], com fundamento no Art. 112 da Lei de Execução</t>
        </is>
      </c>
    </row>
    <row r="26">
      <c r="A26" t="inlineStr">
        <is>
          <t>Penal (Lei nº 7.210/84), pelos seguintes fundamentos:</t>
        </is>
      </c>
    </row>
    <row r="28">
      <c r="A28" t="inlineStr">
        <is>
          <t>I — DO REQUISITO OBJETIVO (TEMPORAL)</t>
        </is>
      </c>
    </row>
    <row r="29">
      <c r="A29" t="inlineStr">
        <is>
          <t>O executado foi condenado à pena de [X] anos e [Y] meses de reclusão,</t>
        </is>
      </c>
    </row>
    <row r="30">
      <c r="A30" t="inlineStr">
        <is>
          <t>em regime inicial [fechado/semiaberto], pela prática do crime de [tipo].</t>
        </is>
      </c>
    </row>
    <row r="31">
      <c r="A31" t="inlineStr">
        <is>
          <t>Iniciou o cumprimento da pena em [data].</t>
        </is>
      </c>
    </row>
    <row r="32">
      <c r="A32" t="inlineStr">
        <is>
          <t>Considerando a detração de [Z] dias (Art. 42, CP) e a remição de [W] dias</t>
        </is>
      </c>
    </row>
    <row r="33">
      <c r="A33" t="inlineStr">
        <is>
          <t>(Art. 126, LEP), a pena restante é de [total] meses.</t>
        </is>
      </c>
    </row>
    <row r="34">
      <c r="A34" t="inlineStr">
        <is>
          <t>Nos termos do Art. 112, [inciso], da LEP, a fração exigida é de [X%],</t>
        </is>
      </c>
    </row>
    <row r="35">
      <c r="A35" t="inlineStr">
        <is>
          <t>o que corresponde a [N] meses. O requisito temporal foi cumprido em [data].</t>
        </is>
      </c>
    </row>
    <row r="37">
      <c r="A37" t="inlineStr">
        <is>
          <t>II — DO REQUISITO SUBJETIVO (COMPORTAMENTO)</t>
        </is>
      </c>
    </row>
    <row r="38">
      <c r="A38" t="inlineStr">
        <is>
          <t>Conforme atestado de conduta carcerária emitido pela direção do</t>
        </is>
      </c>
    </row>
    <row r="39">
      <c r="A39" t="inlineStr">
        <is>
          <t>estabelecimento prisional (doc. anexo), o executado apresenta</t>
        </is>
      </c>
    </row>
    <row r="40">
      <c r="A40" t="inlineStr">
        <is>
          <t>comportamento SATISFATÓRIO/BOM durante todo o período de cumprimento.</t>
        </is>
      </c>
    </row>
    <row r="42">
      <c r="A42" t="inlineStr">
        <is>
          <t>III — DO PEDIDO</t>
        </is>
      </c>
    </row>
    <row r="43">
      <c r="A43" t="inlineStr">
        <is>
          <t>Ante o exposto, requer a Vossa Excelência:</t>
        </is>
      </c>
    </row>
    <row r="44">
      <c r="A44" t="inlineStr">
        <is>
          <t>a) A progressão do regime [fechado/semiaberto] para o regime [semiaberto/aberto];</t>
        </is>
      </c>
    </row>
    <row r="45">
      <c r="A45" t="inlineStr">
        <is>
          <t>b) A expedição de guia de recolhimento/alvará de soltura, conforme o caso.</t>
        </is>
      </c>
    </row>
    <row r="47">
      <c r="A47" t="inlineStr">
        <is>
          <t>Termos em que pede deferimento.</t>
        </is>
      </c>
    </row>
    <row r="48">
      <c r="A48" t="inlineStr">
        <is>
          <t>[Cidade], [data].</t>
        </is>
      </c>
    </row>
    <row r="49">
      <c r="A49" t="inlineStr">
        <is>
          <t>[Advogado — OAB/UF nº]</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1070"/>
  <sheetViews>
    <sheetView workbookViewId="0">
      <pane ySplit="3" topLeftCell="A4" activePane="bottomLeft" state="frozen"/>
      <selection pane="bottomLeft" activeCell="A1" sqref="A1"/>
    </sheetView>
  </sheetViews>
  <sheetFormatPr baseColWidth="8" defaultRowHeight="15"/>
  <cols>
    <col width="18" customWidth="1" min="1" max="1"/>
    <col width="22" customWidth="1" min="2" max="2"/>
    <col width="55" customWidth="1" min="3" max="3"/>
    <col width="14" customWidth="1" min="4" max="4"/>
    <col width="14" customWidth="1" min="5" max="5"/>
    <col width="14" customWidth="1" min="6" max="6"/>
    <col width="22" customWidth="1" min="7" max="7"/>
    <col width="11" customWidth="1" min="8" max="8"/>
    <col width="16" customWidth="1" min="9" max="9"/>
    <col width="11" customWidth="1" min="10" max="10"/>
    <col width="11" customWidth="1" min="11" max="11"/>
    <col width="12" customWidth="1" min="12" max="12"/>
    <col width="11" customWidth="1" min="13" max="13"/>
    <col width="11" customWidth="1" min="14" max="14"/>
    <col width="11" customWidth="1" min="15" max="15"/>
    <col width="60" customWidth="1" min="16" max="16"/>
  </cols>
  <sheetData>
    <row r="1">
      <c r="A1" s="24" t="inlineStr">
        <is>
          <t>CATÁLOGO GRANULARIZADO DE TIPOS PENAIS — LEGISLAÇÃO PENAL BRASILEIRA</t>
        </is>
      </c>
    </row>
    <row r="2">
      <c r="A2" s="14" t="inlineStr">
        <is>
          <t>Total: 1061 tipos penais | 65 diplomas legislativos | 104 hediondos | Metodologia SISPENAS (cada variante = tipo autônomo)</t>
        </is>
      </c>
    </row>
    <row r="3">
      <c r="A3" s="25" t="inlineStr">
        <is>
          <t>Lei</t>
        </is>
      </c>
      <c r="B3" s="25" t="inlineStr">
        <is>
          <t>Artigo</t>
        </is>
      </c>
      <c r="C3" s="25" t="inlineStr">
        <is>
          <t>Crime (tipo penal granularizado)</t>
        </is>
      </c>
      <c r="D3" s="25" t="inlineStr">
        <is>
          <t>Pena Mín (meses)</t>
        </is>
      </c>
      <c r="E3" s="25" t="inlineStr">
        <is>
          <t>Pena Máx (meses)</t>
        </is>
      </c>
      <c r="F3" s="25" t="inlineStr">
        <is>
          <t>Tipo de Pena</t>
        </is>
      </c>
      <c r="G3" s="25" t="inlineStr">
        <is>
          <t>Ação Penal</t>
        </is>
      </c>
      <c r="H3" s="25" t="inlineStr">
        <is>
          <t>Hediondo?</t>
        </is>
      </c>
      <c r="I3" s="25" t="inlineStr">
        <is>
          <t>Elemento Subjetivo</t>
        </is>
      </c>
      <c r="J3" s="25" t="inlineStr">
        <is>
          <t>Tentativa?</t>
        </is>
      </c>
      <c r="K3" s="25" t="inlineStr">
        <is>
          <t>Violência?</t>
        </is>
      </c>
      <c r="L3" s="25" t="inlineStr">
        <is>
          <t>Grave Ameaça?</t>
        </is>
      </c>
      <c r="M3" s="25" t="inlineStr">
        <is>
          <t>Cabe ANPP?</t>
        </is>
      </c>
      <c r="N3" s="25" t="inlineStr">
        <is>
          <t>Cabe Sursis Proc.?</t>
        </is>
      </c>
      <c r="O3" s="25" t="inlineStr">
        <is>
          <t>Cabe Sursis Pena?</t>
        </is>
      </c>
      <c r="P3" s="25" t="inlineStr">
        <is>
          <t>Observações</t>
        </is>
      </c>
    </row>
    <row r="4">
      <c r="A4" s="26" t="inlineStr">
        <is>
          <t>CP</t>
        </is>
      </c>
      <c r="B4" s="26" t="inlineStr">
        <is>
          <t>Art. 121, caput</t>
        </is>
      </c>
      <c r="C4" s="27" t="inlineStr">
        <is>
          <t>Homicídio simples</t>
        </is>
      </c>
      <c r="D4" s="26" t="n">
        <v>72</v>
      </c>
      <c r="E4" s="26" t="n">
        <v>240</v>
      </c>
      <c r="F4" s="26" t="inlineStr">
        <is>
          <t>Reclusão</t>
        </is>
      </c>
      <c r="G4" s="26" t="inlineStr">
        <is>
          <t>Pública Incondicionada</t>
        </is>
      </c>
      <c r="H4" s="26" t="inlineStr">
        <is>
          <t>Não</t>
        </is>
      </c>
      <c r="I4" s="26" t="inlineStr">
        <is>
          <t>Doloso</t>
        </is>
      </c>
      <c r="J4" s="26" t="inlineStr">
        <is>
          <t>Sim</t>
        </is>
      </c>
      <c r="K4" s="26" t="inlineStr">
        <is>
          <t>Sim</t>
        </is>
      </c>
      <c r="L4" s="26" t="inlineStr">
        <is>
          <t>Não</t>
        </is>
      </c>
      <c r="M4" s="26" t="inlineStr">
        <is>
          <t>Não</t>
        </is>
      </c>
      <c r="N4" s="26" t="inlineStr">
        <is>
          <t>Não</t>
        </is>
      </c>
      <c r="O4" s="26" t="inlineStr">
        <is>
          <t>Verificar</t>
        </is>
      </c>
      <c r="P4" s="27" t="inlineStr">
        <is>
          <t>Matar alguém. 6-20 anos reclusão</t>
        </is>
      </c>
    </row>
    <row r="5">
      <c r="A5" s="26" t="inlineStr">
        <is>
          <t>CP</t>
        </is>
      </c>
      <c r="B5" s="26" t="inlineStr">
        <is>
          <t>Art. 121, §1º</t>
        </is>
      </c>
      <c r="C5" s="27" t="inlineStr">
        <is>
          <t>Homicídio privilegiado (diminuição de pena)</t>
        </is>
      </c>
      <c r="D5" s="26" t="n">
        <v>48</v>
      </c>
      <c r="E5" s="26" t="n">
        <v>200</v>
      </c>
      <c r="F5" s="26" t="inlineStr">
        <is>
          <t>Reclusão</t>
        </is>
      </c>
      <c r="G5" s="26" t="inlineStr">
        <is>
          <t>Pública Incondicionada</t>
        </is>
      </c>
      <c r="H5" s="26" t="inlineStr">
        <is>
          <t>Não</t>
        </is>
      </c>
      <c r="I5" s="26" t="inlineStr">
        <is>
          <t>Doloso</t>
        </is>
      </c>
      <c r="J5" s="26" t="inlineStr">
        <is>
          <t>Sim</t>
        </is>
      </c>
      <c r="K5" s="26" t="inlineStr">
        <is>
          <t>Sim</t>
        </is>
      </c>
      <c r="L5" s="26" t="inlineStr">
        <is>
          <t>Não</t>
        </is>
      </c>
      <c r="M5" s="26" t="inlineStr">
        <is>
          <t>Não</t>
        </is>
      </c>
      <c r="N5" s="26" t="inlineStr">
        <is>
          <t>Não</t>
        </is>
      </c>
      <c r="O5" s="26" t="inlineStr">
        <is>
          <t>Verificar</t>
        </is>
      </c>
      <c r="P5" s="27" t="inlineStr">
        <is>
          <t>Diminuição de 1/6 a 1/3 se impelido por motivo de relevante valor social/moral ou sob domínio de violenta emoção logo após injusta provocação da vítima</t>
        </is>
      </c>
    </row>
    <row r="6">
      <c r="A6" s="17" t="inlineStr">
        <is>
          <t>CP</t>
        </is>
      </c>
      <c r="B6" s="17" t="inlineStr">
        <is>
          <t>Art. 121, §2º, I</t>
        </is>
      </c>
      <c r="C6" s="18" t="inlineStr">
        <is>
          <t>Homicídio qualificado por motivo torpe</t>
        </is>
      </c>
      <c r="D6" s="17" t="n">
        <v>144</v>
      </c>
      <c r="E6" s="17" t="n">
        <v>360</v>
      </c>
      <c r="F6" s="17" t="inlineStr">
        <is>
          <t>Reclusão</t>
        </is>
      </c>
      <c r="G6" s="17" t="inlineStr">
        <is>
          <t>Pública Incondicionada</t>
        </is>
      </c>
      <c r="H6" s="17" t="inlineStr">
        <is>
          <t>Sim</t>
        </is>
      </c>
      <c r="I6" s="17" t="inlineStr">
        <is>
          <t>Doloso</t>
        </is>
      </c>
      <c r="J6" s="17" t="inlineStr">
        <is>
          <t>Sim</t>
        </is>
      </c>
      <c r="K6" s="17" t="inlineStr">
        <is>
          <t>Sim</t>
        </is>
      </c>
      <c r="L6" s="17" t="inlineStr">
        <is>
          <t>Não</t>
        </is>
      </c>
      <c r="M6" s="17" t="inlineStr">
        <is>
          <t>Não</t>
        </is>
      </c>
      <c r="N6" s="17" t="inlineStr">
        <is>
          <t>Não</t>
        </is>
      </c>
      <c r="O6" s="17" t="inlineStr">
        <is>
          <t>Verificar</t>
        </is>
      </c>
      <c r="P6" s="18" t="inlineStr">
        <is>
          <t>12-30 anos reclusão. Hediondo (Lei 8.072/90)</t>
        </is>
      </c>
    </row>
    <row r="7">
      <c r="A7" s="17" t="inlineStr">
        <is>
          <t>CP</t>
        </is>
      </c>
      <c r="B7" s="17" t="inlineStr">
        <is>
          <t>Art. 121, §2º, II</t>
        </is>
      </c>
      <c r="C7" s="18" t="inlineStr">
        <is>
          <t>Homicídio qualificado por motivo fútil</t>
        </is>
      </c>
      <c r="D7" s="17" t="n">
        <v>144</v>
      </c>
      <c r="E7" s="17" t="n">
        <v>360</v>
      </c>
      <c r="F7" s="17" t="inlineStr">
        <is>
          <t>Reclusão</t>
        </is>
      </c>
      <c r="G7" s="17" t="inlineStr">
        <is>
          <t>Pública Incondicionada</t>
        </is>
      </c>
      <c r="H7" s="17" t="inlineStr">
        <is>
          <t>Sim</t>
        </is>
      </c>
      <c r="I7" s="17" t="inlineStr">
        <is>
          <t>Doloso</t>
        </is>
      </c>
      <c r="J7" s="17" t="inlineStr">
        <is>
          <t>Sim</t>
        </is>
      </c>
      <c r="K7" s="17" t="inlineStr">
        <is>
          <t>Sim</t>
        </is>
      </c>
      <c r="L7" s="17" t="inlineStr">
        <is>
          <t>Não</t>
        </is>
      </c>
      <c r="M7" s="17" t="inlineStr">
        <is>
          <t>Não</t>
        </is>
      </c>
      <c r="N7" s="17" t="inlineStr">
        <is>
          <t>Não</t>
        </is>
      </c>
      <c r="O7" s="17" t="inlineStr">
        <is>
          <t>Verificar</t>
        </is>
      </c>
      <c r="P7" s="18" t="inlineStr">
        <is>
          <t>12-30 anos reclusão. Hediondo</t>
        </is>
      </c>
    </row>
    <row r="8">
      <c r="A8" s="17" t="inlineStr">
        <is>
          <t>CP</t>
        </is>
      </c>
      <c r="B8" s="17" t="inlineStr">
        <is>
          <t>Art. 121, §2º, III</t>
        </is>
      </c>
      <c r="C8" s="18" t="inlineStr">
        <is>
          <t>Homicídio qualificado por meio cruel/insidioso/perigo comum</t>
        </is>
      </c>
      <c r="D8" s="17" t="n">
        <v>144</v>
      </c>
      <c r="E8" s="17" t="n">
        <v>360</v>
      </c>
      <c r="F8" s="17" t="inlineStr">
        <is>
          <t>Reclusão</t>
        </is>
      </c>
      <c r="G8" s="17" t="inlineStr">
        <is>
          <t>Pública Incondicionada</t>
        </is>
      </c>
      <c r="H8" s="17" t="inlineStr">
        <is>
          <t>Sim</t>
        </is>
      </c>
      <c r="I8" s="17" t="inlineStr">
        <is>
          <t>Doloso</t>
        </is>
      </c>
      <c r="J8" s="17" t="inlineStr">
        <is>
          <t>Sim</t>
        </is>
      </c>
      <c r="K8" s="17" t="inlineStr">
        <is>
          <t>Sim</t>
        </is>
      </c>
      <c r="L8" s="17" t="inlineStr">
        <is>
          <t>Não</t>
        </is>
      </c>
      <c r="M8" s="17" t="inlineStr">
        <is>
          <t>Não</t>
        </is>
      </c>
      <c r="N8" s="17" t="inlineStr">
        <is>
          <t>Não</t>
        </is>
      </c>
      <c r="O8" s="17" t="inlineStr">
        <is>
          <t>Verificar</t>
        </is>
      </c>
      <c r="P8" s="18" t="inlineStr">
        <is>
          <t>Veneno, fogo, explosivo, asfixia, tortura ou outro meio insidioso ou cruel. 12-30a. Hediondo</t>
        </is>
      </c>
    </row>
    <row r="9">
      <c r="A9" s="17" t="inlineStr">
        <is>
          <t>CP</t>
        </is>
      </c>
      <c r="B9" s="17" t="inlineStr">
        <is>
          <t>Art. 121, §2º, IV</t>
        </is>
      </c>
      <c r="C9" s="18" t="inlineStr">
        <is>
          <t>Homicídio qualificado à traição/emboscada/dissimulação</t>
        </is>
      </c>
      <c r="D9" s="17" t="n">
        <v>144</v>
      </c>
      <c r="E9" s="17" t="n">
        <v>360</v>
      </c>
      <c r="F9" s="17" t="inlineStr">
        <is>
          <t>Reclusão</t>
        </is>
      </c>
      <c r="G9" s="17" t="inlineStr">
        <is>
          <t>Pública Incondicionada</t>
        </is>
      </c>
      <c r="H9" s="17" t="inlineStr">
        <is>
          <t>Sim</t>
        </is>
      </c>
      <c r="I9" s="17" t="inlineStr">
        <is>
          <t>Doloso</t>
        </is>
      </c>
      <c r="J9" s="17" t="inlineStr">
        <is>
          <t>Sim</t>
        </is>
      </c>
      <c r="K9" s="17" t="inlineStr">
        <is>
          <t>Sim</t>
        </is>
      </c>
      <c r="L9" s="17" t="inlineStr">
        <is>
          <t>Não</t>
        </is>
      </c>
      <c r="M9" s="17" t="inlineStr">
        <is>
          <t>Não</t>
        </is>
      </c>
      <c r="N9" s="17" t="inlineStr">
        <is>
          <t>Não</t>
        </is>
      </c>
      <c r="O9" s="17" t="inlineStr">
        <is>
          <t>Verificar</t>
        </is>
      </c>
      <c r="P9" s="18" t="inlineStr">
        <is>
          <t>À traição, de emboscada, ou mediante dissimulação ou outro recurso que dificulte/impossibilite a defesa do ofendido. 12-30a. Hediondo</t>
        </is>
      </c>
    </row>
    <row r="10">
      <c r="A10" s="17" t="inlineStr">
        <is>
          <t>CP</t>
        </is>
      </c>
      <c r="B10" s="17" t="inlineStr">
        <is>
          <t>Art. 121, §2º, V</t>
        </is>
      </c>
      <c r="C10" s="18" t="inlineStr">
        <is>
          <t>Homicídio qualificado para assegurar execução/ocultação/impunidade de outro crime</t>
        </is>
      </c>
      <c r="D10" s="17" t="n">
        <v>144</v>
      </c>
      <c r="E10" s="17" t="n">
        <v>360</v>
      </c>
      <c r="F10" s="17" t="inlineStr">
        <is>
          <t>Reclusão</t>
        </is>
      </c>
      <c r="G10" s="17" t="inlineStr">
        <is>
          <t>Pública Incondicionada</t>
        </is>
      </c>
      <c r="H10" s="17" t="inlineStr">
        <is>
          <t>Sim</t>
        </is>
      </c>
      <c r="I10" s="17" t="inlineStr">
        <is>
          <t>Doloso</t>
        </is>
      </c>
      <c r="J10" s="17" t="inlineStr">
        <is>
          <t>Sim</t>
        </is>
      </c>
      <c r="K10" s="17" t="inlineStr">
        <is>
          <t>Sim</t>
        </is>
      </c>
      <c r="L10" s="17" t="inlineStr">
        <is>
          <t>Não</t>
        </is>
      </c>
      <c r="M10" s="17" t="inlineStr">
        <is>
          <t>Não</t>
        </is>
      </c>
      <c r="N10" s="17" t="inlineStr">
        <is>
          <t>Não</t>
        </is>
      </c>
      <c r="O10" s="17" t="inlineStr">
        <is>
          <t>Verificar</t>
        </is>
      </c>
      <c r="P10" s="18" t="inlineStr">
        <is>
          <t>Conexão teleológica ou consequencial. 12-30a. Hediondo</t>
        </is>
      </c>
    </row>
    <row r="11">
      <c r="A11" s="17" t="inlineStr">
        <is>
          <t>CP</t>
        </is>
      </c>
      <c r="B11" s="17" t="inlineStr">
        <is>
          <t>Art. 121, §2º, VI</t>
        </is>
      </c>
      <c r="C11" s="18" t="inlineStr">
        <is>
          <t>Homicídio qualificado por emprego de arma de fogo de uso restrito/proibido</t>
        </is>
      </c>
      <c r="D11" s="17" t="n">
        <v>144</v>
      </c>
      <c r="E11" s="17" t="n">
        <v>360</v>
      </c>
      <c r="F11" s="17" t="inlineStr">
        <is>
          <t>Reclusão</t>
        </is>
      </c>
      <c r="G11" s="17" t="inlineStr">
        <is>
          <t>Pública Incondicionada</t>
        </is>
      </c>
      <c r="H11" s="17" t="inlineStr">
        <is>
          <t>Sim</t>
        </is>
      </c>
      <c r="I11" s="17" t="inlineStr">
        <is>
          <t>Doloso</t>
        </is>
      </c>
      <c r="J11" s="17" t="inlineStr">
        <is>
          <t>Sim</t>
        </is>
      </c>
      <c r="K11" s="17" t="inlineStr">
        <is>
          <t>Sim</t>
        </is>
      </c>
      <c r="L11" s="17" t="inlineStr">
        <is>
          <t>Não</t>
        </is>
      </c>
      <c r="M11" s="17" t="inlineStr">
        <is>
          <t>Não</t>
        </is>
      </c>
      <c r="N11" s="17" t="inlineStr">
        <is>
          <t>Não</t>
        </is>
      </c>
      <c r="O11" s="17" t="inlineStr">
        <is>
          <t>Verificar</t>
        </is>
      </c>
      <c r="P11" s="18" t="inlineStr">
        <is>
          <t>Incluído pelo Pacote Anticrime (Lei 13.964/2019). 12-30a. Hediondo</t>
        </is>
      </c>
    </row>
    <row r="12">
      <c r="A12" s="17" t="inlineStr">
        <is>
          <t>CP</t>
        </is>
      </c>
      <c r="B12" s="17" t="inlineStr">
        <is>
          <t>Art. 121, §2º, VII</t>
        </is>
      </c>
      <c r="C12" s="18" t="inlineStr">
        <is>
          <t>Homicídio qualificado contra menor de 14 ou maior de 60 anos</t>
        </is>
      </c>
      <c r="D12" s="17" t="n">
        <v>144</v>
      </c>
      <c r="E12" s="17" t="n">
        <v>360</v>
      </c>
      <c r="F12" s="17" t="inlineStr">
        <is>
          <t>Reclusão</t>
        </is>
      </c>
      <c r="G12" s="17" t="inlineStr">
        <is>
          <t>Pública Incondicionada</t>
        </is>
      </c>
      <c r="H12" s="17" t="inlineStr">
        <is>
          <t>Sim</t>
        </is>
      </c>
      <c r="I12" s="17" t="inlineStr">
        <is>
          <t>Doloso</t>
        </is>
      </c>
      <c r="J12" s="17" t="inlineStr">
        <is>
          <t>Sim</t>
        </is>
      </c>
      <c r="K12" s="17" t="inlineStr">
        <is>
          <t>Sim</t>
        </is>
      </c>
      <c r="L12" s="17" t="inlineStr">
        <is>
          <t>Não</t>
        </is>
      </c>
      <c r="M12" s="17" t="inlineStr">
        <is>
          <t>Não</t>
        </is>
      </c>
      <c r="N12" s="17" t="inlineStr">
        <is>
          <t>Não</t>
        </is>
      </c>
      <c r="O12" s="17" t="inlineStr">
        <is>
          <t>Verificar</t>
        </is>
      </c>
      <c r="P12" s="18" t="inlineStr">
        <is>
          <t>12-30a. Hediondo</t>
        </is>
      </c>
    </row>
    <row r="13">
      <c r="A13" s="17" t="inlineStr">
        <is>
          <t>CP</t>
        </is>
      </c>
      <c r="B13" s="17" t="inlineStr">
        <is>
          <t>Art. 121, §2º, VIII</t>
        </is>
      </c>
      <c r="C13" s="18" t="inlineStr">
        <is>
          <t>Homicídio qualificado com arma de fogo de uso permitido (sem registro)</t>
        </is>
      </c>
      <c r="D13" s="17" t="n">
        <v>144</v>
      </c>
      <c r="E13" s="17" t="n">
        <v>360</v>
      </c>
      <c r="F13" s="17" t="inlineStr">
        <is>
          <t>Reclusão</t>
        </is>
      </c>
      <c r="G13" s="17" t="inlineStr">
        <is>
          <t>Pública Incondicionada</t>
        </is>
      </c>
      <c r="H13" s="17" t="inlineStr">
        <is>
          <t>Sim</t>
        </is>
      </c>
      <c r="I13" s="17" t="inlineStr">
        <is>
          <t>Doloso</t>
        </is>
      </c>
      <c r="J13" s="17" t="inlineStr">
        <is>
          <t>Sim</t>
        </is>
      </c>
      <c r="K13" s="17" t="inlineStr">
        <is>
          <t>Sim</t>
        </is>
      </c>
      <c r="L13" s="17" t="inlineStr">
        <is>
          <t>Não</t>
        </is>
      </c>
      <c r="M13" s="17" t="inlineStr">
        <is>
          <t>Não</t>
        </is>
      </c>
      <c r="N13" s="17" t="inlineStr">
        <is>
          <t>Não</t>
        </is>
      </c>
      <c r="O13" s="17" t="inlineStr">
        <is>
          <t>Verificar</t>
        </is>
      </c>
      <c r="P13" s="18" t="inlineStr">
        <is>
          <t>Incluído pela Lei 13.964/2019. 12-30a. Hediondo</t>
        </is>
      </c>
    </row>
    <row r="14">
      <c r="A14" s="17" t="inlineStr">
        <is>
          <t>CP</t>
        </is>
      </c>
      <c r="B14" s="17" t="inlineStr">
        <is>
          <t>Art. 121, §2º, IX</t>
        </is>
      </c>
      <c r="C14" s="18" t="inlineStr">
        <is>
          <t>Homicídio qualificado contra agente de segurança pública ou familiar</t>
        </is>
      </c>
      <c r="D14" s="17" t="n">
        <v>144</v>
      </c>
      <c r="E14" s="17" t="n">
        <v>360</v>
      </c>
      <c r="F14" s="17" t="inlineStr">
        <is>
          <t>Reclusão</t>
        </is>
      </c>
      <c r="G14" s="17" t="inlineStr">
        <is>
          <t>Pública Incondicionada</t>
        </is>
      </c>
      <c r="H14" s="17" t="inlineStr">
        <is>
          <t>Sim</t>
        </is>
      </c>
      <c r="I14" s="17" t="inlineStr">
        <is>
          <t>Doloso</t>
        </is>
      </c>
      <c r="J14" s="17" t="inlineStr">
        <is>
          <t>Sim</t>
        </is>
      </c>
      <c r="K14" s="17" t="inlineStr">
        <is>
          <t>Sim</t>
        </is>
      </c>
      <c r="L14" s="17" t="inlineStr">
        <is>
          <t>Não</t>
        </is>
      </c>
      <c r="M14" s="17" t="inlineStr">
        <is>
          <t>Não</t>
        </is>
      </c>
      <c r="N14" s="17" t="inlineStr">
        <is>
          <t>Não</t>
        </is>
      </c>
      <c r="O14" s="17" t="inlineStr">
        <is>
          <t>Verificar</t>
        </is>
      </c>
      <c r="P14" s="18" t="inlineStr">
        <is>
          <t>Incluído pela Lei 13.142/2015. 12-30a. Hediondo</t>
        </is>
      </c>
    </row>
    <row r="15">
      <c r="A15" s="7" t="inlineStr">
        <is>
          <t>CP</t>
        </is>
      </c>
      <c r="B15" s="7" t="inlineStr">
        <is>
          <t>Art. 121, §3º</t>
        </is>
      </c>
      <c r="C15" s="16" t="inlineStr">
        <is>
          <t>Homicídio culposo</t>
        </is>
      </c>
      <c r="D15" s="7" t="n">
        <v>12</v>
      </c>
      <c r="E15" s="7" t="n">
        <v>36</v>
      </c>
      <c r="F15" s="7" t="inlineStr">
        <is>
          <t>Detenção</t>
        </is>
      </c>
      <c r="G15" s="7" t="inlineStr">
        <is>
          <t>Pública Incondicionada</t>
        </is>
      </c>
      <c r="H15" s="7" t="inlineStr">
        <is>
          <t>Não</t>
        </is>
      </c>
      <c r="I15" s="7" t="inlineStr">
        <is>
          <t>Culposo</t>
        </is>
      </c>
      <c r="J15" s="7" t="inlineStr">
        <is>
          <t>Não</t>
        </is>
      </c>
      <c r="K15" s="7" t="inlineStr">
        <is>
          <t>Não</t>
        </is>
      </c>
      <c r="L15" s="7" t="inlineStr">
        <is>
          <t>Não</t>
        </is>
      </c>
      <c r="M15" s="7" t="inlineStr">
        <is>
          <t>Sim</t>
        </is>
      </c>
      <c r="N15" s="7" t="inlineStr">
        <is>
          <t>Sim</t>
        </is>
      </c>
      <c r="O15" s="7" t="inlineStr">
        <is>
          <t>Sim</t>
        </is>
      </c>
      <c r="P15" s="16" t="inlineStr">
        <is>
          <t>1-3 anos detenção</t>
        </is>
      </c>
    </row>
    <row r="16">
      <c r="A16" s="7" t="inlineStr">
        <is>
          <t>CP</t>
        </is>
      </c>
      <c r="B16" s="7" t="inlineStr">
        <is>
          <t>Art. 121, §4º, 1ª parte</t>
        </is>
      </c>
      <c r="C16" s="16" t="inlineStr">
        <is>
          <t>Homicídio culposo com aumento de 1/3 (inobservância de regra técnica)</t>
        </is>
      </c>
      <c r="D16" s="7" t="n">
        <v>16</v>
      </c>
      <c r="E16" s="7" t="n">
        <v>48</v>
      </c>
      <c r="F16" s="7" t="inlineStr">
        <is>
          <t>Detenção</t>
        </is>
      </c>
      <c r="G16" s="7" t="inlineStr">
        <is>
          <t>Pública Incondicionada</t>
        </is>
      </c>
      <c r="H16" s="7" t="inlineStr">
        <is>
          <t>Não</t>
        </is>
      </c>
      <c r="I16" s="7" t="inlineStr">
        <is>
          <t>Culposo</t>
        </is>
      </c>
      <c r="J16" s="7" t="inlineStr">
        <is>
          <t>Não</t>
        </is>
      </c>
      <c r="K16" s="7" t="inlineStr">
        <is>
          <t>Não</t>
        </is>
      </c>
      <c r="L16" s="7" t="inlineStr">
        <is>
          <t>Não</t>
        </is>
      </c>
      <c r="M16" s="7" t="inlineStr">
        <is>
          <t>Sim</t>
        </is>
      </c>
      <c r="N16" s="7" t="inlineStr">
        <is>
          <t>Não</t>
        </is>
      </c>
      <c r="O16" s="7" t="inlineStr">
        <is>
          <t>Sim</t>
        </is>
      </c>
      <c r="P16" s="16" t="inlineStr">
        <is>
          <t>Aumento de 1/3 se o crime resulta de inobservância de regra técnica de profissão, arte ou ofício, ou se o agente deixa de prestar imediato socorro à vítima</t>
        </is>
      </c>
    </row>
    <row r="17">
      <c r="A17" s="26" t="inlineStr">
        <is>
          <t>CP</t>
        </is>
      </c>
      <c r="B17" s="26" t="inlineStr">
        <is>
          <t>Art. 121, §4º, 2ª parte</t>
        </is>
      </c>
      <c r="C17" s="27" t="inlineStr">
        <is>
          <t>Homicídio doloso com aumento de 1/3 (contra menor de 14 ou maior de 60)</t>
        </is>
      </c>
      <c r="D17" s="26" t="n">
        <v>96</v>
      </c>
      <c r="E17" s="26" t="n">
        <v>320</v>
      </c>
      <c r="F17" s="26" t="inlineStr">
        <is>
          <t>Reclusão</t>
        </is>
      </c>
      <c r="G17" s="26" t="inlineStr">
        <is>
          <t>Pública Incondicionada</t>
        </is>
      </c>
      <c r="H17" s="26" t="inlineStr">
        <is>
          <t>Não</t>
        </is>
      </c>
      <c r="I17" s="26" t="inlineStr">
        <is>
          <t>Doloso</t>
        </is>
      </c>
      <c r="J17" s="26" t="inlineStr">
        <is>
          <t>Sim</t>
        </is>
      </c>
      <c r="K17" s="26" t="inlineStr">
        <is>
          <t>Sim</t>
        </is>
      </c>
      <c r="L17" s="26" t="inlineStr">
        <is>
          <t>Não</t>
        </is>
      </c>
      <c r="M17" s="26" t="inlineStr">
        <is>
          <t>Não</t>
        </is>
      </c>
      <c r="N17" s="26" t="inlineStr">
        <is>
          <t>Não</t>
        </is>
      </c>
      <c r="O17" s="26" t="inlineStr">
        <is>
          <t>Verificar</t>
        </is>
      </c>
      <c r="P17" s="27" t="inlineStr">
        <is>
          <t>Aumento de 1/3 sobre homicídio simples (aplicável quando não incide como qualificadora)</t>
        </is>
      </c>
    </row>
    <row r="18">
      <c r="A18" s="28" t="inlineStr">
        <is>
          <t>CP</t>
        </is>
      </c>
      <c r="B18" s="28" t="inlineStr">
        <is>
          <t>Art. 121, §5º</t>
        </is>
      </c>
      <c r="C18" s="29" t="inlineStr">
        <is>
          <t>Homicídio culposo com perdão judicial</t>
        </is>
      </c>
      <c r="D18" s="28" t="inlineStr">
        <is>
          <t>—</t>
        </is>
      </c>
      <c r="E18" s="28" t="inlineStr">
        <is>
          <t>—</t>
        </is>
      </c>
      <c r="F18" s="28" t="inlineStr">
        <is>
          <t>—</t>
        </is>
      </c>
      <c r="G18" s="28" t="inlineStr">
        <is>
          <t>Pública Incondicionada</t>
        </is>
      </c>
      <c r="H18" s="28" t="inlineStr">
        <is>
          <t>Não</t>
        </is>
      </c>
      <c r="I18" s="28" t="inlineStr">
        <is>
          <t>Culposo</t>
        </is>
      </c>
      <c r="J18" s="28" t="inlineStr">
        <is>
          <t>Não</t>
        </is>
      </c>
      <c r="K18" s="28" t="inlineStr">
        <is>
          <t>Não</t>
        </is>
      </c>
      <c r="L18" s="28" t="inlineStr">
        <is>
          <t>Não</t>
        </is>
      </c>
      <c r="M18" s="28" t="inlineStr">
        <is>
          <t>—</t>
        </is>
      </c>
      <c r="N18" s="28" t="inlineStr">
        <is>
          <t>—</t>
        </is>
      </c>
      <c r="O18" s="28" t="inlineStr">
        <is>
          <t>—</t>
        </is>
      </c>
      <c r="P18" s="29" t="inlineStr">
        <is>
          <t>REFERÊNCIA — Perdão judicial quando as consequências da infração atingirem o agente de forma tão grave que a sanção penal se torne desnecessária</t>
        </is>
      </c>
    </row>
    <row r="19">
      <c r="A19" s="17" t="inlineStr">
        <is>
          <t>CP</t>
        </is>
      </c>
      <c r="B19" s="17" t="inlineStr">
        <is>
          <t>Art. 121, §6º</t>
        </is>
      </c>
      <c r="C19" s="18" t="inlineStr">
        <is>
          <t>Homicídio culposo por milícia privada ou grupo de extermínio</t>
        </is>
      </c>
      <c r="D19" s="17" t="n">
        <v>144</v>
      </c>
      <c r="E19" s="17" t="n">
        <v>360</v>
      </c>
      <c r="F19" s="17" t="inlineStr">
        <is>
          <t>Reclusão</t>
        </is>
      </c>
      <c r="G19" s="17" t="inlineStr">
        <is>
          <t>Pública Incondicionada</t>
        </is>
      </c>
      <c r="H19" s="17" t="inlineStr">
        <is>
          <t>Sim</t>
        </is>
      </c>
      <c r="I19" s="17" t="inlineStr">
        <is>
          <t>Doloso</t>
        </is>
      </c>
      <c r="J19" s="17" t="inlineStr">
        <is>
          <t>Sim</t>
        </is>
      </c>
      <c r="K19" s="17" t="inlineStr">
        <is>
          <t>Sim</t>
        </is>
      </c>
      <c r="L19" s="17" t="inlineStr">
        <is>
          <t>Não</t>
        </is>
      </c>
      <c r="M19" s="17" t="inlineStr">
        <is>
          <t>Não</t>
        </is>
      </c>
      <c r="N19" s="17" t="inlineStr">
        <is>
          <t>Não</t>
        </is>
      </c>
      <c r="O19" s="17" t="inlineStr">
        <is>
          <t>Verificar</t>
        </is>
      </c>
      <c r="P19" s="18" t="inlineStr">
        <is>
          <t>Aumento de 1/3 até metade se praticado por milícia privada ou grupo de extermínio. Hediondo</t>
        </is>
      </c>
    </row>
    <row r="20">
      <c r="A20" s="26" t="inlineStr">
        <is>
          <t>CP</t>
        </is>
      </c>
      <c r="B20" s="26" t="inlineStr">
        <is>
          <t>Art. 121, §7º</t>
        </is>
      </c>
      <c r="C20" s="27" t="inlineStr">
        <is>
          <t>Homicídio qualificado-privilegiado (concurso de qualificadoras + privilégio)</t>
        </is>
      </c>
      <c r="D20" s="26" t="n">
        <v>96</v>
      </c>
      <c r="E20" s="26" t="n">
        <v>300</v>
      </c>
      <c r="F20" s="26" t="inlineStr">
        <is>
          <t>Reclusão</t>
        </is>
      </c>
      <c r="G20" s="26" t="inlineStr">
        <is>
          <t>Pública Incondicionada</t>
        </is>
      </c>
      <c r="H20" s="26" t="inlineStr">
        <is>
          <t>Não</t>
        </is>
      </c>
      <c r="I20" s="26" t="inlineStr">
        <is>
          <t>Doloso</t>
        </is>
      </c>
      <c r="J20" s="26" t="inlineStr">
        <is>
          <t>Sim</t>
        </is>
      </c>
      <c r="K20" s="26" t="inlineStr">
        <is>
          <t>Sim</t>
        </is>
      </c>
      <c r="L20" s="26" t="inlineStr">
        <is>
          <t>Não</t>
        </is>
      </c>
      <c r="M20" s="26" t="inlineStr">
        <is>
          <t>Não</t>
        </is>
      </c>
      <c r="N20" s="26" t="inlineStr">
        <is>
          <t>Não</t>
        </is>
      </c>
      <c r="O20" s="26" t="inlineStr">
        <is>
          <t>Verificar</t>
        </is>
      </c>
      <c r="P20" s="27" t="inlineStr">
        <is>
          <t>REFERÊNCIA — Jurisprudência admite: qualificadora objetiva + privilégio subjetivo podem coexistir. Não é hediondo (STJ)</t>
        </is>
      </c>
    </row>
    <row r="21">
      <c r="A21" s="17" t="inlineStr">
        <is>
          <t>CP</t>
        </is>
      </c>
      <c r="B21" s="17" t="inlineStr">
        <is>
          <t>Art. 121-A, caput</t>
        </is>
      </c>
      <c r="C21" s="18" t="inlineStr">
        <is>
          <t>Feminicídio</t>
        </is>
      </c>
      <c r="D21" s="17" t="n">
        <v>144</v>
      </c>
      <c r="E21" s="17" t="n">
        <v>360</v>
      </c>
      <c r="F21" s="17" t="inlineStr">
        <is>
          <t>Reclusão</t>
        </is>
      </c>
      <c r="G21" s="17" t="inlineStr">
        <is>
          <t>Pública Incondicionada</t>
        </is>
      </c>
      <c r="H21" s="17" t="inlineStr">
        <is>
          <t>Sim</t>
        </is>
      </c>
      <c r="I21" s="17" t="inlineStr">
        <is>
          <t>Doloso</t>
        </is>
      </c>
      <c r="J21" s="17" t="inlineStr">
        <is>
          <t>Sim</t>
        </is>
      </c>
      <c r="K21" s="17" t="inlineStr">
        <is>
          <t>Sim</t>
        </is>
      </c>
      <c r="L21" s="17" t="inlineStr">
        <is>
          <t>Não</t>
        </is>
      </c>
      <c r="M21" s="17" t="inlineStr">
        <is>
          <t>Não</t>
        </is>
      </c>
      <c r="N21" s="17" t="inlineStr">
        <is>
          <t>Não</t>
        </is>
      </c>
      <c r="O21" s="17" t="inlineStr">
        <is>
          <t>Verificar</t>
        </is>
      </c>
      <c r="P21" s="18" t="inlineStr">
        <is>
          <t>Homicídio contra mulher por razões da condição de sexo feminino (violência doméstica/menosprezo/discriminação). 12-30a. Hediondo. Lei 14.188/2021</t>
        </is>
      </c>
    </row>
    <row r="22">
      <c r="A22" s="17" t="inlineStr">
        <is>
          <t>CP</t>
        </is>
      </c>
      <c r="B22" s="17" t="inlineStr">
        <is>
          <t>Art. 121-A, §1º, I</t>
        </is>
      </c>
      <c r="C22" s="18" t="inlineStr">
        <is>
          <t>Feminicídio com aumento de 1/3 a 1/2 (gestação/3 meses pós-parto)</t>
        </is>
      </c>
      <c r="D22" s="17" t="n">
        <v>192</v>
      </c>
      <c r="E22" s="17" t="n">
        <v>540</v>
      </c>
      <c r="F22" s="17" t="inlineStr">
        <is>
          <t>Reclusão</t>
        </is>
      </c>
      <c r="G22" s="17" t="inlineStr">
        <is>
          <t>Pública Incondicionada</t>
        </is>
      </c>
      <c r="H22" s="17" t="inlineStr">
        <is>
          <t>Sim</t>
        </is>
      </c>
      <c r="I22" s="17" t="inlineStr">
        <is>
          <t>Doloso</t>
        </is>
      </c>
      <c r="J22" s="17" t="inlineStr">
        <is>
          <t>Sim</t>
        </is>
      </c>
      <c r="K22" s="17" t="inlineStr">
        <is>
          <t>Sim</t>
        </is>
      </c>
      <c r="L22" s="17" t="inlineStr">
        <is>
          <t>Não</t>
        </is>
      </c>
      <c r="M22" s="17" t="inlineStr">
        <is>
          <t>Não</t>
        </is>
      </c>
      <c r="N22" s="17" t="inlineStr">
        <is>
          <t>Não</t>
        </is>
      </c>
      <c r="O22" s="17" t="inlineStr">
        <is>
          <t>Verificar</t>
        </is>
      </c>
      <c r="P22" s="18" t="inlineStr">
        <is>
          <t>Aumento de 1/3 até metade durante gestação ou até 3 meses após o parto</t>
        </is>
      </c>
    </row>
    <row r="23">
      <c r="A23" s="17" t="inlineStr">
        <is>
          <t>CP</t>
        </is>
      </c>
      <c r="B23" s="17" t="inlineStr">
        <is>
          <t>Art. 121-A, §1º, II</t>
        </is>
      </c>
      <c r="C23" s="18" t="inlineStr">
        <is>
          <t>Feminicídio com aumento de 1/3 a 1/2 (contra menor de 14 anos)</t>
        </is>
      </c>
      <c r="D23" s="17" t="n">
        <v>192</v>
      </c>
      <c r="E23" s="17" t="n">
        <v>540</v>
      </c>
      <c r="F23" s="17" t="inlineStr">
        <is>
          <t>Reclusão</t>
        </is>
      </c>
      <c r="G23" s="17" t="inlineStr">
        <is>
          <t>Pública Incondicionada</t>
        </is>
      </c>
      <c r="H23" s="17" t="inlineStr">
        <is>
          <t>Sim</t>
        </is>
      </c>
      <c r="I23" s="17" t="inlineStr">
        <is>
          <t>Doloso</t>
        </is>
      </c>
      <c r="J23" s="17" t="inlineStr">
        <is>
          <t>Sim</t>
        </is>
      </c>
      <c r="K23" s="17" t="inlineStr">
        <is>
          <t>Sim</t>
        </is>
      </c>
      <c r="L23" s="17" t="inlineStr">
        <is>
          <t>Não</t>
        </is>
      </c>
      <c r="M23" s="17" t="inlineStr">
        <is>
          <t>Não</t>
        </is>
      </c>
      <c r="N23" s="17" t="inlineStr">
        <is>
          <t>Não</t>
        </is>
      </c>
      <c r="O23" s="17" t="inlineStr">
        <is>
          <t>Verificar</t>
        </is>
      </c>
      <c r="P23" s="18" t="inlineStr">
        <is>
          <t>Aumento se contra menor de 14 anos</t>
        </is>
      </c>
    </row>
    <row r="24">
      <c r="A24" s="17" t="inlineStr">
        <is>
          <t>CP</t>
        </is>
      </c>
      <c r="B24" s="17" t="inlineStr">
        <is>
          <t>Art. 121-A, §1º, III</t>
        </is>
      </c>
      <c r="C24" s="18" t="inlineStr">
        <is>
          <t>Feminicídio com aumento de 1/3 a 1/2 (na presença de descendente/ascendente)</t>
        </is>
      </c>
      <c r="D24" s="17" t="n">
        <v>192</v>
      </c>
      <c r="E24" s="17" t="n">
        <v>540</v>
      </c>
      <c r="F24" s="17" t="inlineStr">
        <is>
          <t>Reclusão</t>
        </is>
      </c>
      <c r="G24" s="17" t="inlineStr">
        <is>
          <t>Pública Incondicionada</t>
        </is>
      </c>
      <c r="H24" s="17" t="inlineStr">
        <is>
          <t>Sim</t>
        </is>
      </c>
      <c r="I24" s="17" t="inlineStr">
        <is>
          <t>Doloso</t>
        </is>
      </c>
      <c r="J24" s="17" t="inlineStr">
        <is>
          <t>Sim</t>
        </is>
      </c>
      <c r="K24" s="17" t="inlineStr">
        <is>
          <t>Sim</t>
        </is>
      </c>
      <c r="L24" s="17" t="inlineStr">
        <is>
          <t>Não</t>
        </is>
      </c>
      <c r="M24" s="17" t="inlineStr">
        <is>
          <t>Não</t>
        </is>
      </c>
      <c r="N24" s="17" t="inlineStr">
        <is>
          <t>Não</t>
        </is>
      </c>
      <c r="O24" s="17" t="inlineStr">
        <is>
          <t>Verificar</t>
        </is>
      </c>
      <c r="P24" s="18" t="inlineStr">
        <is>
          <t>Aumento se na presença física ou virtual de descendente ou ascendente da vítima</t>
        </is>
      </c>
    </row>
    <row r="25">
      <c r="A25" s="17" t="inlineStr">
        <is>
          <t>CP</t>
        </is>
      </c>
      <c r="B25" s="17" t="inlineStr">
        <is>
          <t>Art. 121-A, §1º, IV</t>
        </is>
      </c>
      <c r="C25" s="18" t="inlineStr">
        <is>
          <t>Feminicídio com aumento de 1/3 a 1/2 (descumprimento de medida protetiva)</t>
        </is>
      </c>
      <c r="D25" s="17" t="n">
        <v>192</v>
      </c>
      <c r="E25" s="17" t="n">
        <v>540</v>
      </c>
      <c r="F25" s="17" t="inlineStr">
        <is>
          <t>Reclusão</t>
        </is>
      </c>
      <c r="G25" s="17" t="inlineStr">
        <is>
          <t>Pública Incondicionada</t>
        </is>
      </c>
      <c r="H25" s="17" t="inlineStr">
        <is>
          <t>Sim</t>
        </is>
      </c>
      <c r="I25" s="17" t="inlineStr">
        <is>
          <t>Doloso</t>
        </is>
      </c>
      <c r="J25" s="17" t="inlineStr">
        <is>
          <t>Sim</t>
        </is>
      </c>
      <c r="K25" s="17" t="inlineStr">
        <is>
          <t>Sim</t>
        </is>
      </c>
      <c r="L25" s="17" t="inlineStr">
        <is>
          <t>Não</t>
        </is>
      </c>
      <c r="M25" s="17" t="inlineStr">
        <is>
          <t>Não</t>
        </is>
      </c>
      <c r="N25" s="17" t="inlineStr">
        <is>
          <t>Não</t>
        </is>
      </c>
      <c r="O25" s="17" t="inlineStr">
        <is>
          <t>Verificar</t>
        </is>
      </c>
      <c r="P25" s="18" t="inlineStr">
        <is>
          <t>Aumento se em descumprimento de medida protetiva de urgência</t>
        </is>
      </c>
    </row>
    <row r="26">
      <c r="A26" s="7" t="inlineStr">
        <is>
          <t>CP</t>
        </is>
      </c>
      <c r="B26" s="7" t="inlineStr">
        <is>
          <t>Art. 122, caput</t>
        </is>
      </c>
      <c r="C26" s="16" t="inlineStr">
        <is>
          <t>Induzimento, instigação ou auxílio a suicídio ou automutilação</t>
        </is>
      </c>
      <c r="D26" s="7" t="n">
        <v>6</v>
      </c>
      <c r="E26" s="7" t="n">
        <v>24</v>
      </c>
      <c r="F26" s="7" t="inlineStr">
        <is>
          <t>Reclusão</t>
        </is>
      </c>
      <c r="G26" s="7" t="inlineStr">
        <is>
          <t>Pública Incondicionada</t>
        </is>
      </c>
      <c r="H26" s="7" t="inlineStr">
        <is>
          <t>Não</t>
        </is>
      </c>
      <c r="I26" s="7" t="inlineStr">
        <is>
          <t>Doloso</t>
        </is>
      </c>
      <c r="J26" s="7" t="inlineStr">
        <is>
          <t>Sim</t>
        </is>
      </c>
      <c r="K26" s="7" t="inlineStr">
        <is>
          <t>Não</t>
        </is>
      </c>
      <c r="L26" s="7" t="inlineStr">
        <is>
          <t>Não</t>
        </is>
      </c>
      <c r="M26" s="7" t="inlineStr">
        <is>
          <t>Sim</t>
        </is>
      </c>
      <c r="N26" s="7" t="inlineStr">
        <is>
          <t>Sim</t>
        </is>
      </c>
      <c r="O26" s="7" t="inlineStr">
        <is>
          <t>Sim</t>
        </is>
      </c>
      <c r="P26" s="16" t="inlineStr">
        <is>
          <t>6 meses a 2 anos reclusão. Redação dada pela Lei 13.968/2019</t>
        </is>
      </c>
    </row>
    <row r="27">
      <c r="A27" s="7" t="inlineStr">
        <is>
          <t>CP</t>
        </is>
      </c>
      <c r="B27" s="7" t="inlineStr">
        <is>
          <t>Art. 122, §1º</t>
        </is>
      </c>
      <c r="C27" s="16" t="inlineStr">
        <is>
          <t>Induzimento a suicídio com resultado lesão grave ou gravíssima</t>
        </is>
      </c>
      <c r="D27" s="7" t="n">
        <v>12</v>
      </c>
      <c r="E27" s="7" t="n">
        <v>60</v>
      </c>
      <c r="F27" s="7" t="inlineStr">
        <is>
          <t>Reclusão</t>
        </is>
      </c>
      <c r="G27" s="7" t="inlineStr">
        <is>
          <t>Pública Incondicionada</t>
        </is>
      </c>
      <c r="H27" s="7" t="inlineStr">
        <is>
          <t>Não</t>
        </is>
      </c>
      <c r="I27" s="7" t="inlineStr">
        <is>
          <t>Doloso</t>
        </is>
      </c>
      <c r="J27" s="7" t="inlineStr">
        <is>
          <t>Sim</t>
        </is>
      </c>
      <c r="K27" s="7" t="inlineStr">
        <is>
          <t>Não</t>
        </is>
      </c>
      <c r="L27" s="7" t="inlineStr">
        <is>
          <t>Não</t>
        </is>
      </c>
      <c r="M27" s="7" t="inlineStr">
        <is>
          <t>Sim</t>
        </is>
      </c>
      <c r="N27" s="7" t="inlineStr">
        <is>
          <t>Sim</t>
        </is>
      </c>
      <c r="O27" s="7" t="inlineStr">
        <is>
          <t>Sim</t>
        </is>
      </c>
      <c r="P27" s="16" t="inlineStr">
        <is>
          <t>1-3 anos se resulta lesão corporal de natureza grave ou gravíssima</t>
        </is>
      </c>
    </row>
    <row r="28">
      <c r="A28" s="7" t="inlineStr">
        <is>
          <t>CP</t>
        </is>
      </c>
      <c r="B28" s="7" t="inlineStr">
        <is>
          <t>Art. 122, §2º</t>
        </is>
      </c>
      <c r="C28" s="16" t="inlineStr">
        <is>
          <t>Induzimento a suicídio com resultado morte</t>
        </is>
      </c>
      <c r="D28" s="7" t="n">
        <v>24</v>
      </c>
      <c r="E28" s="7" t="n">
        <v>72</v>
      </c>
      <c r="F28" s="7" t="inlineStr">
        <is>
          <t>Reclusão</t>
        </is>
      </c>
      <c r="G28" s="7" t="inlineStr">
        <is>
          <t>Pública Incondicionada</t>
        </is>
      </c>
      <c r="H28" s="7" t="inlineStr">
        <is>
          <t>Não</t>
        </is>
      </c>
      <c r="I28" s="7" t="inlineStr">
        <is>
          <t>Doloso</t>
        </is>
      </c>
      <c r="J28" s="7" t="inlineStr">
        <is>
          <t>Sim</t>
        </is>
      </c>
      <c r="K28" s="7" t="inlineStr">
        <is>
          <t>Não</t>
        </is>
      </c>
      <c r="L28" s="7" t="inlineStr">
        <is>
          <t>Não</t>
        </is>
      </c>
      <c r="M28" s="7" t="inlineStr">
        <is>
          <t>Sim</t>
        </is>
      </c>
      <c r="N28" s="7" t="inlineStr">
        <is>
          <t>Não</t>
        </is>
      </c>
      <c r="O28" s="7" t="inlineStr">
        <is>
          <t>Sim</t>
        </is>
      </c>
      <c r="P28" s="16" t="inlineStr">
        <is>
          <t>2-6 anos se resulta morte</t>
        </is>
      </c>
    </row>
    <row r="29">
      <c r="A29" s="7" t="inlineStr">
        <is>
          <t>CP</t>
        </is>
      </c>
      <c r="B29" s="7" t="inlineStr">
        <is>
          <t>Art. 122, §3º</t>
        </is>
      </c>
      <c r="C29" s="16" t="inlineStr">
        <is>
          <t>Induzimento a suicídio com aumento (menor de 14 ou diminuída capacidade de resistência)</t>
        </is>
      </c>
      <c r="D29" s="7" t="n">
        <v>24</v>
      </c>
      <c r="E29" s="7" t="n">
        <v>96</v>
      </c>
      <c r="F29" s="7" t="inlineStr">
        <is>
          <t>Reclusão</t>
        </is>
      </c>
      <c r="G29" s="7" t="inlineStr">
        <is>
          <t>Pública Incondicionada</t>
        </is>
      </c>
      <c r="H29" s="7" t="inlineStr">
        <is>
          <t>Não</t>
        </is>
      </c>
      <c r="I29" s="7" t="inlineStr">
        <is>
          <t>Doloso</t>
        </is>
      </c>
      <c r="J29" s="7" t="inlineStr">
        <is>
          <t>Sim</t>
        </is>
      </c>
      <c r="K29" s="7" t="inlineStr">
        <is>
          <t>Não</t>
        </is>
      </c>
      <c r="L29" s="7" t="inlineStr">
        <is>
          <t>Não</t>
        </is>
      </c>
      <c r="M29" s="7" t="inlineStr">
        <is>
          <t>Sim</t>
        </is>
      </c>
      <c r="N29" s="7" t="inlineStr">
        <is>
          <t>Não</t>
        </is>
      </c>
      <c r="O29" s="7" t="inlineStr">
        <is>
          <t>Sim</t>
        </is>
      </c>
      <c r="P29" s="16" t="inlineStr">
        <is>
          <t>Dobra a pena se contra menor de 14, sem discernimento, ou não pode oferecer resistência</t>
        </is>
      </c>
    </row>
    <row r="30">
      <c r="A30" s="7" t="inlineStr">
        <is>
          <t>CP</t>
        </is>
      </c>
      <c r="B30" s="7" t="inlineStr">
        <is>
          <t>Art. 122, §4º</t>
        </is>
      </c>
      <c r="C30" s="16" t="inlineStr">
        <is>
          <t>Induzimento a suicídio com aumento (por meio da internet)</t>
        </is>
      </c>
      <c r="D30" s="7" t="n">
        <v>24</v>
      </c>
      <c r="E30" s="7" t="n">
        <v>96</v>
      </c>
      <c r="F30" s="7" t="inlineStr">
        <is>
          <t>Reclusão</t>
        </is>
      </c>
      <c r="G30" s="7" t="inlineStr">
        <is>
          <t>Pública Incondicionada</t>
        </is>
      </c>
      <c r="H30" s="7" t="inlineStr">
        <is>
          <t>Não</t>
        </is>
      </c>
      <c r="I30" s="7" t="inlineStr">
        <is>
          <t>Doloso</t>
        </is>
      </c>
      <c r="J30" s="7" t="inlineStr">
        <is>
          <t>Sim</t>
        </is>
      </c>
      <c r="K30" s="7" t="inlineStr">
        <is>
          <t>Não</t>
        </is>
      </c>
      <c r="L30" s="7" t="inlineStr">
        <is>
          <t>Não</t>
        </is>
      </c>
      <c r="M30" s="7" t="inlineStr">
        <is>
          <t>Sim</t>
        </is>
      </c>
      <c r="N30" s="7" t="inlineStr">
        <is>
          <t>Não</t>
        </is>
      </c>
      <c r="O30" s="7" t="inlineStr">
        <is>
          <t>Sim</t>
        </is>
      </c>
      <c r="P30" s="16" t="inlineStr">
        <is>
          <t>Dobra a pena se realizado por meio de rede de computadores, rede social, ou transmitido em tempo real</t>
        </is>
      </c>
    </row>
    <row r="31">
      <c r="A31" s="7" t="inlineStr">
        <is>
          <t>CP</t>
        </is>
      </c>
      <c r="B31" s="7" t="inlineStr">
        <is>
          <t>Art. 122, §5º</t>
        </is>
      </c>
      <c r="C31" s="16" t="inlineStr">
        <is>
          <t>Induzimento a suicídio como líder/coordenador de grupo (aumento até o dobro)</t>
        </is>
      </c>
      <c r="D31" s="7" t="n">
        <v>24</v>
      </c>
      <c r="E31" s="7" t="n">
        <v>144</v>
      </c>
      <c r="F31" s="7" t="inlineStr">
        <is>
          <t>Reclusão</t>
        </is>
      </c>
      <c r="G31" s="7" t="inlineStr">
        <is>
          <t>Pública Incondicionada</t>
        </is>
      </c>
      <c r="H31" s="7" t="inlineStr">
        <is>
          <t>Não</t>
        </is>
      </c>
      <c r="I31" s="7" t="inlineStr">
        <is>
          <t>Doloso</t>
        </is>
      </c>
      <c r="J31" s="7" t="inlineStr">
        <is>
          <t>Sim</t>
        </is>
      </c>
      <c r="K31" s="7" t="inlineStr">
        <is>
          <t>Não</t>
        </is>
      </c>
      <c r="L31" s="7" t="inlineStr">
        <is>
          <t>Não</t>
        </is>
      </c>
      <c r="M31" s="7" t="inlineStr">
        <is>
          <t>Sim</t>
        </is>
      </c>
      <c r="N31" s="7" t="inlineStr">
        <is>
          <t>Não</t>
        </is>
      </c>
      <c r="O31" s="7" t="inlineStr">
        <is>
          <t>Sim</t>
        </is>
      </c>
      <c r="P31" s="16" t="inlineStr">
        <is>
          <t>Aumento até o dobro se o agente é líder ou coordenador de grupo ou rede virtual</t>
        </is>
      </c>
    </row>
    <row r="32">
      <c r="A32" s="26" t="inlineStr">
        <is>
          <t>CP</t>
        </is>
      </c>
      <c r="B32" s="26" t="inlineStr">
        <is>
          <t>Art. 123</t>
        </is>
      </c>
      <c r="C32" s="27" t="inlineStr">
        <is>
          <t>Infanticídio</t>
        </is>
      </c>
      <c r="D32" s="26" t="n">
        <v>24</v>
      </c>
      <c r="E32" s="26" t="n">
        <v>72</v>
      </c>
      <c r="F32" s="26" t="inlineStr">
        <is>
          <t>Detenção</t>
        </is>
      </c>
      <c r="G32" s="26" t="inlineStr">
        <is>
          <t>Pública Incondicionada</t>
        </is>
      </c>
      <c r="H32" s="26" t="inlineStr">
        <is>
          <t>Não</t>
        </is>
      </c>
      <c r="I32" s="26" t="inlineStr">
        <is>
          <t>Doloso</t>
        </is>
      </c>
      <c r="J32" s="26" t="inlineStr">
        <is>
          <t>Sim</t>
        </is>
      </c>
      <c r="K32" s="26" t="inlineStr">
        <is>
          <t>Sim</t>
        </is>
      </c>
      <c r="L32" s="26" t="inlineStr">
        <is>
          <t>Não</t>
        </is>
      </c>
      <c r="M32" s="26" t="inlineStr">
        <is>
          <t>Não</t>
        </is>
      </c>
      <c r="N32" s="26" t="inlineStr">
        <is>
          <t>Não</t>
        </is>
      </c>
      <c r="O32" s="26" t="inlineStr">
        <is>
          <t>Sim</t>
        </is>
      </c>
      <c r="P32" s="27" t="inlineStr">
        <is>
          <t>Matar, sob influência do estado puerperal, o próprio filho, durante o parto ou logo após. 2-6 anos detenção</t>
        </is>
      </c>
    </row>
    <row r="33">
      <c r="A33" s="7" t="inlineStr">
        <is>
          <t>CP</t>
        </is>
      </c>
      <c r="B33" s="7" t="inlineStr">
        <is>
          <t>Art. 124</t>
        </is>
      </c>
      <c r="C33" s="16" t="inlineStr">
        <is>
          <t>Aborto provocado pela gestante (autoaborto) ou com seu consentimento</t>
        </is>
      </c>
      <c r="D33" s="7" t="n">
        <v>12</v>
      </c>
      <c r="E33" s="7" t="n">
        <v>36</v>
      </c>
      <c r="F33" s="7" t="inlineStr">
        <is>
          <t>Detenção</t>
        </is>
      </c>
      <c r="G33" s="7" t="inlineStr">
        <is>
          <t>Pública Incondicionada</t>
        </is>
      </c>
      <c r="H33" s="7" t="inlineStr">
        <is>
          <t>Não</t>
        </is>
      </c>
      <c r="I33" s="7" t="inlineStr">
        <is>
          <t>Doloso</t>
        </is>
      </c>
      <c r="J33" s="7" t="inlineStr">
        <is>
          <t>Sim</t>
        </is>
      </c>
      <c r="K33" s="7" t="inlineStr">
        <is>
          <t>Não</t>
        </is>
      </c>
      <c r="L33" s="7" t="inlineStr">
        <is>
          <t>Não</t>
        </is>
      </c>
      <c r="M33" s="7" t="inlineStr">
        <is>
          <t>Sim</t>
        </is>
      </c>
      <c r="N33" s="7" t="inlineStr">
        <is>
          <t>Sim</t>
        </is>
      </c>
      <c r="O33" s="7" t="inlineStr">
        <is>
          <t>Sim</t>
        </is>
      </c>
      <c r="P33" s="16" t="inlineStr">
        <is>
          <t>1-3 anos detenção</t>
        </is>
      </c>
    </row>
    <row r="34">
      <c r="A34" s="26" t="inlineStr">
        <is>
          <t>CP</t>
        </is>
      </c>
      <c r="B34" s="26" t="inlineStr">
        <is>
          <t>Art. 125</t>
        </is>
      </c>
      <c r="C34" s="27" t="inlineStr">
        <is>
          <t>Aborto provocado por terceiro sem consentimento da gestante</t>
        </is>
      </c>
      <c r="D34" s="26" t="n">
        <v>36</v>
      </c>
      <c r="E34" s="26" t="n">
        <v>120</v>
      </c>
      <c r="F34" s="26" t="inlineStr">
        <is>
          <t>Reclusão</t>
        </is>
      </c>
      <c r="G34" s="26" t="inlineStr">
        <is>
          <t>Pública Incondicionada</t>
        </is>
      </c>
      <c r="H34" s="26" t="inlineStr">
        <is>
          <t>Não</t>
        </is>
      </c>
      <c r="I34" s="26" t="inlineStr">
        <is>
          <t>Doloso</t>
        </is>
      </c>
      <c r="J34" s="26" t="inlineStr">
        <is>
          <t>Sim</t>
        </is>
      </c>
      <c r="K34" s="26" t="inlineStr">
        <is>
          <t>Sim</t>
        </is>
      </c>
      <c r="L34" s="26" t="inlineStr">
        <is>
          <t>Não</t>
        </is>
      </c>
      <c r="M34" s="26" t="inlineStr">
        <is>
          <t>Não</t>
        </is>
      </c>
      <c r="N34" s="26" t="inlineStr">
        <is>
          <t>Não</t>
        </is>
      </c>
      <c r="O34" s="26" t="inlineStr">
        <is>
          <t>Verificar</t>
        </is>
      </c>
      <c r="P34" s="27" t="inlineStr">
        <is>
          <t>3-10 anos reclusão</t>
        </is>
      </c>
    </row>
    <row r="35">
      <c r="A35" s="7" t="inlineStr">
        <is>
          <t>CP</t>
        </is>
      </c>
      <c r="B35" s="7" t="inlineStr">
        <is>
          <t>Art. 126</t>
        </is>
      </c>
      <c r="C35" s="16" t="inlineStr">
        <is>
          <t>Aborto provocado por terceiro com consentimento da gestante</t>
        </is>
      </c>
      <c r="D35" s="7" t="n">
        <v>12</v>
      </c>
      <c r="E35" s="7" t="n">
        <v>48</v>
      </c>
      <c r="F35" s="7" t="inlineStr">
        <is>
          <t>Reclusão</t>
        </is>
      </c>
      <c r="G35" s="7" t="inlineStr">
        <is>
          <t>Pública Incondicionada</t>
        </is>
      </c>
      <c r="H35" s="7" t="inlineStr">
        <is>
          <t>Não</t>
        </is>
      </c>
      <c r="I35" s="7" t="inlineStr">
        <is>
          <t>Doloso</t>
        </is>
      </c>
      <c r="J35" s="7" t="inlineStr">
        <is>
          <t>Sim</t>
        </is>
      </c>
      <c r="K35" s="7" t="inlineStr">
        <is>
          <t>Não</t>
        </is>
      </c>
      <c r="L35" s="7" t="inlineStr">
        <is>
          <t>Não</t>
        </is>
      </c>
      <c r="M35" s="7" t="inlineStr">
        <is>
          <t>Sim</t>
        </is>
      </c>
      <c r="N35" s="7" t="inlineStr">
        <is>
          <t>Sim</t>
        </is>
      </c>
      <c r="O35" s="7" t="inlineStr">
        <is>
          <t>Sim</t>
        </is>
      </c>
      <c r="P35" s="16" t="inlineStr">
        <is>
          <t>1-4 anos reclusão</t>
        </is>
      </c>
    </row>
    <row r="36">
      <c r="A36" s="7" t="inlineStr">
        <is>
          <t>CP</t>
        </is>
      </c>
      <c r="B36" s="7" t="inlineStr">
        <is>
          <t>Art. 127</t>
        </is>
      </c>
      <c r="C36" s="16" t="inlineStr">
        <is>
          <t>Aborto qualificado — resultado lesão grave na gestante</t>
        </is>
      </c>
      <c r="D36" s="7" t="n">
        <v>16</v>
      </c>
      <c r="E36" s="7" t="n">
        <v>64</v>
      </c>
      <c r="F36" s="7" t="inlineStr">
        <is>
          <t>Reclusão</t>
        </is>
      </c>
      <c r="G36" s="7" t="inlineStr">
        <is>
          <t>Pública Incondicionada</t>
        </is>
      </c>
      <c r="H36" s="7" t="inlineStr">
        <is>
          <t>Não</t>
        </is>
      </c>
      <c r="I36" s="7" t="inlineStr">
        <is>
          <t>Doloso</t>
        </is>
      </c>
      <c r="J36" s="7" t="inlineStr">
        <is>
          <t>Sim</t>
        </is>
      </c>
      <c r="K36" s="7" t="inlineStr">
        <is>
          <t>Não</t>
        </is>
      </c>
      <c r="L36" s="7" t="inlineStr">
        <is>
          <t>Não</t>
        </is>
      </c>
      <c r="M36" s="7" t="inlineStr">
        <is>
          <t>Sim</t>
        </is>
      </c>
      <c r="N36" s="7" t="inlineStr">
        <is>
          <t>Não</t>
        </is>
      </c>
      <c r="O36" s="7" t="inlineStr">
        <is>
          <t>Sim</t>
        </is>
      </c>
      <c r="P36" s="16" t="inlineStr">
        <is>
          <t>Aumento de 1/3 sobre Arts. 125/126 se resulta lesão corporal de natureza grave na gestante</t>
        </is>
      </c>
    </row>
    <row r="37">
      <c r="A37" s="7" t="inlineStr">
        <is>
          <t>CP</t>
        </is>
      </c>
      <c r="B37" s="7" t="inlineStr">
        <is>
          <t>Art. 127</t>
        </is>
      </c>
      <c r="C37" s="16" t="inlineStr">
        <is>
          <t>Aborto qualificado — resultado morte da gestante</t>
        </is>
      </c>
      <c r="D37" s="7" t="n">
        <v>24</v>
      </c>
      <c r="E37" s="7" t="n">
        <v>120</v>
      </c>
      <c r="F37" s="7" t="inlineStr">
        <is>
          <t>Reclusão</t>
        </is>
      </c>
      <c r="G37" s="7" t="inlineStr">
        <is>
          <t>Pública Incondicionada</t>
        </is>
      </c>
      <c r="H37" s="7" t="inlineStr">
        <is>
          <t>Não</t>
        </is>
      </c>
      <c r="I37" s="7" t="inlineStr">
        <is>
          <t>Doloso</t>
        </is>
      </c>
      <c r="J37" s="7" t="inlineStr">
        <is>
          <t>Sim</t>
        </is>
      </c>
      <c r="K37" s="7" t="inlineStr">
        <is>
          <t>Não</t>
        </is>
      </c>
      <c r="L37" s="7" t="inlineStr">
        <is>
          <t>Não</t>
        </is>
      </c>
      <c r="M37" s="7" t="inlineStr">
        <is>
          <t>Sim</t>
        </is>
      </c>
      <c r="N37" s="7" t="inlineStr">
        <is>
          <t>Não</t>
        </is>
      </c>
      <c r="O37" s="7" t="inlineStr">
        <is>
          <t>Sim</t>
        </is>
      </c>
      <c r="P37" s="16" t="inlineStr">
        <is>
          <t>Dobra a pena dos Arts. 125/126 se resulta morte da gestante (crime preterdoloso)</t>
        </is>
      </c>
    </row>
    <row r="38">
      <c r="A38" s="28" t="inlineStr">
        <is>
          <t>CP</t>
        </is>
      </c>
      <c r="B38" s="28" t="inlineStr">
        <is>
          <t>Art. 128, I</t>
        </is>
      </c>
      <c r="C38" s="29" t="inlineStr">
        <is>
          <t>Aborto necessário (terapêutico) — excludente</t>
        </is>
      </c>
      <c r="D38" s="28" t="inlineStr">
        <is>
          <t>—</t>
        </is>
      </c>
      <c r="E38" s="28" t="inlineStr">
        <is>
          <t>—</t>
        </is>
      </c>
      <c r="F38" s="28" t="inlineStr">
        <is>
          <t>—</t>
        </is>
      </c>
      <c r="G38" s="28" t="inlineStr">
        <is>
          <t>—</t>
        </is>
      </c>
      <c r="H38" s="28" t="inlineStr">
        <is>
          <t>Não</t>
        </is>
      </c>
      <c r="I38" s="28" t="inlineStr">
        <is>
          <t>—</t>
        </is>
      </c>
      <c r="J38" s="28" t="inlineStr">
        <is>
          <t>—</t>
        </is>
      </c>
      <c r="K38" s="28" t="inlineStr">
        <is>
          <t>Não</t>
        </is>
      </c>
      <c r="L38" s="28" t="inlineStr">
        <is>
          <t>Não</t>
        </is>
      </c>
      <c r="M38" s="28" t="inlineStr">
        <is>
          <t>—</t>
        </is>
      </c>
      <c r="N38" s="28" t="inlineStr">
        <is>
          <t>—</t>
        </is>
      </c>
      <c r="O38" s="28" t="inlineStr">
        <is>
          <t>—</t>
        </is>
      </c>
      <c r="P38" s="29" t="inlineStr">
        <is>
          <t>EXCLUDENTE — Não se pune quando praticado por médico: I - se não há outro meio de salvar a vida da gestante</t>
        </is>
      </c>
    </row>
    <row r="39">
      <c r="A39" s="28" t="inlineStr">
        <is>
          <t>CP</t>
        </is>
      </c>
      <c r="B39" s="28" t="inlineStr">
        <is>
          <t>Art. 128, II</t>
        </is>
      </c>
      <c r="C39" s="29" t="inlineStr">
        <is>
          <t>Aborto sentimental (humanitário) — excludente</t>
        </is>
      </c>
      <c r="D39" s="28" t="inlineStr">
        <is>
          <t>—</t>
        </is>
      </c>
      <c r="E39" s="28" t="inlineStr">
        <is>
          <t>—</t>
        </is>
      </c>
      <c r="F39" s="28" t="inlineStr">
        <is>
          <t>—</t>
        </is>
      </c>
      <c r="G39" s="28" t="inlineStr">
        <is>
          <t>—</t>
        </is>
      </c>
      <c r="H39" s="28" t="inlineStr">
        <is>
          <t>Não</t>
        </is>
      </c>
      <c r="I39" s="28" t="inlineStr">
        <is>
          <t>—</t>
        </is>
      </c>
      <c r="J39" s="28" t="inlineStr">
        <is>
          <t>—</t>
        </is>
      </c>
      <c r="K39" s="28" t="inlineStr">
        <is>
          <t>Não</t>
        </is>
      </c>
      <c r="L39" s="28" t="inlineStr">
        <is>
          <t>Não</t>
        </is>
      </c>
      <c r="M39" s="28" t="inlineStr">
        <is>
          <t>—</t>
        </is>
      </c>
      <c r="N39" s="28" t="inlineStr">
        <is>
          <t>—</t>
        </is>
      </c>
      <c r="O39" s="28" t="inlineStr">
        <is>
          <t>—</t>
        </is>
      </c>
      <c r="P39" s="29" t="inlineStr">
        <is>
          <t>EXCLUDENTE — II - se a gravidez resulta de estupro e o aborto é precedido de consentimento da gestante (ou representante legal). ADPF 54/STF: anencefalia também</t>
        </is>
      </c>
    </row>
    <row r="40">
      <c r="A40" s="26" t="inlineStr">
        <is>
          <t>CP</t>
        </is>
      </c>
      <c r="B40" s="26" t="inlineStr">
        <is>
          <t>Art. 129, caput</t>
        </is>
      </c>
      <c r="C40" s="27" t="inlineStr">
        <is>
          <t>Lesão corporal leve</t>
        </is>
      </c>
      <c r="D40" s="26" t="n">
        <v>3</v>
      </c>
      <c r="E40" s="26" t="n">
        <v>12</v>
      </c>
      <c r="F40" s="26" t="inlineStr">
        <is>
          <t>Detenção</t>
        </is>
      </c>
      <c r="G40" s="26" t="inlineStr">
        <is>
          <t>Pública Condicionada</t>
        </is>
      </c>
      <c r="H40" s="26" t="inlineStr">
        <is>
          <t>Não</t>
        </is>
      </c>
      <c r="I40" s="26" t="inlineStr">
        <is>
          <t>Doloso</t>
        </is>
      </c>
      <c r="J40" s="26" t="inlineStr">
        <is>
          <t>Sim</t>
        </is>
      </c>
      <c r="K40" s="26" t="inlineStr">
        <is>
          <t>Sim</t>
        </is>
      </c>
      <c r="L40" s="26" t="inlineStr">
        <is>
          <t>Não</t>
        </is>
      </c>
      <c r="M40" s="26" t="inlineStr">
        <is>
          <t>Não</t>
        </is>
      </c>
      <c r="N40" s="26" t="inlineStr">
        <is>
          <t>Sim</t>
        </is>
      </c>
      <c r="O40" s="26" t="inlineStr">
        <is>
          <t>Sim</t>
        </is>
      </c>
      <c r="P40" s="27" t="inlineStr">
        <is>
          <t>3 meses a 1 ano detenção. Ação condicionada à representação (Lei 9.099/95, Art. 88), EXCETO violência doméstica (Súmula 542 STJ: ação pública incondicionada)</t>
        </is>
      </c>
    </row>
    <row r="41">
      <c r="A41" s="26" t="inlineStr">
        <is>
          <t>CP</t>
        </is>
      </c>
      <c r="B41" s="26" t="inlineStr">
        <is>
          <t>Art. 129, §1º</t>
        </is>
      </c>
      <c r="C41" s="27" t="inlineStr">
        <is>
          <t>Lesão corporal de natureza grave</t>
        </is>
      </c>
      <c r="D41" s="26" t="n">
        <v>12</v>
      </c>
      <c r="E41" s="26" t="n">
        <v>60</v>
      </c>
      <c r="F41" s="26" t="inlineStr">
        <is>
          <t>Reclusão</t>
        </is>
      </c>
      <c r="G41" s="26" t="inlineStr">
        <is>
          <t>Pública Incondicionada</t>
        </is>
      </c>
      <c r="H41" s="26" t="inlineStr">
        <is>
          <t>Não</t>
        </is>
      </c>
      <c r="I41" s="26" t="inlineStr">
        <is>
          <t>Doloso</t>
        </is>
      </c>
      <c r="J41" s="26" t="inlineStr">
        <is>
          <t>Sim</t>
        </is>
      </c>
      <c r="K41" s="26" t="inlineStr">
        <is>
          <t>Sim</t>
        </is>
      </c>
      <c r="L41" s="26" t="inlineStr">
        <is>
          <t>Não</t>
        </is>
      </c>
      <c r="M41" s="26" t="inlineStr">
        <is>
          <t>Não</t>
        </is>
      </c>
      <c r="N41" s="26" t="inlineStr">
        <is>
          <t>Sim</t>
        </is>
      </c>
      <c r="O41" s="26" t="inlineStr">
        <is>
          <t>Sim</t>
        </is>
      </c>
      <c r="P41" s="27" t="inlineStr">
        <is>
          <t>1-5 anos reclusão. Incapacidade para ocupações habituais &gt; 30 dias, perigo de vida, debilidade permanente de membro/sentido/função, aceleração de parto</t>
        </is>
      </c>
    </row>
    <row r="42">
      <c r="A42" s="26" t="inlineStr">
        <is>
          <t>CP</t>
        </is>
      </c>
      <c r="B42" s="26" t="inlineStr">
        <is>
          <t>Art. 129, §2º</t>
        </is>
      </c>
      <c r="C42" s="27" t="inlineStr">
        <is>
          <t>Lesão corporal de natureza gravíssima</t>
        </is>
      </c>
      <c r="D42" s="26" t="n">
        <v>24</v>
      </c>
      <c r="E42" s="26" t="n">
        <v>96</v>
      </c>
      <c r="F42" s="26" t="inlineStr">
        <is>
          <t>Reclusão</t>
        </is>
      </c>
      <c r="G42" s="26" t="inlineStr">
        <is>
          <t>Pública Incondicionada</t>
        </is>
      </c>
      <c r="H42" s="26" t="inlineStr">
        <is>
          <t>Não</t>
        </is>
      </c>
      <c r="I42" s="26" t="inlineStr">
        <is>
          <t>Doloso</t>
        </is>
      </c>
      <c r="J42" s="26" t="inlineStr">
        <is>
          <t>Sim</t>
        </is>
      </c>
      <c r="K42" s="26" t="inlineStr">
        <is>
          <t>Sim</t>
        </is>
      </c>
      <c r="L42" s="26" t="inlineStr">
        <is>
          <t>Não</t>
        </is>
      </c>
      <c r="M42" s="26" t="inlineStr">
        <is>
          <t>Não</t>
        </is>
      </c>
      <c r="N42" s="26" t="inlineStr">
        <is>
          <t>Não</t>
        </is>
      </c>
      <c r="O42" s="26" t="inlineStr">
        <is>
          <t>Sim</t>
        </is>
      </c>
      <c r="P42" s="27" t="inlineStr">
        <is>
          <t>2-8 anos reclusão. Incapacidade permanente para o trabalho, enfermidade incurável, perda/inutilização de membro/sentido/função, deformidade permanente, aborto</t>
        </is>
      </c>
    </row>
    <row r="43">
      <c r="A43" s="26" t="inlineStr">
        <is>
          <t>CP</t>
        </is>
      </c>
      <c r="B43" s="26" t="inlineStr">
        <is>
          <t>Art. 129, §3º</t>
        </is>
      </c>
      <c r="C43" s="27" t="inlineStr">
        <is>
          <t>Lesão corporal seguida de morte (preterdolosa)</t>
        </is>
      </c>
      <c r="D43" s="26" t="n">
        <v>48</v>
      </c>
      <c r="E43" s="26" t="n">
        <v>144</v>
      </c>
      <c r="F43" s="26" t="inlineStr">
        <is>
          <t>Reclusão</t>
        </is>
      </c>
      <c r="G43" s="26" t="inlineStr">
        <is>
          <t>Pública Incondicionada</t>
        </is>
      </c>
      <c r="H43" s="26" t="inlineStr">
        <is>
          <t>Não</t>
        </is>
      </c>
      <c r="I43" s="26" t="inlineStr">
        <is>
          <t>Preterdoloso</t>
        </is>
      </c>
      <c r="J43" s="26" t="inlineStr">
        <is>
          <t>Não</t>
        </is>
      </c>
      <c r="K43" s="26" t="inlineStr">
        <is>
          <t>Sim</t>
        </is>
      </c>
      <c r="L43" s="26" t="inlineStr">
        <is>
          <t>Não</t>
        </is>
      </c>
      <c r="M43" s="26" t="inlineStr">
        <is>
          <t>Não</t>
        </is>
      </c>
      <c r="N43" s="26" t="inlineStr">
        <is>
          <t>Não</t>
        </is>
      </c>
      <c r="O43" s="26" t="inlineStr">
        <is>
          <t>Verificar</t>
        </is>
      </c>
      <c r="P43" s="27" t="inlineStr">
        <is>
          <t>4-12 anos reclusão. Dolo na lesão + culpa no resultado morte</t>
        </is>
      </c>
    </row>
    <row r="44">
      <c r="A44" s="26" t="inlineStr">
        <is>
          <t>CP</t>
        </is>
      </c>
      <c r="B44" s="26" t="inlineStr">
        <is>
          <t>Art. 129, §4º</t>
        </is>
      </c>
      <c r="C44" s="27" t="inlineStr">
        <is>
          <t>Lesão corporal dolosa com diminuição de 1/6 a 1/3 (privilégio)</t>
        </is>
      </c>
      <c r="D44" s="26" t="n">
        <v>2</v>
      </c>
      <c r="E44" s="26" t="n">
        <v>10</v>
      </c>
      <c r="F44" s="26" t="inlineStr">
        <is>
          <t>Detenção</t>
        </is>
      </c>
      <c r="G44" s="26" t="inlineStr">
        <is>
          <t>Pública Condicionada</t>
        </is>
      </c>
      <c r="H44" s="26" t="inlineStr">
        <is>
          <t>Não</t>
        </is>
      </c>
      <c r="I44" s="26" t="inlineStr">
        <is>
          <t>Doloso</t>
        </is>
      </c>
      <c r="J44" s="26" t="inlineStr">
        <is>
          <t>Sim</t>
        </is>
      </c>
      <c r="K44" s="26" t="inlineStr">
        <is>
          <t>Sim</t>
        </is>
      </c>
      <c r="L44" s="26" t="inlineStr">
        <is>
          <t>Não</t>
        </is>
      </c>
      <c r="M44" s="26" t="inlineStr">
        <is>
          <t>Não</t>
        </is>
      </c>
      <c r="N44" s="26" t="inlineStr">
        <is>
          <t>Sim</t>
        </is>
      </c>
      <c r="O44" s="26" t="inlineStr">
        <is>
          <t>Sim</t>
        </is>
      </c>
      <c r="P44" s="27" t="inlineStr">
        <is>
          <t>Motivo de relevante valor social/moral ou domínio de violenta emoção. Aplicável às formas leve, grave e gravíssima</t>
        </is>
      </c>
    </row>
    <row r="45">
      <c r="A45" s="28" t="inlineStr">
        <is>
          <t>CP</t>
        </is>
      </c>
      <c r="B45" s="28" t="inlineStr">
        <is>
          <t>Art. 129, §5º</t>
        </is>
      </c>
      <c r="C45" s="29" t="inlineStr">
        <is>
          <t>Lesão corporal culposa com perdão judicial</t>
        </is>
      </c>
      <c r="D45" s="28" t="inlineStr">
        <is>
          <t>—</t>
        </is>
      </c>
      <c r="E45" s="28" t="inlineStr">
        <is>
          <t>—</t>
        </is>
      </c>
      <c r="F45" s="28" t="inlineStr">
        <is>
          <t>—</t>
        </is>
      </c>
      <c r="G45" s="28" t="inlineStr">
        <is>
          <t>—</t>
        </is>
      </c>
      <c r="H45" s="28" t="inlineStr">
        <is>
          <t>Não</t>
        </is>
      </c>
      <c r="I45" s="28" t="inlineStr">
        <is>
          <t>Culposo</t>
        </is>
      </c>
      <c r="J45" s="28" t="inlineStr">
        <is>
          <t>Não</t>
        </is>
      </c>
      <c r="K45" s="28" t="inlineStr">
        <is>
          <t>Não</t>
        </is>
      </c>
      <c r="L45" s="28" t="inlineStr">
        <is>
          <t>Não</t>
        </is>
      </c>
      <c r="M45" s="28" t="inlineStr">
        <is>
          <t>—</t>
        </is>
      </c>
      <c r="N45" s="28" t="inlineStr">
        <is>
          <t>—</t>
        </is>
      </c>
      <c r="O45" s="28" t="inlineStr">
        <is>
          <t>—</t>
        </is>
      </c>
      <c r="P45" s="29" t="inlineStr">
        <is>
          <t>REFERÊNCIA — Perdão judicial aplicável quando as consequências atingirem o agente de forma tão grave que a sanção se torne desnecessária</t>
        </is>
      </c>
    </row>
    <row r="46">
      <c r="A46" s="7" t="inlineStr">
        <is>
          <t>CP</t>
        </is>
      </c>
      <c r="B46" s="7" t="inlineStr">
        <is>
          <t>Art. 129, §6º</t>
        </is>
      </c>
      <c r="C46" s="16" t="inlineStr">
        <is>
          <t>Lesão corporal culposa</t>
        </is>
      </c>
      <c r="D46" s="7" t="n">
        <v>2</v>
      </c>
      <c r="E46" s="7" t="n">
        <v>8</v>
      </c>
      <c r="F46" s="7" t="inlineStr">
        <is>
          <t>Detenção</t>
        </is>
      </c>
      <c r="G46" s="7" t="inlineStr">
        <is>
          <t>Pública Condicionada</t>
        </is>
      </c>
      <c r="H46" s="7" t="inlineStr">
        <is>
          <t>Não</t>
        </is>
      </c>
      <c r="I46" s="7" t="inlineStr">
        <is>
          <t>Culposo</t>
        </is>
      </c>
      <c r="J46" s="7" t="inlineStr">
        <is>
          <t>Não</t>
        </is>
      </c>
      <c r="K46" s="7" t="inlineStr">
        <is>
          <t>Não</t>
        </is>
      </c>
      <c r="L46" s="7" t="inlineStr">
        <is>
          <t>Não</t>
        </is>
      </c>
      <c r="M46" s="7" t="inlineStr">
        <is>
          <t>Sim</t>
        </is>
      </c>
      <c r="N46" s="7" t="inlineStr">
        <is>
          <t>Sim</t>
        </is>
      </c>
      <c r="O46" s="7" t="inlineStr">
        <is>
          <t>Sim</t>
        </is>
      </c>
      <c r="P46" s="16" t="inlineStr">
        <is>
          <t>2 meses a 1 ano detenção. Ação condicionada à representação</t>
        </is>
      </c>
    </row>
    <row r="47">
      <c r="A47" s="7" t="inlineStr">
        <is>
          <t>CP</t>
        </is>
      </c>
      <c r="B47" s="7" t="inlineStr">
        <is>
          <t>Art. 129, §7º</t>
        </is>
      </c>
      <c r="C47" s="16" t="inlineStr">
        <is>
          <t>Lesão corporal culposa com aumento de 1/3 (inobservância de regra técnica)</t>
        </is>
      </c>
      <c r="D47" s="7" t="n">
        <v>3</v>
      </c>
      <c r="E47" s="7" t="n">
        <v>11</v>
      </c>
      <c r="F47" s="7" t="inlineStr">
        <is>
          <t>Detenção</t>
        </is>
      </c>
      <c r="G47" s="7" t="inlineStr">
        <is>
          <t>Pública Condicionada</t>
        </is>
      </c>
      <c r="H47" s="7" t="inlineStr">
        <is>
          <t>Não</t>
        </is>
      </c>
      <c r="I47" s="7" t="inlineStr">
        <is>
          <t>Culposo</t>
        </is>
      </c>
      <c r="J47" s="7" t="inlineStr">
        <is>
          <t>Não</t>
        </is>
      </c>
      <c r="K47" s="7" t="inlineStr">
        <is>
          <t>Não</t>
        </is>
      </c>
      <c r="L47" s="7" t="inlineStr">
        <is>
          <t>Não</t>
        </is>
      </c>
      <c r="M47" s="7" t="inlineStr">
        <is>
          <t>Sim</t>
        </is>
      </c>
      <c r="N47" s="7" t="inlineStr">
        <is>
          <t>Sim</t>
        </is>
      </c>
      <c r="O47" s="7" t="inlineStr">
        <is>
          <t>Sim</t>
        </is>
      </c>
      <c r="P47" s="16" t="inlineStr">
        <is>
          <t>Aumento de 1/3 se inobservância de regra técnica de profissão, arte ou ofício, ou omissão de socorro</t>
        </is>
      </c>
    </row>
    <row r="48">
      <c r="A48" s="26" t="inlineStr">
        <is>
          <t>CP</t>
        </is>
      </c>
      <c r="B48" s="26" t="inlineStr">
        <is>
          <t>Art. 129, §9º</t>
        </is>
      </c>
      <c r="C48" s="27" t="inlineStr">
        <is>
          <t>Lesão corporal em contexto de violência doméstica</t>
        </is>
      </c>
      <c r="D48" s="26" t="n">
        <v>3</v>
      </c>
      <c r="E48" s="26" t="n">
        <v>36</v>
      </c>
      <c r="F48" s="26" t="inlineStr">
        <is>
          <t>Detenção</t>
        </is>
      </c>
      <c r="G48" s="26" t="inlineStr">
        <is>
          <t>Pública Incondicionada</t>
        </is>
      </c>
      <c r="H48" s="26" t="inlineStr">
        <is>
          <t>Não</t>
        </is>
      </c>
      <c r="I48" s="26" t="inlineStr">
        <is>
          <t>Doloso</t>
        </is>
      </c>
      <c r="J48" s="26" t="inlineStr">
        <is>
          <t>Sim</t>
        </is>
      </c>
      <c r="K48" s="26" t="inlineStr">
        <is>
          <t>Sim</t>
        </is>
      </c>
      <c r="L48" s="26" t="inlineStr">
        <is>
          <t>Não</t>
        </is>
      </c>
      <c r="M48" s="26" t="inlineStr">
        <is>
          <t>Não</t>
        </is>
      </c>
      <c r="N48" s="26" t="inlineStr">
        <is>
          <t>Sim</t>
        </is>
      </c>
      <c r="O48" s="26" t="inlineStr">
        <is>
          <t>Sim</t>
        </is>
      </c>
      <c r="P48" s="27" t="inlineStr">
        <is>
          <t>3 meses a 3 anos detenção. Contra ascendente/descendente/irmão/cônjuge/companheiro, ou com quem conviva/tenha convivido. Ação pública incondicionada (Súmula 542 STJ)</t>
        </is>
      </c>
    </row>
    <row r="49">
      <c r="A49" s="26" t="inlineStr">
        <is>
          <t>CP</t>
        </is>
      </c>
      <c r="B49" s="26" t="inlineStr">
        <is>
          <t>Art. 129, §10</t>
        </is>
      </c>
      <c r="C49" s="27" t="inlineStr">
        <is>
          <t>Lesão corporal em violência doméstica com aumento de 1/3 (pessoa com deficiência)</t>
        </is>
      </c>
      <c r="D49" s="26" t="n">
        <v>4</v>
      </c>
      <c r="E49" s="26" t="n">
        <v>48</v>
      </c>
      <c r="F49" s="26" t="inlineStr">
        <is>
          <t>Detenção</t>
        </is>
      </c>
      <c r="G49" s="26" t="inlineStr">
        <is>
          <t>Pública Incondicionada</t>
        </is>
      </c>
      <c r="H49" s="26" t="inlineStr">
        <is>
          <t>Não</t>
        </is>
      </c>
      <c r="I49" s="26" t="inlineStr">
        <is>
          <t>Doloso</t>
        </is>
      </c>
      <c r="J49" s="26" t="inlineStr">
        <is>
          <t>Sim</t>
        </is>
      </c>
      <c r="K49" s="26" t="inlineStr">
        <is>
          <t>Sim</t>
        </is>
      </c>
      <c r="L49" s="26" t="inlineStr">
        <is>
          <t>Não</t>
        </is>
      </c>
      <c r="M49" s="26" t="inlineStr">
        <is>
          <t>Não</t>
        </is>
      </c>
      <c r="N49" s="26" t="inlineStr">
        <is>
          <t>Sim</t>
        </is>
      </c>
      <c r="O49" s="26" t="inlineStr">
        <is>
          <t>Sim</t>
        </is>
      </c>
      <c r="P49" s="27" t="inlineStr">
        <is>
          <t>Aumento de 1/3 sobre §9º se contra pessoa com deficiência</t>
        </is>
      </c>
    </row>
    <row r="50">
      <c r="A50" s="7" t="inlineStr">
        <is>
          <t>CP</t>
        </is>
      </c>
      <c r="B50" s="7" t="inlineStr">
        <is>
          <t>Art. 129, §11</t>
        </is>
      </c>
      <c r="C50" s="16" t="inlineStr">
        <is>
          <t>Lesão corporal culposa em violência doméstica com aumento de 1/3 (pessoa com deficiência)</t>
        </is>
      </c>
      <c r="D50" s="7" t="n">
        <v>3</v>
      </c>
      <c r="E50" s="7" t="n">
        <v>11</v>
      </c>
      <c r="F50" s="7" t="inlineStr">
        <is>
          <t>Detenção</t>
        </is>
      </c>
      <c r="G50" s="7" t="inlineStr">
        <is>
          <t>Pública Incondicionada</t>
        </is>
      </c>
      <c r="H50" s="7" t="inlineStr">
        <is>
          <t>Não</t>
        </is>
      </c>
      <c r="I50" s="7" t="inlineStr">
        <is>
          <t>Culposo</t>
        </is>
      </c>
      <c r="J50" s="7" t="inlineStr">
        <is>
          <t>Não</t>
        </is>
      </c>
      <c r="K50" s="7" t="inlineStr">
        <is>
          <t>Não</t>
        </is>
      </c>
      <c r="L50" s="7" t="inlineStr">
        <is>
          <t>Não</t>
        </is>
      </c>
      <c r="M50" s="7" t="inlineStr">
        <is>
          <t>Sim</t>
        </is>
      </c>
      <c r="N50" s="7" t="inlineStr">
        <is>
          <t>Sim</t>
        </is>
      </c>
      <c r="O50" s="7" t="inlineStr">
        <is>
          <t>Sim</t>
        </is>
      </c>
      <c r="P50" s="16" t="inlineStr">
        <is>
          <t>Aumento de 1/3 sobre lesão culposa se contra pessoa com deficiência</t>
        </is>
      </c>
    </row>
    <row r="51">
      <c r="A51" s="26" t="inlineStr">
        <is>
          <t>CP</t>
        </is>
      </c>
      <c r="B51" s="26" t="inlineStr">
        <is>
          <t>Art. 129, §12</t>
        </is>
      </c>
      <c r="C51" s="27" t="inlineStr">
        <is>
          <t>Lesão corporal contra agente de segurança pública ou familiar (aumento de 1/3 a 2/3)</t>
        </is>
      </c>
      <c r="D51" s="26" t="n">
        <v>4</v>
      </c>
      <c r="E51" s="26" t="n">
        <v>16</v>
      </c>
      <c r="F51" s="26" t="inlineStr">
        <is>
          <t>Detenção</t>
        </is>
      </c>
      <c r="G51" s="26" t="inlineStr">
        <is>
          <t>Pública Incondicionada</t>
        </is>
      </c>
      <c r="H51" s="26" t="inlineStr">
        <is>
          <t>Não</t>
        </is>
      </c>
      <c r="I51" s="26" t="inlineStr">
        <is>
          <t>Doloso</t>
        </is>
      </c>
      <c r="J51" s="26" t="inlineStr">
        <is>
          <t>Sim</t>
        </is>
      </c>
      <c r="K51" s="26" t="inlineStr">
        <is>
          <t>Sim</t>
        </is>
      </c>
      <c r="L51" s="26" t="inlineStr">
        <is>
          <t>Não</t>
        </is>
      </c>
      <c r="M51" s="26" t="inlineStr">
        <is>
          <t>Não</t>
        </is>
      </c>
      <c r="N51" s="26" t="inlineStr">
        <is>
          <t>Sim</t>
        </is>
      </c>
      <c r="O51" s="26" t="inlineStr">
        <is>
          <t>Sim</t>
        </is>
      </c>
      <c r="P51" s="27" t="inlineStr">
        <is>
          <t>Aumento de 1/3 a 2/3 se contra integrantes dos órgãos de segurança pública, no exercício da função ou em decorrência dela (Lei 13.142/2015)</t>
        </is>
      </c>
    </row>
    <row r="52">
      <c r="A52" s="17" t="inlineStr">
        <is>
          <t>CP</t>
        </is>
      </c>
      <c r="B52" s="17" t="inlineStr">
        <is>
          <t>Art. 129, §13</t>
        </is>
      </c>
      <c r="C52" s="18" t="inlineStr">
        <is>
          <t>Lesão corporal gravíssima em violência doméstica contra mulher (hediondo)</t>
        </is>
      </c>
      <c r="D52" s="17" t="n">
        <v>24</v>
      </c>
      <c r="E52" s="17" t="n">
        <v>96</v>
      </c>
      <c r="F52" s="17" t="inlineStr">
        <is>
          <t>Reclusão</t>
        </is>
      </c>
      <c r="G52" s="17" t="inlineStr">
        <is>
          <t>Pública Incondicionada</t>
        </is>
      </c>
      <c r="H52" s="17" t="inlineStr">
        <is>
          <t>Sim</t>
        </is>
      </c>
      <c r="I52" s="17" t="inlineStr">
        <is>
          <t>Doloso</t>
        </is>
      </c>
      <c r="J52" s="17" t="inlineStr">
        <is>
          <t>Sim</t>
        </is>
      </c>
      <c r="K52" s="17" t="inlineStr">
        <is>
          <t>Sim</t>
        </is>
      </c>
      <c r="L52" s="17" t="inlineStr">
        <is>
          <t>Não</t>
        </is>
      </c>
      <c r="M52" s="17" t="inlineStr">
        <is>
          <t>Não</t>
        </is>
      </c>
      <c r="N52" s="17" t="inlineStr">
        <is>
          <t>Não</t>
        </is>
      </c>
      <c r="O52" s="17" t="inlineStr">
        <is>
          <t>Sim</t>
        </is>
      </c>
      <c r="P52" s="18" t="inlineStr">
        <is>
          <t>Hediondo se §2º (gravíssima) em contexto de violência doméstica contra mulher. Incluído pela Lei 14.188/2021</t>
        </is>
      </c>
    </row>
    <row r="53">
      <c r="A53" s="7" t="inlineStr">
        <is>
          <t>CP</t>
        </is>
      </c>
      <c r="B53" s="7" t="inlineStr">
        <is>
          <t>Art. 130</t>
        </is>
      </c>
      <c r="C53" s="16" t="inlineStr">
        <is>
          <t>Perigo de contágio venéreo</t>
        </is>
      </c>
      <c r="D53" s="7" t="n">
        <v>3</v>
      </c>
      <c r="E53" s="7" t="n">
        <v>12</v>
      </c>
      <c r="F53" s="7" t="inlineStr">
        <is>
          <t>Detenção</t>
        </is>
      </c>
      <c r="G53" s="7" t="inlineStr">
        <is>
          <t>Ação Penal Privada</t>
        </is>
      </c>
      <c r="H53" s="7" t="inlineStr">
        <is>
          <t>Não</t>
        </is>
      </c>
      <c r="I53" s="7" t="inlineStr">
        <is>
          <t>Doloso</t>
        </is>
      </c>
      <c r="J53" s="7" t="inlineStr">
        <is>
          <t>Sim</t>
        </is>
      </c>
      <c r="K53" s="7" t="inlineStr">
        <is>
          <t>Não</t>
        </is>
      </c>
      <c r="L53" s="7" t="inlineStr">
        <is>
          <t>Não</t>
        </is>
      </c>
      <c r="M53" s="7" t="inlineStr">
        <is>
          <t>Sim</t>
        </is>
      </c>
      <c r="N53" s="7" t="inlineStr">
        <is>
          <t>Sim</t>
        </is>
      </c>
      <c r="O53" s="7" t="inlineStr">
        <is>
          <t>Sim</t>
        </is>
      </c>
      <c r="P53" s="16" t="inlineStr">
        <is>
          <t>3 meses a 1 ano detenção ou multa. Expor alguém a contágio de moléstia venérea, por meio de relações sexuais ou qualquer ato libidinoso. Ação penal privada</t>
        </is>
      </c>
    </row>
    <row r="54">
      <c r="A54" s="7" t="inlineStr">
        <is>
          <t>CP</t>
        </is>
      </c>
      <c r="B54" s="7" t="inlineStr">
        <is>
          <t>Art. 131</t>
        </is>
      </c>
      <c r="C54" s="16" t="inlineStr">
        <is>
          <t>Perigo de contágio de moléstia grave</t>
        </is>
      </c>
      <c r="D54" s="7" t="n">
        <v>12</v>
      </c>
      <c r="E54" s="7" t="n">
        <v>48</v>
      </c>
      <c r="F54" s="7" t="inlineStr">
        <is>
          <t>Reclusão</t>
        </is>
      </c>
      <c r="G54" s="7" t="inlineStr">
        <is>
          <t>Pública Incondicionada</t>
        </is>
      </c>
      <c r="H54" s="7" t="inlineStr">
        <is>
          <t>Não</t>
        </is>
      </c>
      <c r="I54" s="7" t="inlineStr">
        <is>
          <t>Doloso</t>
        </is>
      </c>
      <c r="J54" s="7" t="inlineStr">
        <is>
          <t>Sim</t>
        </is>
      </c>
      <c r="K54" s="7" t="inlineStr">
        <is>
          <t>Não</t>
        </is>
      </c>
      <c r="L54" s="7" t="inlineStr">
        <is>
          <t>Não</t>
        </is>
      </c>
      <c r="M54" s="7" t="inlineStr">
        <is>
          <t>Sim</t>
        </is>
      </c>
      <c r="N54" s="7" t="inlineStr">
        <is>
          <t>Sim</t>
        </is>
      </c>
      <c r="O54" s="7" t="inlineStr">
        <is>
          <t>Sim</t>
        </is>
      </c>
      <c r="P54" s="16" t="inlineStr">
        <is>
          <t>1-4 anos reclusão + multa</t>
        </is>
      </c>
    </row>
    <row r="55">
      <c r="A55" s="7" t="inlineStr">
        <is>
          <t>CP</t>
        </is>
      </c>
      <c r="B55" s="7" t="inlineStr">
        <is>
          <t>Art. 132</t>
        </is>
      </c>
      <c r="C55" s="16" t="inlineStr">
        <is>
          <t>Perigo para a vida ou saúde de outrem</t>
        </is>
      </c>
      <c r="D55" s="7" t="n">
        <v>3</v>
      </c>
      <c r="E55" s="7" t="n">
        <v>12</v>
      </c>
      <c r="F55" s="7" t="inlineStr">
        <is>
          <t>Detenção</t>
        </is>
      </c>
      <c r="G55" s="7" t="inlineStr">
        <is>
          <t>Pública Incondicionada</t>
        </is>
      </c>
      <c r="H55" s="7" t="inlineStr">
        <is>
          <t>Não</t>
        </is>
      </c>
      <c r="I55" s="7" t="inlineStr">
        <is>
          <t>Doloso</t>
        </is>
      </c>
      <c r="J55" s="7" t="inlineStr">
        <is>
          <t>Sim</t>
        </is>
      </c>
      <c r="K55" s="7" t="inlineStr">
        <is>
          <t>Não</t>
        </is>
      </c>
      <c r="L55" s="7" t="inlineStr">
        <is>
          <t>Não</t>
        </is>
      </c>
      <c r="M55" s="7" t="inlineStr">
        <is>
          <t>Sim</t>
        </is>
      </c>
      <c r="N55" s="7" t="inlineStr">
        <is>
          <t>Sim</t>
        </is>
      </c>
      <c r="O55" s="7" t="inlineStr">
        <is>
          <t>Sim</t>
        </is>
      </c>
      <c r="P55" s="16" t="inlineStr">
        <is>
          <t>3 meses a 1 ano detenção. Expor a vida ou a saúde de outrem a perigo direto e iminente. §único: +1/6 a +1/3 se transporte de pessoas (Lei 9.777/98)</t>
        </is>
      </c>
    </row>
    <row r="56">
      <c r="A56" s="7" t="inlineStr">
        <is>
          <t>CP</t>
        </is>
      </c>
      <c r="B56" s="7" t="inlineStr">
        <is>
          <t>Art. 133, caput</t>
        </is>
      </c>
      <c r="C56" s="16" t="inlineStr">
        <is>
          <t>Abandono de incapaz</t>
        </is>
      </c>
      <c r="D56" s="7" t="n">
        <v>6</v>
      </c>
      <c r="E56" s="7" t="n">
        <v>36</v>
      </c>
      <c r="F56" s="7" t="inlineStr">
        <is>
          <t>Detenção</t>
        </is>
      </c>
      <c r="G56" s="7" t="inlineStr">
        <is>
          <t>Pública Incondicionada</t>
        </is>
      </c>
      <c r="H56" s="7" t="inlineStr">
        <is>
          <t>Não</t>
        </is>
      </c>
      <c r="I56" s="7" t="inlineStr">
        <is>
          <t>Doloso</t>
        </is>
      </c>
      <c r="J56" s="7" t="inlineStr">
        <is>
          <t>Sim</t>
        </is>
      </c>
      <c r="K56" s="7" t="inlineStr">
        <is>
          <t>Não</t>
        </is>
      </c>
      <c r="L56" s="7" t="inlineStr">
        <is>
          <t>Não</t>
        </is>
      </c>
      <c r="M56" s="7" t="inlineStr">
        <is>
          <t>Sim</t>
        </is>
      </c>
      <c r="N56" s="7" t="inlineStr">
        <is>
          <t>Sim</t>
        </is>
      </c>
      <c r="O56" s="7" t="inlineStr">
        <is>
          <t>Sim</t>
        </is>
      </c>
      <c r="P56" s="16" t="inlineStr">
        <is>
          <t>6 meses a 3 anos detenção</t>
        </is>
      </c>
    </row>
    <row r="57">
      <c r="A57" s="7" t="inlineStr">
        <is>
          <t>CP</t>
        </is>
      </c>
      <c r="B57" s="7" t="inlineStr">
        <is>
          <t>Art. 133, §1º</t>
        </is>
      </c>
      <c r="C57" s="16" t="inlineStr">
        <is>
          <t>Abandono de incapaz com resultado lesão grave</t>
        </is>
      </c>
      <c r="D57" s="7" t="n">
        <v>12</v>
      </c>
      <c r="E57" s="7" t="n">
        <v>60</v>
      </c>
      <c r="F57" s="7" t="inlineStr">
        <is>
          <t>Reclusão</t>
        </is>
      </c>
      <c r="G57" s="7" t="inlineStr">
        <is>
          <t>Pública Incondicionada</t>
        </is>
      </c>
      <c r="H57" s="7" t="inlineStr">
        <is>
          <t>Não</t>
        </is>
      </c>
      <c r="I57" s="7" t="inlineStr">
        <is>
          <t>Preterdoloso</t>
        </is>
      </c>
      <c r="J57" s="7" t="inlineStr">
        <is>
          <t>Não</t>
        </is>
      </c>
      <c r="K57" s="7" t="inlineStr">
        <is>
          <t>Não</t>
        </is>
      </c>
      <c r="L57" s="7" t="inlineStr">
        <is>
          <t>Não</t>
        </is>
      </c>
      <c r="M57" s="7" t="inlineStr">
        <is>
          <t>Sim</t>
        </is>
      </c>
      <c r="N57" s="7" t="inlineStr">
        <is>
          <t>Sim</t>
        </is>
      </c>
      <c r="O57" s="7" t="inlineStr">
        <is>
          <t>Sim</t>
        </is>
      </c>
      <c r="P57" s="16" t="inlineStr">
        <is>
          <t>1-5 anos reclusão se resulta lesão corporal de natureza grave</t>
        </is>
      </c>
    </row>
    <row r="58">
      <c r="A58" s="7" t="inlineStr">
        <is>
          <t>CP</t>
        </is>
      </c>
      <c r="B58" s="7" t="inlineStr">
        <is>
          <t>Art. 133, §2º</t>
        </is>
      </c>
      <c r="C58" s="16" t="inlineStr">
        <is>
          <t>Abandono de incapaz com resultado morte</t>
        </is>
      </c>
      <c r="D58" s="7" t="n">
        <v>48</v>
      </c>
      <c r="E58" s="7" t="n">
        <v>144</v>
      </c>
      <c r="F58" s="7" t="inlineStr">
        <is>
          <t>Reclusão</t>
        </is>
      </c>
      <c r="G58" s="7" t="inlineStr">
        <is>
          <t>Pública Incondicionada</t>
        </is>
      </c>
      <c r="H58" s="7" t="inlineStr">
        <is>
          <t>Não</t>
        </is>
      </c>
      <c r="I58" s="7" t="inlineStr">
        <is>
          <t>Preterdoloso</t>
        </is>
      </c>
      <c r="J58" s="7" t="inlineStr">
        <is>
          <t>Não</t>
        </is>
      </c>
      <c r="K58" s="7" t="inlineStr">
        <is>
          <t>Não</t>
        </is>
      </c>
      <c r="L58" s="7" t="inlineStr">
        <is>
          <t>Não</t>
        </is>
      </c>
      <c r="M58" s="7" t="inlineStr">
        <is>
          <t>Não</t>
        </is>
      </c>
      <c r="N58" s="7" t="inlineStr">
        <is>
          <t>Não</t>
        </is>
      </c>
      <c r="O58" s="7" t="inlineStr">
        <is>
          <t>Verificar</t>
        </is>
      </c>
      <c r="P58" s="16" t="inlineStr">
        <is>
          <t>4-12 anos reclusão se resulta morte</t>
        </is>
      </c>
    </row>
    <row r="59">
      <c r="A59" s="7" t="inlineStr">
        <is>
          <t>CP</t>
        </is>
      </c>
      <c r="B59" s="7" t="inlineStr">
        <is>
          <t>Art. 133, §3º</t>
        </is>
      </c>
      <c r="C59" s="16" t="inlineStr">
        <is>
          <t>Abandono de incapaz com aumento de 1/3 (ascendente/tutor/curador)</t>
        </is>
      </c>
      <c r="D59" s="7" t="n">
        <v>8</v>
      </c>
      <c r="E59" s="7" t="n">
        <v>48</v>
      </c>
      <c r="F59" s="7" t="inlineStr">
        <is>
          <t>Detenção</t>
        </is>
      </c>
      <c r="G59" s="7" t="inlineStr">
        <is>
          <t>Pública Incondicionada</t>
        </is>
      </c>
      <c r="H59" s="7" t="inlineStr">
        <is>
          <t>Não</t>
        </is>
      </c>
      <c r="I59" s="7" t="inlineStr">
        <is>
          <t>Doloso</t>
        </is>
      </c>
      <c r="J59" s="7" t="inlineStr">
        <is>
          <t>Sim</t>
        </is>
      </c>
      <c r="K59" s="7" t="inlineStr">
        <is>
          <t>Não</t>
        </is>
      </c>
      <c r="L59" s="7" t="inlineStr">
        <is>
          <t>Não</t>
        </is>
      </c>
      <c r="M59" s="7" t="inlineStr">
        <is>
          <t>Sim</t>
        </is>
      </c>
      <c r="N59" s="7" t="inlineStr">
        <is>
          <t>Sim</t>
        </is>
      </c>
      <c r="O59" s="7" t="inlineStr">
        <is>
          <t>Sim</t>
        </is>
      </c>
      <c r="P59" s="16" t="inlineStr">
        <is>
          <t>Aumento de 1/3 se ascendente, tutor, curador, guarda ou vigilante</t>
        </is>
      </c>
    </row>
    <row r="60">
      <c r="A60" s="7" t="inlineStr">
        <is>
          <t>CP</t>
        </is>
      </c>
      <c r="B60" s="7" t="inlineStr">
        <is>
          <t>Art. 134, caput</t>
        </is>
      </c>
      <c r="C60" s="16" t="inlineStr">
        <is>
          <t>Exposição ou abandono de recém-nascido</t>
        </is>
      </c>
      <c r="D60" s="7" t="n">
        <v>6</v>
      </c>
      <c r="E60" s="7" t="n">
        <v>24</v>
      </c>
      <c r="F60" s="7" t="inlineStr">
        <is>
          <t>Detenção</t>
        </is>
      </c>
      <c r="G60" s="7" t="inlineStr">
        <is>
          <t>Pública Incondicionada</t>
        </is>
      </c>
      <c r="H60" s="7" t="inlineStr">
        <is>
          <t>Não</t>
        </is>
      </c>
      <c r="I60" s="7" t="inlineStr">
        <is>
          <t>Doloso</t>
        </is>
      </c>
      <c r="J60" s="7" t="inlineStr">
        <is>
          <t>Sim</t>
        </is>
      </c>
      <c r="K60" s="7" t="inlineStr">
        <is>
          <t>Não</t>
        </is>
      </c>
      <c r="L60" s="7" t="inlineStr">
        <is>
          <t>Não</t>
        </is>
      </c>
      <c r="M60" s="7" t="inlineStr">
        <is>
          <t>Sim</t>
        </is>
      </c>
      <c r="N60" s="7" t="inlineStr">
        <is>
          <t>Sim</t>
        </is>
      </c>
      <c r="O60" s="7" t="inlineStr">
        <is>
          <t>Sim</t>
        </is>
      </c>
      <c r="P60" s="16" t="inlineStr">
        <is>
          <t>6 meses a 2 anos detenção. Para ocultar desonra própria. §1º: +1/3 se resulta lesão grave. §2º: dobro se resulta morte</t>
        </is>
      </c>
    </row>
    <row r="61">
      <c r="A61" s="7" t="inlineStr">
        <is>
          <t>CP</t>
        </is>
      </c>
      <c r="B61" s="7" t="inlineStr">
        <is>
          <t>Art. 135</t>
        </is>
      </c>
      <c r="C61" s="16" t="inlineStr">
        <is>
          <t>Omissão de socorro</t>
        </is>
      </c>
      <c r="D61" s="7" t="n">
        <v>1</v>
      </c>
      <c r="E61" s="7" t="n">
        <v>6</v>
      </c>
      <c r="F61" s="7" t="inlineStr">
        <is>
          <t>Detenção</t>
        </is>
      </c>
      <c r="G61" s="7" t="inlineStr">
        <is>
          <t>Pública Incondicionada</t>
        </is>
      </c>
      <c r="H61" s="7" t="inlineStr">
        <is>
          <t>Não</t>
        </is>
      </c>
      <c r="I61" s="7" t="inlineStr">
        <is>
          <t>Doloso</t>
        </is>
      </c>
      <c r="J61" s="7" t="inlineStr">
        <is>
          <t>Não</t>
        </is>
      </c>
      <c r="K61" s="7" t="inlineStr">
        <is>
          <t>Não</t>
        </is>
      </c>
      <c r="L61" s="7" t="inlineStr">
        <is>
          <t>Não</t>
        </is>
      </c>
      <c r="M61" s="7" t="inlineStr">
        <is>
          <t>Sim</t>
        </is>
      </c>
      <c r="N61" s="7" t="inlineStr">
        <is>
          <t>Sim</t>
        </is>
      </c>
      <c r="O61" s="7" t="inlineStr">
        <is>
          <t>Sim</t>
        </is>
      </c>
      <c r="P61" s="16" t="inlineStr">
        <is>
          <t>1-6 meses detenção ou multa. Crime omissivo próprio (não admite tentativa). Aumento de metade se resulta lesão grave; triplicada se resulta morte</t>
        </is>
      </c>
    </row>
    <row r="62">
      <c r="A62" s="7" t="inlineStr">
        <is>
          <t>CP</t>
        </is>
      </c>
      <c r="B62" s="7" t="inlineStr">
        <is>
          <t>Art. 135-A</t>
        </is>
      </c>
      <c r="C62" s="16" t="inlineStr">
        <is>
          <t>Condicionamento de atendimento médico-hospitalar emergencial</t>
        </is>
      </c>
      <c r="D62" s="7" t="n">
        <v>3</v>
      </c>
      <c r="E62" s="7" t="n">
        <v>12</v>
      </c>
      <c r="F62" s="7" t="inlineStr">
        <is>
          <t>Detenção</t>
        </is>
      </c>
      <c r="G62" s="7" t="inlineStr">
        <is>
          <t>Pública Incondicionada</t>
        </is>
      </c>
      <c r="H62" s="7" t="inlineStr">
        <is>
          <t>Não</t>
        </is>
      </c>
      <c r="I62" s="7" t="inlineStr">
        <is>
          <t>Doloso</t>
        </is>
      </c>
      <c r="J62" s="7" t="inlineStr">
        <is>
          <t>Sim</t>
        </is>
      </c>
      <c r="K62" s="7" t="inlineStr">
        <is>
          <t>Não</t>
        </is>
      </c>
      <c r="L62" s="7" t="inlineStr">
        <is>
          <t>Não</t>
        </is>
      </c>
      <c r="M62" s="7" t="inlineStr">
        <is>
          <t>Sim</t>
        </is>
      </c>
      <c r="N62" s="7" t="inlineStr">
        <is>
          <t>Sim</t>
        </is>
      </c>
      <c r="O62" s="7" t="inlineStr">
        <is>
          <t>Sim</t>
        </is>
      </c>
      <c r="P62" s="16" t="inlineStr">
        <is>
          <t>3 meses a 1 ano detenção + multa. Exigir cheque-caução, nota promissória ou qualquer garantia como condição para atendimento (Lei 12.653/2012). +1/3 se lesão grave; dobro se morte</t>
        </is>
      </c>
    </row>
    <row r="63">
      <c r="A63" s="26" t="inlineStr">
        <is>
          <t>CP</t>
        </is>
      </c>
      <c r="B63" s="26" t="inlineStr">
        <is>
          <t>Art. 136, caput</t>
        </is>
      </c>
      <c r="C63" s="27" t="inlineStr">
        <is>
          <t>Maus-tratos</t>
        </is>
      </c>
      <c r="D63" s="26" t="n">
        <v>2</v>
      </c>
      <c r="E63" s="26" t="n">
        <v>12</v>
      </c>
      <c r="F63" s="26" t="inlineStr">
        <is>
          <t>Detenção</t>
        </is>
      </c>
      <c r="G63" s="26" t="inlineStr">
        <is>
          <t>Pública Incondicionada</t>
        </is>
      </c>
      <c r="H63" s="26" t="inlineStr">
        <is>
          <t>Não</t>
        </is>
      </c>
      <c r="I63" s="26" t="inlineStr">
        <is>
          <t>Doloso</t>
        </is>
      </c>
      <c r="J63" s="26" t="inlineStr">
        <is>
          <t>Sim</t>
        </is>
      </c>
      <c r="K63" s="26" t="inlineStr">
        <is>
          <t>Sim</t>
        </is>
      </c>
      <c r="L63" s="26" t="inlineStr">
        <is>
          <t>Não</t>
        </is>
      </c>
      <c r="M63" s="26" t="inlineStr">
        <is>
          <t>Não</t>
        </is>
      </c>
      <c r="N63" s="26" t="inlineStr">
        <is>
          <t>Sim</t>
        </is>
      </c>
      <c r="O63" s="26" t="inlineStr">
        <is>
          <t>Sim</t>
        </is>
      </c>
      <c r="P63" s="27" t="inlineStr">
        <is>
          <t>2 meses a 1 ano detenção ou multa. Expor a perigo a vida ou a saúde de pessoa sob autoridade, guarda ou vigilância, para fins de educação, ensino, tratamento ou custódia</t>
        </is>
      </c>
    </row>
    <row r="64">
      <c r="A64" s="26" t="inlineStr">
        <is>
          <t>CP</t>
        </is>
      </c>
      <c r="B64" s="26" t="inlineStr">
        <is>
          <t>Art. 136, §1º</t>
        </is>
      </c>
      <c r="C64" s="27" t="inlineStr">
        <is>
          <t>Maus-tratos com resultado lesão grave</t>
        </is>
      </c>
      <c r="D64" s="26" t="n">
        <v>12</v>
      </c>
      <c r="E64" s="26" t="n">
        <v>48</v>
      </c>
      <c r="F64" s="26" t="inlineStr">
        <is>
          <t>Reclusão</t>
        </is>
      </c>
      <c r="G64" s="26" t="inlineStr">
        <is>
          <t>Pública Incondicionada</t>
        </is>
      </c>
      <c r="H64" s="26" t="inlineStr">
        <is>
          <t>Não</t>
        </is>
      </c>
      <c r="I64" s="26" t="inlineStr">
        <is>
          <t>Preterdoloso</t>
        </is>
      </c>
      <c r="J64" s="26" t="inlineStr">
        <is>
          <t>Não</t>
        </is>
      </c>
      <c r="K64" s="26" t="inlineStr">
        <is>
          <t>Sim</t>
        </is>
      </c>
      <c r="L64" s="26" t="inlineStr">
        <is>
          <t>Não</t>
        </is>
      </c>
      <c r="M64" s="26" t="inlineStr">
        <is>
          <t>Não</t>
        </is>
      </c>
      <c r="N64" s="26" t="inlineStr">
        <is>
          <t>Sim</t>
        </is>
      </c>
      <c r="O64" s="26" t="inlineStr">
        <is>
          <t>Sim</t>
        </is>
      </c>
      <c r="P64" s="27" t="inlineStr">
        <is>
          <t>1-4 anos reclusão se resulta lesão corporal de natureza grave</t>
        </is>
      </c>
    </row>
    <row r="65">
      <c r="A65" s="26" t="inlineStr">
        <is>
          <t>CP</t>
        </is>
      </c>
      <c r="B65" s="26" t="inlineStr">
        <is>
          <t>Art. 136, §2º</t>
        </is>
      </c>
      <c r="C65" s="27" t="inlineStr">
        <is>
          <t>Maus-tratos com resultado morte</t>
        </is>
      </c>
      <c r="D65" s="26" t="n">
        <v>48</v>
      </c>
      <c r="E65" s="26" t="n">
        <v>144</v>
      </c>
      <c r="F65" s="26" t="inlineStr">
        <is>
          <t>Reclusão</t>
        </is>
      </c>
      <c r="G65" s="26" t="inlineStr">
        <is>
          <t>Pública Incondicionada</t>
        </is>
      </c>
      <c r="H65" s="26" t="inlineStr">
        <is>
          <t>Não</t>
        </is>
      </c>
      <c r="I65" s="26" t="inlineStr">
        <is>
          <t>Preterdoloso</t>
        </is>
      </c>
      <c r="J65" s="26" t="inlineStr">
        <is>
          <t>Não</t>
        </is>
      </c>
      <c r="K65" s="26" t="inlineStr">
        <is>
          <t>Sim</t>
        </is>
      </c>
      <c r="L65" s="26" t="inlineStr">
        <is>
          <t>Não</t>
        </is>
      </c>
      <c r="M65" s="26" t="inlineStr">
        <is>
          <t>Não</t>
        </is>
      </c>
      <c r="N65" s="26" t="inlineStr">
        <is>
          <t>Não</t>
        </is>
      </c>
      <c r="O65" s="26" t="inlineStr">
        <is>
          <t>Verificar</t>
        </is>
      </c>
      <c r="P65" s="27" t="inlineStr">
        <is>
          <t>4-12 anos reclusão se resulta morte</t>
        </is>
      </c>
    </row>
    <row r="66">
      <c r="A66" s="26" t="inlineStr">
        <is>
          <t>CP</t>
        </is>
      </c>
      <c r="B66" s="26" t="inlineStr">
        <is>
          <t>Art. 136, §3º</t>
        </is>
      </c>
      <c r="C66" s="27" t="inlineStr">
        <is>
          <t>Maus-tratos com aumento de 1/3 (contra menor de 14 anos)</t>
        </is>
      </c>
      <c r="D66" s="26" t="n">
        <v>3</v>
      </c>
      <c r="E66" s="26" t="n">
        <v>16</v>
      </c>
      <c r="F66" s="26" t="inlineStr">
        <is>
          <t>Detenção</t>
        </is>
      </c>
      <c r="G66" s="26" t="inlineStr">
        <is>
          <t>Pública Incondicionada</t>
        </is>
      </c>
      <c r="H66" s="26" t="inlineStr">
        <is>
          <t>Não</t>
        </is>
      </c>
      <c r="I66" s="26" t="inlineStr">
        <is>
          <t>Doloso</t>
        </is>
      </c>
      <c r="J66" s="26" t="inlineStr">
        <is>
          <t>Sim</t>
        </is>
      </c>
      <c r="K66" s="26" t="inlineStr">
        <is>
          <t>Sim</t>
        </is>
      </c>
      <c r="L66" s="26" t="inlineStr">
        <is>
          <t>Não</t>
        </is>
      </c>
      <c r="M66" s="26" t="inlineStr">
        <is>
          <t>Não</t>
        </is>
      </c>
      <c r="N66" s="26" t="inlineStr">
        <is>
          <t>Sim</t>
        </is>
      </c>
      <c r="O66" s="26" t="inlineStr">
        <is>
          <t>Sim</t>
        </is>
      </c>
      <c r="P66" s="27" t="inlineStr">
        <is>
          <t>Aumento de 1/3 sobre caput/§§ se contra pessoa menor de 14 anos (incluído pela Lei 8.069/90)</t>
        </is>
      </c>
    </row>
    <row r="67">
      <c r="A67" s="7" t="inlineStr">
        <is>
          <t>CP</t>
        </is>
      </c>
      <c r="B67" s="7" t="inlineStr">
        <is>
          <t>Art. 138, caput</t>
        </is>
      </c>
      <c r="C67" s="16" t="inlineStr">
        <is>
          <t>Calúnia</t>
        </is>
      </c>
      <c r="D67" s="7" t="n">
        <v>6</v>
      </c>
      <c r="E67" s="7" t="n">
        <v>24</v>
      </c>
      <c r="F67" s="7" t="inlineStr">
        <is>
          <t>Detenção</t>
        </is>
      </c>
      <c r="G67" s="7" t="inlineStr">
        <is>
          <t>Ação Penal Privada</t>
        </is>
      </c>
      <c r="H67" s="7" t="inlineStr">
        <is>
          <t>Não</t>
        </is>
      </c>
      <c r="I67" s="7" t="inlineStr">
        <is>
          <t>Doloso</t>
        </is>
      </c>
      <c r="J67" s="7" t="inlineStr">
        <is>
          <t>Sim</t>
        </is>
      </c>
      <c r="K67" s="7" t="inlineStr">
        <is>
          <t>Não</t>
        </is>
      </c>
      <c r="L67" s="7" t="inlineStr">
        <is>
          <t>Não</t>
        </is>
      </c>
      <c r="M67" s="7" t="inlineStr">
        <is>
          <t>Sim</t>
        </is>
      </c>
      <c r="N67" s="7" t="inlineStr">
        <is>
          <t>Sim</t>
        </is>
      </c>
      <c r="O67" s="7" t="inlineStr">
        <is>
          <t>Sim</t>
        </is>
      </c>
      <c r="P67" s="16" t="inlineStr">
        <is>
          <t>6 meses a 2 anos detenção + multa. Imputar falsamente fato definido como crime. §1º: mesma pena para quem propala/divulga. §2º: contra mortos (os herdeiros podem agir)</t>
        </is>
      </c>
    </row>
    <row r="68">
      <c r="A68" s="7" t="inlineStr">
        <is>
          <t>CP</t>
        </is>
      </c>
      <c r="B68" s="7" t="inlineStr">
        <is>
          <t>Art. 139</t>
        </is>
      </c>
      <c r="C68" s="16" t="inlineStr">
        <is>
          <t>Difamação</t>
        </is>
      </c>
      <c r="D68" s="7" t="n">
        <v>3</v>
      </c>
      <c r="E68" s="7" t="n">
        <v>12</v>
      </c>
      <c r="F68" s="7" t="inlineStr">
        <is>
          <t>Detenção</t>
        </is>
      </c>
      <c r="G68" s="7" t="inlineStr">
        <is>
          <t>Ação Penal Privada</t>
        </is>
      </c>
      <c r="H68" s="7" t="inlineStr">
        <is>
          <t>Não</t>
        </is>
      </c>
      <c r="I68" s="7" t="inlineStr">
        <is>
          <t>Doloso</t>
        </is>
      </c>
      <c r="J68" s="7" t="inlineStr">
        <is>
          <t>Sim</t>
        </is>
      </c>
      <c r="K68" s="7" t="inlineStr">
        <is>
          <t>Não</t>
        </is>
      </c>
      <c r="L68" s="7" t="inlineStr">
        <is>
          <t>Não</t>
        </is>
      </c>
      <c r="M68" s="7" t="inlineStr">
        <is>
          <t>Sim</t>
        </is>
      </c>
      <c r="N68" s="7" t="inlineStr">
        <is>
          <t>Sim</t>
        </is>
      </c>
      <c r="O68" s="7" t="inlineStr">
        <is>
          <t>Sim</t>
        </is>
      </c>
      <c r="P68" s="16" t="inlineStr">
        <is>
          <t>3 meses a 1 ano detenção + multa. Imputar fato ofensivo à reputação. §único: exceção da verdade somente se ofendido é funcionário público e o fato se refere ao exercício das funções</t>
        </is>
      </c>
    </row>
    <row r="69">
      <c r="A69" s="7" t="inlineStr">
        <is>
          <t>CP</t>
        </is>
      </c>
      <c r="B69" s="7" t="inlineStr">
        <is>
          <t>Art. 140, caput</t>
        </is>
      </c>
      <c r="C69" s="16" t="inlineStr">
        <is>
          <t>Injúria simples</t>
        </is>
      </c>
      <c r="D69" s="7" t="n">
        <v>1</v>
      </c>
      <c r="E69" s="7" t="n">
        <v>6</v>
      </c>
      <c r="F69" s="7" t="inlineStr">
        <is>
          <t>Detenção</t>
        </is>
      </c>
      <c r="G69" s="7" t="inlineStr">
        <is>
          <t>Ação Penal Privada</t>
        </is>
      </c>
      <c r="H69" s="7" t="inlineStr">
        <is>
          <t>Não</t>
        </is>
      </c>
      <c r="I69" s="7" t="inlineStr">
        <is>
          <t>Doloso</t>
        </is>
      </c>
      <c r="J69" s="7" t="inlineStr">
        <is>
          <t>Sim</t>
        </is>
      </c>
      <c r="K69" s="7" t="inlineStr">
        <is>
          <t>Não</t>
        </is>
      </c>
      <c r="L69" s="7" t="inlineStr">
        <is>
          <t>Não</t>
        </is>
      </c>
      <c r="M69" s="7" t="inlineStr">
        <is>
          <t>Sim</t>
        </is>
      </c>
      <c r="N69" s="7" t="inlineStr">
        <is>
          <t>Sim</t>
        </is>
      </c>
      <c r="O69" s="7" t="inlineStr">
        <is>
          <t>Sim</t>
        </is>
      </c>
      <c r="P69" s="16" t="inlineStr">
        <is>
          <t>1-6 meses detenção ou multa. Ofender a dignidade ou o decoro</t>
        </is>
      </c>
    </row>
    <row r="70">
      <c r="A70" s="26" t="inlineStr">
        <is>
          <t>CP</t>
        </is>
      </c>
      <c r="B70" s="26" t="inlineStr">
        <is>
          <t>Art. 140, §2º</t>
        </is>
      </c>
      <c r="C70" s="27" t="inlineStr">
        <is>
          <t>Injúria real (com emprego de violência/vias de fato aviltantes)</t>
        </is>
      </c>
      <c r="D70" s="26" t="n">
        <v>3</v>
      </c>
      <c r="E70" s="26" t="n">
        <v>12</v>
      </c>
      <c r="F70" s="26" t="inlineStr">
        <is>
          <t>Detenção</t>
        </is>
      </c>
      <c r="G70" s="26" t="inlineStr">
        <is>
          <t>Ação Penal Privada</t>
        </is>
      </c>
      <c r="H70" s="26" t="inlineStr">
        <is>
          <t>Não</t>
        </is>
      </c>
      <c r="I70" s="26" t="inlineStr">
        <is>
          <t>Doloso</t>
        </is>
      </c>
      <c r="J70" s="26" t="inlineStr">
        <is>
          <t>Sim</t>
        </is>
      </c>
      <c r="K70" s="26" t="inlineStr">
        <is>
          <t>Sim</t>
        </is>
      </c>
      <c r="L70" s="26" t="inlineStr">
        <is>
          <t>Não</t>
        </is>
      </c>
      <c r="M70" s="26" t="inlineStr">
        <is>
          <t>Não</t>
        </is>
      </c>
      <c r="N70" s="26" t="inlineStr">
        <is>
          <t>Sim</t>
        </is>
      </c>
      <c r="O70" s="26" t="inlineStr">
        <is>
          <t>Sim</t>
        </is>
      </c>
      <c r="P70" s="27" t="inlineStr">
        <is>
          <t>3 meses a 1 ano detenção + multa, além da pena correspondente à violência</t>
        </is>
      </c>
    </row>
    <row r="71">
      <c r="A71" s="7" t="inlineStr">
        <is>
          <t>CP</t>
        </is>
      </c>
      <c r="B71" s="7" t="inlineStr">
        <is>
          <t>Art. 140, §3º</t>
        </is>
      </c>
      <c r="C71" s="16" t="inlineStr">
        <is>
          <t>Injúria racial</t>
        </is>
      </c>
      <c r="D71" s="7" t="n">
        <v>24</v>
      </c>
      <c r="E71" s="7" t="n">
        <v>60</v>
      </c>
      <c r="F71" s="7" t="inlineStr">
        <is>
          <t>Reclusão</t>
        </is>
      </c>
      <c r="G71" s="7" t="inlineStr">
        <is>
          <t>Pública Condicionada</t>
        </is>
      </c>
      <c r="H71" s="7" t="inlineStr">
        <is>
          <t>Não</t>
        </is>
      </c>
      <c r="I71" s="7" t="inlineStr">
        <is>
          <t>Doloso</t>
        </is>
      </c>
      <c r="J71" s="7" t="inlineStr">
        <is>
          <t>Sim</t>
        </is>
      </c>
      <c r="K71" s="7" t="inlineStr">
        <is>
          <t>Não</t>
        </is>
      </c>
      <c r="L71" s="7" t="inlineStr">
        <is>
          <t>Não</t>
        </is>
      </c>
      <c r="M71" s="7" t="inlineStr">
        <is>
          <t>Sim</t>
        </is>
      </c>
      <c r="N71" s="7" t="inlineStr">
        <is>
          <t>Não</t>
        </is>
      </c>
      <c r="O71" s="7" t="inlineStr">
        <is>
          <t>Sim</t>
        </is>
      </c>
      <c r="P71" s="16" t="inlineStr">
        <is>
          <t>2-5 anos reclusão + multa. Injúria consistente na utilização de elementos referentes a raça, cor, etnia, religião, origem, condição de pessoa idosa ou com deficiência. Equiparada a racismo (Lei 14.532/2023). Imprescritível e inafiançável</t>
        </is>
      </c>
    </row>
    <row r="72">
      <c r="A72" s="7" t="inlineStr">
        <is>
          <t>CP</t>
        </is>
      </c>
      <c r="B72" s="7" t="inlineStr">
        <is>
          <t>Art. 141, III</t>
        </is>
      </c>
      <c r="C72" s="16" t="inlineStr">
        <is>
          <t>Crimes contra honra com aumento de 1/3 (meios que facilitam divulgação)</t>
        </is>
      </c>
      <c r="D72" s="7" t="n">
        <v>1</v>
      </c>
      <c r="E72" s="7" t="n">
        <v>8</v>
      </c>
      <c r="F72" s="7" t="inlineStr">
        <is>
          <t>Detenção</t>
        </is>
      </c>
      <c r="G72" s="7" t="inlineStr">
        <is>
          <t>Ação Penal Privada</t>
        </is>
      </c>
      <c r="H72" s="7" t="inlineStr">
        <is>
          <t>Não</t>
        </is>
      </c>
      <c r="I72" s="7" t="inlineStr">
        <is>
          <t>Doloso</t>
        </is>
      </c>
      <c r="J72" s="7" t="inlineStr">
        <is>
          <t>Sim</t>
        </is>
      </c>
      <c r="K72" s="7" t="inlineStr">
        <is>
          <t>Não</t>
        </is>
      </c>
      <c r="L72" s="7" t="inlineStr">
        <is>
          <t>Não</t>
        </is>
      </c>
      <c r="M72" s="7" t="inlineStr">
        <is>
          <t>Sim</t>
        </is>
      </c>
      <c r="N72" s="7" t="inlineStr">
        <is>
          <t>Sim</t>
        </is>
      </c>
      <c r="O72" s="7" t="inlineStr">
        <is>
          <t>Sim</t>
        </is>
      </c>
      <c r="P72" s="16" t="inlineStr">
        <is>
          <t>Aumento de 1/3 se a injúria/calúnia/difamação é cometida na presença de várias pessoas ou por meio que facilite divulgação (internet, redes sociais)</t>
        </is>
      </c>
    </row>
    <row r="73">
      <c r="A73" s="7" t="inlineStr">
        <is>
          <t>CP</t>
        </is>
      </c>
      <c r="B73" s="7" t="inlineStr">
        <is>
          <t>Art. 141, §2º</t>
        </is>
      </c>
      <c r="C73" s="16" t="inlineStr">
        <is>
          <t>Crimes contra honra de funcionário público (aumento de 1/3, ação pública condicionada)</t>
        </is>
      </c>
      <c r="D73" s="7" t="n">
        <v>1</v>
      </c>
      <c r="E73" s="7" t="n">
        <v>8</v>
      </c>
      <c r="F73" s="7" t="inlineStr">
        <is>
          <t>Detenção</t>
        </is>
      </c>
      <c r="G73" s="7" t="inlineStr">
        <is>
          <t>Pública Condicionada</t>
        </is>
      </c>
      <c r="H73" s="7" t="inlineStr">
        <is>
          <t>Não</t>
        </is>
      </c>
      <c r="I73" s="7" t="inlineStr">
        <is>
          <t>Doloso</t>
        </is>
      </c>
      <c r="J73" s="7" t="inlineStr">
        <is>
          <t>Sim</t>
        </is>
      </c>
      <c r="K73" s="7" t="inlineStr">
        <is>
          <t>Não</t>
        </is>
      </c>
      <c r="L73" s="7" t="inlineStr">
        <is>
          <t>Não</t>
        </is>
      </c>
      <c r="M73" s="7" t="inlineStr">
        <is>
          <t>Sim</t>
        </is>
      </c>
      <c r="N73" s="7" t="inlineStr">
        <is>
          <t>Sim</t>
        </is>
      </c>
      <c r="O73" s="7" t="inlineStr">
        <is>
          <t>Sim</t>
        </is>
      </c>
      <c r="P73" s="16" t="inlineStr">
        <is>
          <t>Aumento de 1/3 contra funcionário público em razão de suas funções. Muda a ação penal: pública condicionada à representação</t>
        </is>
      </c>
    </row>
    <row r="74">
      <c r="A74" s="26" t="inlineStr">
        <is>
          <t>CP</t>
        </is>
      </c>
      <c r="B74" s="26" t="inlineStr">
        <is>
          <t>Art. 146</t>
        </is>
      </c>
      <c r="C74" s="27" t="inlineStr">
        <is>
          <t>Constrangimento ilegal</t>
        </is>
      </c>
      <c r="D74" s="26" t="n">
        <v>3</v>
      </c>
      <c r="E74" s="26" t="n">
        <v>12</v>
      </c>
      <c r="F74" s="26" t="inlineStr">
        <is>
          <t>Detenção</t>
        </is>
      </c>
      <c r="G74" s="26" t="inlineStr">
        <is>
          <t>Pública Incondicionada</t>
        </is>
      </c>
      <c r="H74" s="26" t="inlineStr">
        <is>
          <t>Não</t>
        </is>
      </c>
      <c r="I74" s="26" t="inlineStr">
        <is>
          <t>Doloso</t>
        </is>
      </c>
      <c r="J74" s="26" t="inlineStr">
        <is>
          <t>Sim</t>
        </is>
      </c>
      <c r="K74" s="26" t="inlineStr">
        <is>
          <t>Sim</t>
        </is>
      </c>
      <c r="L74" s="26" t="inlineStr">
        <is>
          <t>Sim</t>
        </is>
      </c>
      <c r="M74" s="26" t="inlineStr">
        <is>
          <t>Não</t>
        </is>
      </c>
      <c r="N74" s="26" t="inlineStr">
        <is>
          <t>Sim</t>
        </is>
      </c>
      <c r="O74" s="26" t="inlineStr">
        <is>
          <t>Sim</t>
        </is>
      </c>
      <c r="P74" s="27" t="inlineStr">
        <is>
          <t>3 meses a 1 ano detenção ou multa. Constranger alguém, mediante violência ou grave ameaça, ou depois de lhe haver reduzido a capacidade de resistência, a não fazer o que a lei permite, ou a fazer o que ela não manda</t>
        </is>
      </c>
    </row>
    <row r="75">
      <c r="A75" s="26" t="inlineStr">
        <is>
          <t>CP</t>
        </is>
      </c>
      <c r="B75" s="26" t="inlineStr">
        <is>
          <t>Art. 147</t>
        </is>
      </c>
      <c r="C75" s="27" t="inlineStr">
        <is>
          <t>Ameaça</t>
        </is>
      </c>
      <c r="D75" s="26" t="n">
        <v>1</v>
      </c>
      <c r="E75" s="26" t="n">
        <v>6</v>
      </c>
      <c r="F75" s="26" t="inlineStr">
        <is>
          <t>Detenção</t>
        </is>
      </c>
      <c r="G75" s="26" t="inlineStr">
        <is>
          <t>Pública Condicionada</t>
        </is>
      </c>
      <c r="H75" s="26" t="inlineStr">
        <is>
          <t>Não</t>
        </is>
      </c>
      <c r="I75" s="26" t="inlineStr">
        <is>
          <t>Doloso</t>
        </is>
      </c>
      <c r="J75" s="26" t="inlineStr">
        <is>
          <t>Sim</t>
        </is>
      </c>
      <c r="K75" s="26" t="inlineStr">
        <is>
          <t>Não</t>
        </is>
      </c>
      <c r="L75" s="26" t="inlineStr">
        <is>
          <t>Sim</t>
        </is>
      </c>
      <c r="M75" s="26" t="inlineStr">
        <is>
          <t>Não</t>
        </is>
      </c>
      <c r="N75" s="26" t="inlineStr">
        <is>
          <t>Sim</t>
        </is>
      </c>
      <c r="O75" s="26" t="inlineStr">
        <is>
          <t>Sim</t>
        </is>
      </c>
      <c r="P75" s="27" t="inlineStr">
        <is>
          <t>1-6 meses detenção ou multa. Ameaçar alguém, por palavra, escrito ou gesto, de causar-lhe mal injusto e grave. Ação condicionada à representação</t>
        </is>
      </c>
    </row>
    <row r="76">
      <c r="A76" s="26" t="inlineStr">
        <is>
          <t>CP</t>
        </is>
      </c>
      <c r="B76" s="26" t="inlineStr">
        <is>
          <t>Art. 147-A</t>
        </is>
      </c>
      <c r="C76" s="27" t="inlineStr">
        <is>
          <t>Perseguição (Stalking)</t>
        </is>
      </c>
      <c r="D76" s="26" t="n">
        <v>6</v>
      </c>
      <c r="E76" s="26" t="n">
        <v>24</v>
      </c>
      <c r="F76" s="26" t="inlineStr">
        <is>
          <t>Reclusão</t>
        </is>
      </c>
      <c r="G76" s="26" t="inlineStr">
        <is>
          <t>Pública Condicionada</t>
        </is>
      </c>
      <c r="H76" s="26" t="inlineStr">
        <is>
          <t>Não</t>
        </is>
      </c>
      <c r="I76" s="26" t="inlineStr">
        <is>
          <t>Doloso</t>
        </is>
      </c>
      <c r="J76" s="26" t="inlineStr">
        <is>
          <t>Sim</t>
        </is>
      </c>
      <c r="K76" s="26" t="inlineStr">
        <is>
          <t>Não</t>
        </is>
      </c>
      <c r="L76" s="26" t="inlineStr">
        <is>
          <t>Sim</t>
        </is>
      </c>
      <c r="M76" s="26" t="inlineStr">
        <is>
          <t>Não</t>
        </is>
      </c>
      <c r="N76" s="26" t="inlineStr">
        <is>
          <t>Sim</t>
        </is>
      </c>
      <c r="O76" s="26" t="inlineStr">
        <is>
          <t>Sim</t>
        </is>
      </c>
      <c r="P76" s="27" t="inlineStr">
        <is>
          <t>6 meses a 2 anos reclusão + multa. Perseguir alguém reiteradamente ameaçando integridade física/psicológica, restringindo locomoção ou invadindo privacidade. Lei 14.132/2021. +1/2 se contra criança/adolescente/idoso, mulher (art. 5º LMP), com arma, por 2+ pessoas, ou por meio da internet</t>
        </is>
      </c>
    </row>
    <row r="77">
      <c r="A77" s="7" t="inlineStr">
        <is>
          <t>CP</t>
        </is>
      </c>
      <c r="B77" s="7" t="inlineStr">
        <is>
          <t>Art. 147-B</t>
        </is>
      </c>
      <c r="C77" s="16" t="inlineStr">
        <is>
          <t>Violência psicológica contra a mulher</t>
        </is>
      </c>
      <c r="D77" s="7" t="n">
        <v>6</v>
      </c>
      <c r="E77" s="7" t="n">
        <v>24</v>
      </c>
      <c r="F77" s="7" t="inlineStr">
        <is>
          <t>Reclusão</t>
        </is>
      </c>
      <c r="G77" s="7" t="inlineStr">
        <is>
          <t>Pública Incondicionada</t>
        </is>
      </c>
      <c r="H77" s="7" t="inlineStr">
        <is>
          <t>Não</t>
        </is>
      </c>
      <c r="I77" s="7" t="inlineStr">
        <is>
          <t>Doloso</t>
        </is>
      </c>
      <c r="J77" s="7" t="inlineStr">
        <is>
          <t>Sim</t>
        </is>
      </c>
      <c r="K77" s="7" t="inlineStr">
        <is>
          <t>Não</t>
        </is>
      </c>
      <c r="L77" s="7" t="inlineStr">
        <is>
          <t>Não</t>
        </is>
      </c>
      <c r="M77" s="7" t="inlineStr">
        <is>
          <t>Sim</t>
        </is>
      </c>
      <c r="N77" s="7" t="inlineStr">
        <is>
          <t>Sim</t>
        </is>
      </c>
      <c r="O77" s="7" t="inlineStr">
        <is>
          <t>Sim</t>
        </is>
      </c>
      <c r="P77" s="16" t="inlineStr">
        <is>
          <t>6 meses a 2 anos reclusão. Causar dano emocional à mulher que lhe prejudique e perturbe o pleno desenvolvimento ou que vise degradar/controlar ações, comportamentos, crenças e decisões. Lei 14.188/2021</t>
        </is>
      </c>
    </row>
    <row r="78">
      <c r="A78" s="26" t="inlineStr">
        <is>
          <t>CP</t>
        </is>
      </c>
      <c r="B78" s="26" t="inlineStr">
        <is>
          <t>Art. 148, caput</t>
        </is>
      </c>
      <c r="C78" s="27" t="inlineStr">
        <is>
          <t>Sequestro e cárcere privado</t>
        </is>
      </c>
      <c r="D78" s="26" t="n">
        <v>12</v>
      </c>
      <c r="E78" s="26" t="n">
        <v>36</v>
      </c>
      <c r="F78" s="26" t="inlineStr">
        <is>
          <t>Reclusão</t>
        </is>
      </c>
      <c r="G78" s="26" t="inlineStr">
        <is>
          <t>Pública Incondicionada</t>
        </is>
      </c>
      <c r="H78" s="26" t="inlineStr">
        <is>
          <t>Não</t>
        </is>
      </c>
      <c r="I78" s="26" t="inlineStr">
        <is>
          <t>Doloso</t>
        </is>
      </c>
      <c r="J78" s="26" t="inlineStr">
        <is>
          <t>Sim</t>
        </is>
      </c>
      <c r="K78" s="26" t="inlineStr">
        <is>
          <t>Sim</t>
        </is>
      </c>
      <c r="L78" s="26" t="inlineStr">
        <is>
          <t>Sim</t>
        </is>
      </c>
      <c r="M78" s="26" t="inlineStr">
        <is>
          <t>Não</t>
        </is>
      </c>
      <c r="N78" s="26" t="inlineStr">
        <is>
          <t>Sim</t>
        </is>
      </c>
      <c r="O78" s="26" t="inlineStr">
        <is>
          <t>Sim</t>
        </is>
      </c>
      <c r="P78" s="27" t="inlineStr">
        <is>
          <t>1-3 anos reclusão</t>
        </is>
      </c>
    </row>
    <row r="79">
      <c r="A79" s="26" t="inlineStr">
        <is>
          <t>CP</t>
        </is>
      </c>
      <c r="B79" s="26" t="inlineStr">
        <is>
          <t>Art. 148, §1º</t>
        </is>
      </c>
      <c r="C79" s="27" t="inlineStr">
        <is>
          <t>Sequestro qualificado (fins libidinosos, menor de 18, maus-tratos, mais de 15 dias)</t>
        </is>
      </c>
      <c r="D79" s="26" t="n">
        <v>24</v>
      </c>
      <c r="E79" s="26" t="n">
        <v>60</v>
      </c>
      <c r="F79" s="26" t="inlineStr">
        <is>
          <t>Reclusão</t>
        </is>
      </c>
      <c r="G79" s="26" t="inlineStr">
        <is>
          <t>Pública Incondicionada</t>
        </is>
      </c>
      <c r="H79" s="26" t="inlineStr">
        <is>
          <t>Não</t>
        </is>
      </c>
      <c r="I79" s="26" t="inlineStr">
        <is>
          <t>Doloso</t>
        </is>
      </c>
      <c r="J79" s="26" t="inlineStr">
        <is>
          <t>Sim</t>
        </is>
      </c>
      <c r="K79" s="26" t="inlineStr">
        <is>
          <t>Sim</t>
        </is>
      </c>
      <c r="L79" s="26" t="inlineStr">
        <is>
          <t>Sim</t>
        </is>
      </c>
      <c r="M79" s="26" t="inlineStr">
        <is>
          <t>Não</t>
        </is>
      </c>
      <c r="N79" s="26" t="inlineStr">
        <is>
          <t>Não</t>
        </is>
      </c>
      <c r="O79" s="26" t="inlineStr">
        <is>
          <t>Sim</t>
        </is>
      </c>
      <c r="P79" s="27" t="inlineStr">
        <is>
          <t>2-5 anos reclusão. I - internamento em casa de saúde; II - grave sofrimento físico/moral; III - maus-tratos; IV - contra menor de 18 anos</t>
        </is>
      </c>
    </row>
    <row r="80">
      <c r="A80" s="26" t="inlineStr">
        <is>
          <t>CP</t>
        </is>
      </c>
      <c r="B80" s="26" t="inlineStr">
        <is>
          <t>Art. 148, §2º</t>
        </is>
      </c>
      <c r="C80" s="27" t="inlineStr">
        <is>
          <t>Sequestro qualificado para fins de trabalho escravo ou exploração sexual</t>
        </is>
      </c>
      <c r="D80" s="26" t="n">
        <v>24</v>
      </c>
      <c r="E80" s="26" t="n">
        <v>96</v>
      </c>
      <c r="F80" s="26" t="inlineStr">
        <is>
          <t>Reclusão</t>
        </is>
      </c>
      <c r="G80" s="26" t="inlineStr">
        <is>
          <t>Pública Incondicionada</t>
        </is>
      </c>
      <c r="H80" s="26" t="inlineStr">
        <is>
          <t>Não</t>
        </is>
      </c>
      <c r="I80" s="26" t="inlineStr">
        <is>
          <t>Doloso</t>
        </is>
      </c>
      <c r="J80" s="26" t="inlineStr">
        <is>
          <t>Sim</t>
        </is>
      </c>
      <c r="K80" s="26" t="inlineStr">
        <is>
          <t>Sim</t>
        </is>
      </c>
      <c r="L80" s="26" t="inlineStr">
        <is>
          <t>Sim</t>
        </is>
      </c>
      <c r="M80" s="26" t="inlineStr">
        <is>
          <t>Não</t>
        </is>
      </c>
      <c r="N80" s="26" t="inlineStr">
        <is>
          <t>Não</t>
        </is>
      </c>
      <c r="O80" s="26" t="inlineStr">
        <is>
          <t>Sim</t>
        </is>
      </c>
      <c r="P80" s="27" t="inlineStr">
        <is>
          <t>2-8 anos reclusão</t>
        </is>
      </c>
    </row>
    <row r="81">
      <c r="A81" s="26" t="inlineStr">
        <is>
          <t>CP</t>
        </is>
      </c>
      <c r="B81" s="26" t="inlineStr">
        <is>
          <t>Art. 149, caput</t>
        </is>
      </c>
      <c r="C81" s="27" t="inlineStr">
        <is>
          <t>Redução a condição análoga à de escravo</t>
        </is>
      </c>
      <c r="D81" s="26" t="n">
        <v>24</v>
      </c>
      <c r="E81" s="26" t="n">
        <v>96</v>
      </c>
      <c r="F81" s="26" t="inlineStr">
        <is>
          <t>Reclusão</t>
        </is>
      </c>
      <c r="G81" s="26" t="inlineStr">
        <is>
          <t>Pública Incondicionada</t>
        </is>
      </c>
      <c r="H81" s="26" t="inlineStr">
        <is>
          <t>Não</t>
        </is>
      </c>
      <c r="I81" s="26" t="inlineStr">
        <is>
          <t>Doloso</t>
        </is>
      </c>
      <c r="J81" s="26" t="inlineStr">
        <is>
          <t>Sim</t>
        </is>
      </c>
      <c r="K81" s="26" t="inlineStr">
        <is>
          <t>Sim</t>
        </is>
      </c>
      <c r="L81" s="26" t="inlineStr">
        <is>
          <t>Sim</t>
        </is>
      </c>
      <c r="M81" s="26" t="inlineStr">
        <is>
          <t>Não</t>
        </is>
      </c>
      <c r="N81" s="26" t="inlineStr">
        <is>
          <t>Não</t>
        </is>
      </c>
      <c r="O81" s="26" t="inlineStr">
        <is>
          <t>Sim</t>
        </is>
      </c>
      <c r="P81" s="27" t="inlineStr">
        <is>
          <t>2-8 anos reclusão + multa. Trabalhos forçados, jornada exaustiva, condições degradantes, restrição de locomoção por dívida. §1º: aumento de metade se contra criança/adolescente ou por razão de preconceito de raça/cor/etnia/religião/origem</t>
        </is>
      </c>
    </row>
    <row r="82">
      <c r="A82" s="26" t="inlineStr">
        <is>
          <t>CP</t>
        </is>
      </c>
      <c r="B82" s="26" t="inlineStr">
        <is>
          <t>Art. 149-A</t>
        </is>
      </c>
      <c r="C82" s="27" t="inlineStr">
        <is>
          <t>Tráfico de Pessoas</t>
        </is>
      </c>
      <c r="D82" s="26" t="n">
        <v>48</v>
      </c>
      <c r="E82" s="26" t="n">
        <v>96</v>
      </c>
      <c r="F82" s="26" t="inlineStr">
        <is>
          <t>Reclusão</t>
        </is>
      </c>
      <c r="G82" s="26" t="inlineStr">
        <is>
          <t>Pública Incondicionada</t>
        </is>
      </c>
      <c r="H82" s="26" t="inlineStr">
        <is>
          <t>Não</t>
        </is>
      </c>
      <c r="I82" s="26" t="inlineStr">
        <is>
          <t>Doloso</t>
        </is>
      </c>
      <c r="J82" s="26" t="inlineStr">
        <is>
          <t>Sim</t>
        </is>
      </c>
      <c r="K82" s="26" t="inlineStr">
        <is>
          <t>Sim</t>
        </is>
      </c>
      <c r="L82" s="26" t="inlineStr">
        <is>
          <t>Sim</t>
        </is>
      </c>
      <c r="M82" s="26" t="inlineStr">
        <is>
          <t>Não</t>
        </is>
      </c>
      <c r="N82" s="26" t="inlineStr">
        <is>
          <t>Não</t>
        </is>
      </c>
      <c r="O82" s="26" t="inlineStr">
        <is>
          <t>Verificar</t>
        </is>
      </c>
      <c r="P82" s="27" t="inlineStr">
        <is>
          <t>4-8 anos reclusão + multa. Agenciar, aliciar, recrutar, transportar, transferir, comprar, alojar ou acolher pessoa para fins de exploração. +1/3 a +1/2 se contra criança/adolescente/pessoa idosa ou com deficiência</t>
        </is>
      </c>
    </row>
    <row r="83">
      <c r="A83" s="7" t="inlineStr">
        <is>
          <t>CP</t>
        </is>
      </c>
      <c r="B83" s="7" t="inlineStr">
        <is>
          <t>Art. 150, caput</t>
        </is>
      </c>
      <c r="C83" s="16" t="inlineStr">
        <is>
          <t>Violação de domicílio</t>
        </is>
      </c>
      <c r="D83" s="7" t="n">
        <v>1</v>
      </c>
      <c r="E83" s="7" t="n">
        <v>3</v>
      </c>
      <c r="F83" s="7" t="inlineStr">
        <is>
          <t>Detenção</t>
        </is>
      </c>
      <c r="G83" s="7" t="inlineStr">
        <is>
          <t>Pública Incondicionada</t>
        </is>
      </c>
      <c r="H83" s="7" t="inlineStr">
        <is>
          <t>Não</t>
        </is>
      </c>
      <c r="I83" s="7" t="inlineStr">
        <is>
          <t>Doloso</t>
        </is>
      </c>
      <c r="J83" s="7" t="inlineStr">
        <is>
          <t>Sim</t>
        </is>
      </c>
      <c r="K83" s="7" t="inlineStr">
        <is>
          <t>Não</t>
        </is>
      </c>
      <c r="L83" s="7" t="inlineStr">
        <is>
          <t>Não</t>
        </is>
      </c>
      <c r="M83" s="7" t="inlineStr">
        <is>
          <t>Sim</t>
        </is>
      </c>
      <c r="N83" s="7" t="inlineStr">
        <is>
          <t>Sim</t>
        </is>
      </c>
      <c r="O83" s="7" t="inlineStr">
        <is>
          <t>Sim</t>
        </is>
      </c>
      <c r="P83" s="16" t="inlineStr">
        <is>
          <t>1-3 meses detenção ou multa. §1º: 6 meses a 2 anos se durante a noite ou em lugar ermo, ou com emprego de violência/armas, ou por 2+ pessoas</t>
        </is>
      </c>
    </row>
    <row r="84">
      <c r="A84" s="26" t="inlineStr">
        <is>
          <t>CP</t>
        </is>
      </c>
      <c r="B84" s="26" t="inlineStr">
        <is>
          <t>Art. 150, §1º</t>
        </is>
      </c>
      <c r="C84" s="27" t="inlineStr">
        <is>
          <t>Violação de domicílio qualificada (noturna/com violência/armas/2+ pessoas)</t>
        </is>
      </c>
      <c r="D84" s="26" t="n">
        <v>6</v>
      </c>
      <c r="E84" s="26" t="n">
        <v>24</v>
      </c>
      <c r="F84" s="26" t="inlineStr">
        <is>
          <t>Detenção</t>
        </is>
      </c>
      <c r="G84" s="26" t="inlineStr">
        <is>
          <t>Pública Incondicionada</t>
        </is>
      </c>
      <c r="H84" s="26" t="inlineStr">
        <is>
          <t>Não</t>
        </is>
      </c>
      <c r="I84" s="26" t="inlineStr">
        <is>
          <t>Doloso</t>
        </is>
      </c>
      <c r="J84" s="26" t="inlineStr">
        <is>
          <t>Sim</t>
        </is>
      </c>
      <c r="K84" s="26" t="inlineStr">
        <is>
          <t>Sim</t>
        </is>
      </c>
      <c r="L84" s="26" t="inlineStr">
        <is>
          <t>Sim</t>
        </is>
      </c>
      <c r="M84" s="26" t="inlineStr">
        <is>
          <t>Não</t>
        </is>
      </c>
      <c r="N84" s="26" t="inlineStr">
        <is>
          <t>Sim</t>
        </is>
      </c>
      <c r="O84" s="26" t="inlineStr">
        <is>
          <t>Sim</t>
        </is>
      </c>
      <c r="P84" s="27" t="inlineStr">
        <is>
          <t>6 meses a 2 anos detenção + multa</t>
        </is>
      </c>
    </row>
    <row r="85">
      <c r="A85" s="7" t="inlineStr">
        <is>
          <t>CP</t>
        </is>
      </c>
      <c r="B85" s="7" t="inlineStr">
        <is>
          <t>Art. 151</t>
        </is>
      </c>
      <c r="C85" s="16" t="inlineStr">
        <is>
          <t>Violação de correspondência</t>
        </is>
      </c>
      <c r="D85" s="7" t="n">
        <v>1</v>
      </c>
      <c r="E85" s="7" t="n">
        <v>6</v>
      </c>
      <c r="F85" s="7" t="inlineStr">
        <is>
          <t>Detenção</t>
        </is>
      </c>
      <c r="G85" s="7" t="inlineStr">
        <is>
          <t>Pública Incondicionada</t>
        </is>
      </c>
      <c r="H85" s="7" t="inlineStr">
        <is>
          <t>Não</t>
        </is>
      </c>
      <c r="I85" s="7" t="inlineStr">
        <is>
          <t>Doloso</t>
        </is>
      </c>
      <c r="J85" s="7" t="inlineStr">
        <is>
          <t>Sim</t>
        </is>
      </c>
      <c r="K85" s="7" t="inlineStr">
        <is>
          <t>Não</t>
        </is>
      </c>
      <c r="L85" s="7" t="inlineStr">
        <is>
          <t>Não</t>
        </is>
      </c>
      <c r="M85" s="7" t="inlineStr">
        <is>
          <t>Sim</t>
        </is>
      </c>
      <c r="N85" s="7" t="inlineStr">
        <is>
          <t>Sim</t>
        </is>
      </c>
      <c r="O85" s="7" t="inlineStr">
        <is>
          <t>Sim</t>
        </is>
      </c>
      <c r="P85" s="16" t="inlineStr">
        <is>
          <t>1-6 meses detenção ou multa</t>
        </is>
      </c>
    </row>
    <row r="86">
      <c r="A86" s="7" t="inlineStr">
        <is>
          <t>CP</t>
        </is>
      </c>
      <c r="B86" s="7" t="inlineStr">
        <is>
          <t>Art. 151, §1º, I</t>
        </is>
      </c>
      <c r="C86" s="16" t="inlineStr">
        <is>
          <t>Sonegação ou destruição de correspondência</t>
        </is>
      </c>
      <c r="D86" s="7" t="n">
        <v>1</v>
      </c>
      <c r="E86" s="7" t="n">
        <v>6</v>
      </c>
      <c r="F86" s="7" t="inlineStr">
        <is>
          <t>Detenção</t>
        </is>
      </c>
      <c r="G86" s="7" t="inlineStr">
        <is>
          <t>Pública Incondicionada</t>
        </is>
      </c>
      <c r="H86" s="7" t="inlineStr">
        <is>
          <t>Não</t>
        </is>
      </c>
      <c r="I86" s="7" t="inlineStr">
        <is>
          <t>Doloso</t>
        </is>
      </c>
      <c r="J86" s="7" t="inlineStr">
        <is>
          <t>Sim</t>
        </is>
      </c>
      <c r="K86" s="7" t="inlineStr">
        <is>
          <t>Não</t>
        </is>
      </c>
      <c r="L86" s="7" t="inlineStr">
        <is>
          <t>Não</t>
        </is>
      </c>
      <c r="M86" s="7" t="inlineStr">
        <is>
          <t>Sim</t>
        </is>
      </c>
      <c r="N86" s="7" t="inlineStr">
        <is>
          <t>Sim</t>
        </is>
      </c>
      <c r="O86" s="7" t="inlineStr">
        <is>
          <t>Sim</t>
        </is>
      </c>
      <c r="P86" s="16" t="inlineStr">
        <is>
          <t>1-6 meses detenção ou multa. Apossar-se indevidamente de correspondência alheia, embora não fechada, e sonegá-la ou destruí-la</t>
        </is>
      </c>
    </row>
    <row r="87">
      <c r="A87" s="7" t="inlineStr">
        <is>
          <t>CP</t>
        </is>
      </c>
      <c r="B87" s="7" t="inlineStr">
        <is>
          <t>Art. 151, §1º, II</t>
        </is>
      </c>
      <c r="C87" s="16" t="inlineStr">
        <is>
          <t>Violação de comunicação telegráfica, radioelétrica ou telefônica</t>
        </is>
      </c>
      <c r="D87" s="7" t="n">
        <v>12</v>
      </c>
      <c r="E87" s="7" t="n">
        <v>36</v>
      </c>
      <c r="F87" s="7" t="inlineStr">
        <is>
          <t>Detenção</t>
        </is>
      </c>
      <c r="G87" s="7" t="inlineStr">
        <is>
          <t>Pública Incondicionada</t>
        </is>
      </c>
      <c r="H87" s="7" t="inlineStr">
        <is>
          <t>Não</t>
        </is>
      </c>
      <c r="I87" s="7" t="inlineStr">
        <is>
          <t>Doloso</t>
        </is>
      </c>
      <c r="J87" s="7" t="inlineStr">
        <is>
          <t>Sim</t>
        </is>
      </c>
      <c r="K87" s="7" t="inlineStr">
        <is>
          <t>Não</t>
        </is>
      </c>
      <c r="L87" s="7" t="inlineStr">
        <is>
          <t>Não</t>
        </is>
      </c>
      <c r="M87" s="7" t="inlineStr">
        <is>
          <t>Sim</t>
        </is>
      </c>
      <c r="N87" s="7" t="inlineStr">
        <is>
          <t>Sim</t>
        </is>
      </c>
      <c r="O87" s="7" t="inlineStr">
        <is>
          <t>Sim</t>
        </is>
      </c>
      <c r="P87" s="16" t="inlineStr">
        <is>
          <t>1-3 anos detenção ou multa. Indevidamente divulgar, transmitir a outrem ou utilizar abusivamente comunicação telegráfica ou radioelétrica dirigida a terceiro</t>
        </is>
      </c>
    </row>
    <row r="88">
      <c r="A88" s="7" t="inlineStr">
        <is>
          <t>CP</t>
        </is>
      </c>
      <c r="B88" s="7" t="inlineStr">
        <is>
          <t>Art. 153</t>
        </is>
      </c>
      <c r="C88" s="16" t="inlineStr">
        <is>
          <t>Divulgação de segredo</t>
        </is>
      </c>
      <c r="D88" s="7" t="n">
        <v>1</v>
      </c>
      <c r="E88" s="7" t="n">
        <v>6</v>
      </c>
      <c r="F88" s="7" t="inlineStr">
        <is>
          <t>Detenção</t>
        </is>
      </c>
      <c r="G88" s="7" t="inlineStr">
        <is>
          <t>Ação Penal Privada</t>
        </is>
      </c>
      <c r="H88" s="7" t="inlineStr">
        <is>
          <t>Não</t>
        </is>
      </c>
      <c r="I88" s="7" t="inlineStr">
        <is>
          <t>Doloso</t>
        </is>
      </c>
      <c r="J88" s="7" t="inlineStr">
        <is>
          <t>Sim</t>
        </is>
      </c>
      <c r="K88" s="7" t="inlineStr">
        <is>
          <t>Não</t>
        </is>
      </c>
      <c r="L88" s="7" t="inlineStr">
        <is>
          <t>Não</t>
        </is>
      </c>
      <c r="M88" s="7" t="inlineStr">
        <is>
          <t>Sim</t>
        </is>
      </c>
      <c r="N88" s="7" t="inlineStr">
        <is>
          <t>Sim</t>
        </is>
      </c>
      <c r="O88" s="7" t="inlineStr">
        <is>
          <t>Sim</t>
        </is>
      </c>
      <c r="P88" s="16" t="inlineStr">
        <is>
          <t>1-6 meses detenção ou multa. Divulgar, sem justa causa, conteúdo de documento particular/correspondência confidencial, de que é destinatário/detentor, e cuja divulgação possa produzir dano</t>
        </is>
      </c>
    </row>
    <row r="89">
      <c r="A89" s="7" t="inlineStr">
        <is>
          <t>CP</t>
        </is>
      </c>
      <c r="B89" s="7" t="inlineStr">
        <is>
          <t>Art. 153, §1º-A</t>
        </is>
      </c>
      <c r="C89" s="16" t="inlineStr">
        <is>
          <t>Divulgação de informações sigilosas da administração pública</t>
        </is>
      </c>
      <c r="D89" s="7" t="n">
        <v>12</v>
      </c>
      <c r="E89" s="7" t="n">
        <v>48</v>
      </c>
      <c r="F89" s="7" t="inlineStr">
        <is>
          <t>Detenção</t>
        </is>
      </c>
      <c r="G89" s="7" t="inlineStr">
        <is>
          <t>Pública Incondicionada</t>
        </is>
      </c>
      <c r="H89" s="7" t="inlineStr">
        <is>
          <t>Não</t>
        </is>
      </c>
      <c r="I89" s="7" t="inlineStr">
        <is>
          <t>Doloso</t>
        </is>
      </c>
      <c r="J89" s="7" t="inlineStr">
        <is>
          <t>Sim</t>
        </is>
      </c>
      <c r="K89" s="7" t="inlineStr">
        <is>
          <t>Não</t>
        </is>
      </c>
      <c r="L89" s="7" t="inlineStr">
        <is>
          <t>Não</t>
        </is>
      </c>
      <c r="M89" s="7" t="inlineStr">
        <is>
          <t>Sim</t>
        </is>
      </c>
      <c r="N89" s="7" t="inlineStr">
        <is>
          <t>Sim</t>
        </is>
      </c>
      <c r="O89" s="7" t="inlineStr">
        <is>
          <t>Sim</t>
        </is>
      </c>
      <c r="P89" s="16" t="inlineStr">
        <is>
          <t>1-4 anos detenção + multa. Divulgar, sem justa causa, informações sigilosas ou reservadas, assim definidas em lei, contidas ou não em sistemas de informações da administração pública</t>
        </is>
      </c>
    </row>
    <row r="90">
      <c r="A90" s="7" t="inlineStr">
        <is>
          <t>CP</t>
        </is>
      </c>
      <c r="B90" s="7" t="inlineStr">
        <is>
          <t>Art. 154</t>
        </is>
      </c>
      <c r="C90" s="16" t="inlineStr">
        <is>
          <t>Violação do segredo profissional</t>
        </is>
      </c>
      <c r="D90" s="7" t="n">
        <v>3</v>
      </c>
      <c r="E90" s="7" t="n">
        <v>12</v>
      </c>
      <c r="F90" s="7" t="inlineStr">
        <is>
          <t>Detenção</t>
        </is>
      </c>
      <c r="G90" s="7" t="inlineStr">
        <is>
          <t>Ação Penal Privada</t>
        </is>
      </c>
      <c r="H90" s="7" t="inlineStr">
        <is>
          <t>Não</t>
        </is>
      </c>
      <c r="I90" s="7" t="inlineStr">
        <is>
          <t>Doloso</t>
        </is>
      </c>
      <c r="J90" s="7" t="inlineStr">
        <is>
          <t>Sim</t>
        </is>
      </c>
      <c r="K90" s="7" t="inlineStr">
        <is>
          <t>Não</t>
        </is>
      </c>
      <c r="L90" s="7" t="inlineStr">
        <is>
          <t>Não</t>
        </is>
      </c>
      <c r="M90" s="7" t="inlineStr">
        <is>
          <t>Sim</t>
        </is>
      </c>
      <c r="N90" s="7" t="inlineStr">
        <is>
          <t>Sim</t>
        </is>
      </c>
      <c r="O90" s="7" t="inlineStr">
        <is>
          <t>Sim</t>
        </is>
      </c>
      <c r="P90" s="16" t="inlineStr">
        <is>
          <t>3 meses a 1 ano detenção ou multa. Revelar, sem justa causa, segredo de que tem ciência em razão de função, ministério, ofício ou profissão, cuja revelação possa produzir dano</t>
        </is>
      </c>
    </row>
    <row r="91">
      <c r="A91" s="7" t="inlineStr">
        <is>
          <t>CP</t>
        </is>
      </c>
      <c r="B91" s="7" t="inlineStr">
        <is>
          <t>Art. 154-A, caput</t>
        </is>
      </c>
      <c r="C91" s="16" t="inlineStr">
        <is>
          <t>Invasão de dispositivo informático</t>
        </is>
      </c>
      <c r="D91" s="7" t="n">
        <v>12</v>
      </c>
      <c r="E91" s="7" t="n">
        <v>48</v>
      </c>
      <c r="F91" s="7" t="inlineStr">
        <is>
          <t>Reclusão</t>
        </is>
      </c>
      <c r="G91" s="7" t="inlineStr">
        <is>
          <t>Pública Condicionada</t>
        </is>
      </c>
      <c r="H91" s="7" t="inlineStr">
        <is>
          <t>Não</t>
        </is>
      </c>
      <c r="I91" s="7" t="inlineStr">
        <is>
          <t>Doloso</t>
        </is>
      </c>
      <c r="J91" s="7" t="inlineStr">
        <is>
          <t>Sim</t>
        </is>
      </c>
      <c r="K91" s="7" t="inlineStr">
        <is>
          <t>Não</t>
        </is>
      </c>
      <c r="L91" s="7" t="inlineStr">
        <is>
          <t>Não</t>
        </is>
      </c>
      <c r="M91" s="7" t="inlineStr">
        <is>
          <t>Sim</t>
        </is>
      </c>
      <c r="N91" s="7" t="inlineStr">
        <is>
          <t>Sim</t>
        </is>
      </c>
      <c r="O91" s="7" t="inlineStr">
        <is>
          <t>Sim</t>
        </is>
      </c>
      <c r="P91" s="16" t="inlineStr">
        <is>
          <t>1-4 anos reclusão + multa. Invadir dispositivo informático de uso alheio, conectado ou não à rede de computadores, para obter/adulterar/destruir dados ou instalar vulnerabilidades. Lei 14.155/2021 aumentou penas</t>
        </is>
      </c>
    </row>
    <row r="92">
      <c r="A92" s="7" t="inlineStr">
        <is>
          <t>CP</t>
        </is>
      </c>
      <c r="B92" s="7" t="inlineStr">
        <is>
          <t>Art. 154-A, §2º</t>
        </is>
      </c>
      <c r="C92" s="16" t="inlineStr">
        <is>
          <t>Invasão de dispositivo informático com aumento de 1/3 a 2/3 (prejuízo econômico)</t>
        </is>
      </c>
      <c r="D92" s="7" t="n">
        <v>16</v>
      </c>
      <c r="E92" s="7" t="n">
        <v>80</v>
      </c>
      <c r="F92" s="7" t="inlineStr">
        <is>
          <t>Reclusão</t>
        </is>
      </c>
      <c r="G92" s="7" t="inlineStr">
        <is>
          <t>Pública Condicionada</t>
        </is>
      </c>
      <c r="H92" s="7" t="inlineStr">
        <is>
          <t>Não</t>
        </is>
      </c>
      <c r="I92" s="7" t="inlineStr">
        <is>
          <t>Doloso</t>
        </is>
      </c>
      <c r="J92" s="7" t="inlineStr">
        <is>
          <t>Sim</t>
        </is>
      </c>
      <c r="K92" s="7" t="inlineStr">
        <is>
          <t>Não</t>
        </is>
      </c>
      <c r="L92" s="7" t="inlineStr">
        <is>
          <t>Não</t>
        </is>
      </c>
      <c r="M92" s="7" t="inlineStr">
        <is>
          <t>Sim</t>
        </is>
      </c>
      <c r="N92" s="7" t="inlineStr">
        <is>
          <t>Não</t>
        </is>
      </c>
      <c r="O92" s="7" t="inlineStr">
        <is>
          <t>Sim</t>
        </is>
      </c>
      <c r="P92" s="16" t="inlineStr">
        <is>
          <t>Aumento de 1/3 a 2/3 se da invasão resulta prejuízo econômico</t>
        </is>
      </c>
    </row>
    <row r="93">
      <c r="A93" s="7" t="inlineStr">
        <is>
          <t>CP</t>
        </is>
      </c>
      <c r="B93" s="7" t="inlineStr">
        <is>
          <t>Art. 154-A, §3º</t>
        </is>
      </c>
      <c r="C93" s="16" t="inlineStr">
        <is>
          <t>Invasão de dispositivo com obtenção de conteúdo privado/comunicações/dados sigilosos</t>
        </is>
      </c>
      <c r="D93" s="7" t="n">
        <v>24</v>
      </c>
      <c r="E93" s="7" t="n">
        <v>60</v>
      </c>
      <c r="F93" s="7" t="inlineStr">
        <is>
          <t>Reclusão</t>
        </is>
      </c>
      <c r="G93" s="7" t="inlineStr">
        <is>
          <t>Pública Incondicionada</t>
        </is>
      </c>
      <c r="H93" s="7" t="inlineStr">
        <is>
          <t>Não</t>
        </is>
      </c>
      <c r="I93" s="7" t="inlineStr">
        <is>
          <t>Doloso</t>
        </is>
      </c>
      <c r="J93" s="7" t="inlineStr">
        <is>
          <t>Sim</t>
        </is>
      </c>
      <c r="K93" s="7" t="inlineStr">
        <is>
          <t>Não</t>
        </is>
      </c>
      <c r="L93" s="7" t="inlineStr">
        <is>
          <t>Não</t>
        </is>
      </c>
      <c r="M93" s="7" t="inlineStr">
        <is>
          <t>Sim</t>
        </is>
      </c>
      <c r="N93" s="7" t="inlineStr">
        <is>
          <t>Não</t>
        </is>
      </c>
      <c r="O93" s="7" t="inlineStr">
        <is>
          <t>Sim</t>
        </is>
      </c>
      <c r="P93" s="16" t="inlineStr">
        <is>
          <t>2-5 anos reclusão + multa. Se da invasão resulta obtenção de conteúdo de comunicações eletrônicas privadas, segredos comerciais ou industriais, informações sigilosas</t>
        </is>
      </c>
    </row>
    <row r="94">
      <c r="A94" s="7" t="inlineStr">
        <is>
          <t>CP</t>
        </is>
      </c>
      <c r="B94" s="7" t="inlineStr">
        <is>
          <t>Art. 154-A, §4º</t>
        </is>
      </c>
      <c r="C94" s="16" t="inlineStr">
        <is>
          <t>Invasão de dispositivo com divulgação/comercialização/transmissão de dados obtidos</t>
        </is>
      </c>
      <c r="D94" s="7" t="n">
        <v>36</v>
      </c>
      <c r="E94" s="7" t="n">
        <v>96</v>
      </c>
      <c r="F94" s="7" t="inlineStr">
        <is>
          <t>Reclusão</t>
        </is>
      </c>
      <c r="G94" s="7" t="inlineStr">
        <is>
          <t>Pública Incondicionada</t>
        </is>
      </c>
      <c r="H94" s="7" t="inlineStr">
        <is>
          <t>Não</t>
        </is>
      </c>
      <c r="I94" s="7" t="inlineStr">
        <is>
          <t>Doloso</t>
        </is>
      </c>
      <c r="J94" s="7" t="inlineStr">
        <is>
          <t>Sim</t>
        </is>
      </c>
      <c r="K94" s="7" t="inlineStr">
        <is>
          <t>Não</t>
        </is>
      </c>
      <c r="L94" s="7" t="inlineStr">
        <is>
          <t>Não</t>
        </is>
      </c>
      <c r="M94" s="7" t="inlineStr">
        <is>
          <t>Sim</t>
        </is>
      </c>
      <c r="N94" s="7" t="inlineStr">
        <is>
          <t>Não</t>
        </is>
      </c>
      <c r="O94" s="7" t="inlineStr">
        <is>
          <t>Verificar</t>
        </is>
      </c>
      <c r="P94" s="16" t="inlineStr">
        <is>
          <t>3-8 anos reclusão + multa. Se houver divulgação, comercialização ou transmissão a terceiro dos dados obtidos. +1/3 a 2/3 se contra Presidente, governador, prefeito, judiciário, MP, etc.</t>
        </is>
      </c>
    </row>
    <row r="95">
      <c r="A95" s="7" t="inlineStr">
        <is>
          <t>CP</t>
        </is>
      </c>
      <c r="B95" s="7" t="inlineStr">
        <is>
          <t>Art. 155, caput</t>
        </is>
      </c>
      <c r="C95" s="16" t="inlineStr">
        <is>
          <t>Furto simples</t>
        </is>
      </c>
      <c r="D95" s="7" t="n">
        <v>12</v>
      </c>
      <c r="E95" s="7" t="n">
        <v>48</v>
      </c>
      <c r="F95" s="7" t="inlineStr">
        <is>
          <t>Reclusão</t>
        </is>
      </c>
      <c r="G95" s="7" t="inlineStr">
        <is>
          <t>Pública Incondicionada</t>
        </is>
      </c>
      <c r="H95" s="7" t="inlineStr">
        <is>
          <t>Não</t>
        </is>
      </c>
      <c r="I95" s="7" t="inlineStr">
        <is>
          <t>Doloso</t>
        </is>
      </c>
      <c r="J95" s="7" t="inlineStr">
        <is>
          <t>Sim</t>
        </is>
      </c>
      <c r="K95" s="7" t="inlineStr">
        <is>
          <t>Não</t>
        </is>
      </c>
      <c r="L95" s="7" t="inlineStr">
        <is>
          <t>Não</t>
        </is>
      </c>
      <c r="M95" s="7" t="inlineStr">
        <is>
          <t>Sim</t>
        </is>
      </c>
      <c r="N95" s="7" t="inlineStr">
        <is>
          <t>Sim</t>
        </is>
      </c>
      <c r="O95" s="7" t="inlineStr">
        <is>
          <t>Sim</t>
        </is>
      </c>
      <c r="P95" s="16" t="inlineStr">
        <is>
          <t>1-4 anos reclusão + multa. Subtrair coisa alheia móvel</t>
        </is>
      </c>
    </row>
    <row r="96">
      <c r="A96" s="7" t="inlineStr">
        <is>
          <t>CP</t>
        </is>
      </c>
      <c r="B96" s="7" t="inlineStr">
        <is>
          <t>Art. 155, §1º</t>
        </is>
      </c>
      <c r="C96" s="16" t="inlineStr">
        <is>
          <t>Furto noturno (aumento de 1/3)</t>
        </is>
      </c>
      <c r="D96" s="7" t="n">
        <v>16</v>
      </c>
      <c r="E96" s="7" t="n">
        <v>64</v>
      </c>
      <c r="F96" s="7" t="inlineStr">
        <is>
          <t>Reclusão</t>
        </is>
      </c>
      <c r="G96" s="7" t="inlineStr">
        <is>
          <t>Pública Incondicionada</t>
        </is>
      </c>
      <c r="H96" s="7" t="inlineStr">
        <is>
          <t>Não</t>
        </is>
      </c>
      <c r="I96" s="7" t="inlineStr">
        <is>
          <t>Doloso</t>
        </is>
      </c>
      <c r="J96" s="7" t="inlineStr">
        <is>
          <t>Sim</t>
        </is>
      </c>
      <c r="K96" s="7" t="inlineStr">
        <is>
          <t>Não</t>
        </is>
      </c>
      <c r="L96" s="7" t="inlineStr">
        <is>
          <t>Não</t>
        </is>
      </c>
      <c r="M96" s="7" t="inlineStr">
        <is>
          <t>Sim</t>
        </is>
      </c>
      <c r="N96" s="7" t="inlineStr">
        <is>
          <t>Não</t>
        </is>
      </c>
      <c r="O96" s="7" t="inlineStr">
        <is>
          <t>Sim</t>
        </is>
      </c>
      <c r="P96" s="16" t="inlineStr">
        <is>
          <t>Aumento de 1/3 se praticado durante o repouso noturno</t>
        </is>
      </c>
    </row>
    <row r="97">
      <c r="A97" s="7" t="inlineStr">
        <is>
          <t>CP</t>
        </is>
      </c>
      <c r="B97" s="7" t="inlineStr">
        <is>
          <t>Art. 155, §2º</t>
        </is>
      </c>
      <c r="C97" s="16" t="inlineStr">
        <is>
          <t>Furto privilegiado (diminuição de 1/3 a 2/3)</t>
        </is>
      </c>
      <c r="D97" s="7" t="n">
        <v>4</v>
      </c>
      <c r="E97" s="7" t="n">
        <v>32</v>
      </c>
      <c r="F97" s="7" t="inlineStr">
        <is>
          <t>Reclusão</t>
        </is>
      </c>
      <c r="G97" s="7" t="inlineStr">
        <is>
          <t>Pública Incondicionada</t>
        </is>
      </c>
      <c r="H97" s="7" t="inlineStr">
        <is>
          <t>Não</t>
        </is>
      </c>
      <c r="I97" s="7" t="inlineStr">
        <is>
          <t>Doloso</t>
        </is>
      </c>
      <c r="J97" s="7" t="inlineStr">
        <is>
          <t>Sim</t>
        </is>
      </c>
      <c r="K97" s="7" t="inlineStr">
        <is>
          <t>Não</t>
        </is>
      </c>
      <c r="L97" s="7" t="inlineStr">
        <is>
          <t>Não</t>
        </is>
      </c>
      <c r="M97" s="7" t="inlineStr">
        <is>
          <t>Sim</t>
        </is>
      </c>
      <c r="N97" s="7" t="inlineStr">
        <is>
          <t>Sim</t>
        </is>
      </c>
      <c r="O97" s="7" t="inlineStr">
        <is>
          <t>Sim</t>
        </is>
      </c>
      <c r="P97" s="16" t="inlineStr">
        <is>
          <t>Primário + coisa de pequeno valor. Juiz pode substituir por detenção, diminuir de 1/3 a 2/3, ou aplicar somente multa</t>
        </is>
      </c>
    </row>
    <row r="98">
      <c r="A98" s="7" t="inlineStr">
        <is>
          <t>CP</t>
        </is>
      </c>
      <c r="B98" s="7" t="inlineStr">
        <is>
          <t>Art. 155, §3º</t>
        </is>
      </c>
      <c r="C98" s="16" t="inlineStr">
        <is>
          <t>Furto de energia (equiparado)</t>
        </is>
      </c>
      <c r="D98" s="7" t="n">
        <v>12</v>
      </c>
      <c r="E98" s="7" t="n">
        <v>48</v>
      </c>
      <c r="F98" s="7" t="inlineStr">
        <is>
          <t>Reclusão</t>
        </is>
      </c>
      <c r="G98" s="7" t="inlineStr">
        <is>
          <t>Pública Incondicionada</t>
        </is>
      </c>
      <c r="H98" s="7" t="inlineStr">
        <is>
          <t>Não</t>
        </is>
      </c>
      <c r="I98" s="7" t="inlineStr">
        <is>
          <t>Doloso</t>
        </is>
      </c>
      <c r="J98" s="7" t="inlineStr">
        <is>
          <t>Sim</t>
        </is>
      </c>
      <c r="K98" s="7" t="inlineStr">
        <is>
          <t>Não</t>
        </is>
      </c>
      <c r="L98" s="7" t="inlineStr">
        <is>
          <t>Não</t>
        </is>
      </c>
      <c r="M98" s="7" t="inlineStr">
        <is>
          <t>Sim</t>
        </is>
      </c>
      <c r="N98" s="7" t="inlineStr">
        <is>
          <t>Sim</t>
        </is>
      </c>
      <c r="O98" s="7" t="inlineStr">
        <is>
          <t>Sim</t>
        </is>
      </c>
      <c r="P98" s="16" t="inlineStr">
        <is>
          <t>Equipara-se à coisa móvel a energia elétrica ou qualquer outra que tenha valor econômico (gato de luz, sinal de TV)</t>
        </is>
      </c>
    </row>
    <row r="99">
      <c r="A99" s="7" t="inlineStr">
        <is>
          <t>CP</t>
        </is>
      </c>
      <c r="B99" s="7" t="inlineStr">
        <is>
          <t>Art. 155, §4º</t>
        </is>
      </c>
      <c r="C99" s="16" t="inlineStr">
        <is>
          <t>Furto qualificado (destruição de obstáculo/abuso de confiança/destreza/concurso/fraude/chave falsa)</t>
        </is>
      </c>
      <c r="D99" s="7" t="n">
        <v>24</v>
      </c>
      <c r="E99" s="7" t="n">
        <v>96</v>
      </c>
      <c r="F99" s="7" t="inlineStr">
        <is>
          <t>Reclusão</t>
        </is>
      </c>
      <c r="G99" s="7" t="inlineStr">
        <is>
          <t>Pública Incondicionada</t>
        </is>
      </c>
      <c r="H99" s="7" t="inlineStr">
        <is>
          <t>Não</t>
        </is>
      </c>
      <c r="I99" s="7" t="inlineStr">
        <is>
          <t>Doloso</t>
        </is>
      </c>
      <c r="J99" s="7" t="inlineStr">
        <is>
          <t>Sim</t>
        </is>
      </c>
      <c r="K99" s="7" t="inlineStr">
        <is>
          <t>Não</t>
        </is>
      </c>
      <c r="L99" s="7" t="inlineStr">
        <is>
          <t>Não</t>
        </is>
      </c>
      <c r="M99" s="7" t="inlineStr">
        <is>
          <t>Sim</t>
        </is>
      </c>
      <c r="N99" s="7" t="inlineStr">
        <is>
          <t>Não</t>
        </is>
      </c>
      <c r="O99" s="7" t="inlineStr">
        <is>
          <t>Sim</t>
        </is>
      </c>
      <c r="P99" s="16" t="inlineStr">
        <is>
          <t>2-8 anos reclusão + multa. I - destruição/rompimento de obstáculo; II - abuso de confiança/fraude/escalada/destreza; III - emprego de chave falsa; IV - concurso de 2+ pessoas</t>
        </is>
      </c>
    </row>
    <row r="100">
      <c r="A100" s="7" t="inlineStr">
        <is>
          <t>CP</t>
        </is>
      </c>
      <c r="B100" s="7" t="inlineStr">
        <is>
          <t>Art. 155, §4º-A</t>
        </is>
      </c>
      <c r="C100" s="16" t="inlineStr">
        <is>
          <t>Furto qualificado de semovente domesticável (abigeato)</t>
        </is>
      </c>
      <c r="D100" s="7" t="n">
        <v>24</v>
      </c>
      <c r="E100" s="7" t="n">
        <v>96</v>
      </c>
      <c r="F100" s="7" t="inlineStr">
        <is>
          <t>Reclusão</t>
        </is>
      </c>
      <c r="G100" s="7" t="inlineStr">
        <is>
          <t>Pública Incondicionada</t>
        </is>
      </c>
      <c r="H100" s="7" t="inlineStr">
        <is>
          <t>Não</t>
        </is>
      </c>
      <c r="I100" s="7" t="inlineStr">
        <is>
          <t>Doloso</t>
        </is>
      </c>
      <c r="J100" s="7" t="inlineStr">
        <is>
          <t>Sim</t>
        </is>
      </c>
      <c r="K100" s="7" t="inlineStr">
        <is>
          <t>Não</t>
        </is>
      </c>
      <c r="L100" s="7" t="inlineStr">
        <is>
          <t>Não</t>
        </is>
      </c>
      <c r="M100" s="7" t="inlineStr">
        <is>
          <t>Sim</t>
        </is>
      </c>
      <c r="N100" s="7" t="inlineStr">
        <is>
          <t>Não</t>
        </is>
      </c>
      <c r="O100" s="7" t="inlineStr">
        <is>
          <t>Sim</t>
        </is>
      </c>
      <c r="P100" s="16" t="inlineStr">
        <is>
          <t>2-8 anos reclusão + multa. §6º: +1/3 se transporte interestadual/internacional; +1/3 se em veículo automotor que facilite transporte</t>
        </is>
      </c>
    </row>
    <row r="101">
      <c r="A101" s="7" t="inlineStr">
        <is>
          <t>CP</t>
        </is>
      </c>
      <c r="B101" s="7" t="inlineStr">
        <is>
          <t>Art. 155, §4º-B</t>
        </is>
      </c>
      <c r="C101" s="16" t="inlineStr">
        <is>
          <t>Furto mediante fraude eletrônica</t>
        </is>
      </c>
      <c r="D101" s="7" t="n">
        <v>48</v>
      </c>
      <c r="E101" s="7" t="n">
        <v>96</v>
      </c>
      <c r="F101" s="7" t="inlineStr">
        <is>
          <t>Reclusão</t>
        </is>
      </c>
      <c r="G101" s="7" t="inlineStr">
        <is>
          <t>Pública Incondicionada</t>
        </is>
      </c>
      <c r="H101" s="7" t="inlineStr">
        <is>
          <t>Não</t>
        </is>
      </c>
      <c r="I101" s="7" t="inlineStr">
        <is>
          <t>Doloso</t>
        </is>
      </c>
      <c r="J101" s="7" t="inlineStr">
        <is>
          <t>Sim</t>
        </is>
      </c>
      <c r="K101" s="7" t="inlineStr">
        <is>
          <t>Não</t>
        </is>
      </c>
      <c r="L101" s="7" t="inlineStr">
        <is>
          <t>Não</t>
        </is>
      </c>
      <c r="M101" s="7" t="inlineStr">
        <is>
          <t>Não</t>
        </is>
      </c>
      <c r="N101" s="7" t="inlineStr">
        <is>
          <t>Não</t>
        </is>
      </c>
      <c r="O101" s="7" t="inlineStr">
        <is>
          <t>Verificar</t>
        </is>
      </c>
      <c r="P101" s="16" t="inlineStr">
        <is>
          <t>4-8 anos reclusão + multa. Fraude cometida por meio de dispositivo eletrônico/informático, com ou sem a violação de mecanismo de segurança ou a utilização de programa malicioso. Lei 14.155/2021. +1/3 a 2/3 se servidor mantido fora do País</t>
        </is>
      </c>
    </row>
    <row r="102">
      <c r="A102" s="7" t="inlineStr">
        <is>
          <t>CP</t>
        </is>
      </c>
      <c r="B102" s="7" t="inlineStr">
        <is>
          <t>Art. 155, §5º</t>
        </is>
      </c>
      <c r="C102" s="16" t="inlineStr">
        <is>
          <t>Furto qualificado de veículo automotor (aumento de 1/3 se para outro estado/exterior)</t>
        </is>
      </c>
      <c r="D102" s="7" t="n">
        <v>36</v>
      </c>
      <c r="E102" s="7" t="n">
        <v>96</v>
      </c>
      <c r="F102" s="7" t="inlineStr">
        <is>
          <t>Reclusão</t>
        </is>
      </c>
      <c r="G102" s="7" t="inlineStr">
        <is>
          <t>Pública Incondicionada</t>
        </is>
      </c>
      <c r="H102" s="7" t="inlineStr">
        <is>
          <t>Não</t>
        </is>
      </c>
      <c r="I102" s="7" t="inlineStr">
        <is>
          <t>Doloso</t>
        </is>
      </c>
      <c r="J102" s="7" t="inlineStr">
        <is>
          <t>Sim</t>
        </is>
      </c>
      <c r="K102" s="7" t="inlineStr">
        <is>
          <t>Não</t>
        </is>
      </c>
      <c r="L102" s="7" t="inlineStr">
        <is>
          <t>Não</t>
        </is>
      </c>
      <c r="M102" s="7" t="inlineStr">
        <is>
          <t>Sim</t>
        </is>
      </c>
      <c r="N102" s="7" t="inlineStr">
        <is>
          <t>Não</t>
        </is>
      </c>
      <c r="O102" s="7" t="inlineStr">
        <is>
          <t>Verificar</t>
        </is>
      </c>
      <c r="P102" s="16" t="inlineStr">
        <is>
          <t>3-8 anos reclusão. Se veículo automotor transportado para outro Estado ou exterior</t>
        </is>
      </c>
    </row>
    <row r="103">
      <c r="A103" s="7" t="inlineStr">
        <is>
          <t>CP</t>
        </is>
      </c>
      <c r="B103" s="7" t="inlineStr">
        <is>
          <t>Art. 156</t>
        </is>
      </c>
      <c r="C103" s="16" t="inlineStr">
        <is>
          <t>Furto de coisa comum</t>
        </is>
      </c>
      <c r="D103" s="7" t="n">
        <v>6</v>
      </c>
      <c r="E103" s="7" t="n">
        <v>24</v>
      </c>
      <c r="F103" s="7" t="inlineStr">
        <is>
          <t>Detenção</t>
        </is>
      </c>
      <c r="G103" s="7" t="inlineStr">
        <is>
          <t>Ação Penal Privada</t>
        </is>
      </c>
      <c r="H103" s="7" t="inlineStr">
        <is>
          <t>Não</t>
        </is>
      </c>
      <c r="I103" s="7" t="inlineStr">
        <is>
          <t>Doloso</t>
        </is>
      </c>
      <c r="J103" s="7" t="inlineStr">
        <is>
          <t>Sim</t>
        </is>
      </c>
      <c r="K103" s="7" t="inlineStr">
        <is>
          <t>Não</t>
        </is>
      </c>
      <c r="L103" s="7" t="inlineStr">
        <is>
          <t>Não</t>
        </is>
      </c>
      <c r="M103" s="7" t="inlineStr">
        <is>
          <t>Sim</t>
        </is>
      </c>
      <c r="N103" s="7" t="inlineStr">
        <is>
          <t>Sim</t>
        </is>
      </c>
      <c r="O103" s="7" t="inlineStr">
        <is>
          <t>Sim</t>
        </is>
      </c>
      <c r="P103" s="16" t="inlineStr">
        <is>
          <t>6 meses a 2 anos detenção ou multa. Subtração de coisa comum fungível por condômino, coerdeiro ou sócio</t>
        </is>
      </c>
    </row>
    <row r="104">
      <c r="A104" s="26" t="inlineStr">
        <is>
          <t>CP</t>
        </is>
      </c>
      <c r="B104" s="26" t="inlineStr">
        <is>
          <t>Art. 157, caput</t>
        </is>
      </c>
      <c r="C104" s="27" t="inlineStr">
        <is>
          <t>Roubo simples</t>
        </is>
      </c>
      <c r="D104" s="26" t="n">
        <v>48</v>
      </c>
      <c r="E104" s="26" t="n">
        <v>120</v>
      </c>
      <c r="F104" s="26" t="inlineStr">
        <is>
          <t>Reclusão</t>
        </is>
      </c>
      <c r="G104" s="26" t="inlineStr">
        <is>
          <t>Pública Incondicionada</t>
        </is>
      </c>
      <c r="H104" s="26" t="inlineStr">
        <is>
          <t>Não</t>
        </is>
      </c>
      <c r="I104" s="26" t="inlineStr">
        <is>
          <t>Doloso</t>
        </is>
      </c>
      <c r="J104" s="26" t="inlineStr">
        <is>
          <t>Sim</t>
        </is>
      </c>
      <c r="K104" s="26" t="inlineStr">
        <is>
          <t>Sim</t>
        </is>
      </c>
      <c r="L104" s="26" t="inlineStr">
        <is>
          <t>Sim</t>
        </is>
      </c>
      <c r="M104" s="26" t="inlineStr">
        <is>
          <t>Não</t>
        </is>
      </c>
      <c r="N104" s="26" t="inlineStr">
        <is>
          <t>Não</t>
        </is>
      </c>
      <c r="O104" s="26" t="inlineStr">
        <is>
          <t>Verificar</t>
        </is>
      </c>
      <c r="P104" s="27" t="inlineStr">
        <is>
          <t>4-10 anos reclusão + multa</t>
        </is>
      </c>
    </row>
    <row r="105">
      <c r="A105" s="26" t="inlineStr">
        <is>
          <t>CP</t>
        </is>
      </c>
      <c r="B105" s="26" t="inlineStr">
        <is>
          <t>Art. 157, §2º, I</t>
        </is>
      </c>
      <c r="C105" s="27" t="inlineStr">
        <is>
          <t>Roubo majorado por arma de fogo (aumento de 2/3)</t>
        </is>
      </c>
      <c r="D105" s="26" t="n">
        <v>80</v>
      </c>
      <c r="E105" s="26" t="n">
        <v>200</v>
      </c>
      <c r="F105" s="26" t="inlineStr">
        <is>
          <t>Reclusão</t>
        </is>
      </c>
      <c r="G105" s="26" t="inlineStr">
        <is>
          <t>Pública Incondicionada</t>
        </is>
      </c>
      <c r="H105" s="26" t="inlineStr">
        <is>
          <t>Não</t>
        </is>
      </c>
      <c r="I105" s="26" t="inlineStr">
        <is>
          <t>Doloso</t>
        </is>
      </c>
      <c r="J105" s="26" t="inlineStr">
        <is>
          <t>Sim</t>
        </is>
      </c>
      <c r="K105" s="26" t="inlineStr">
        <is>
          <t>Sim</t>
        </is>
      </c>
      <c r="L105" s="26" t="inlineStr">
        <is>
          <t>Sim</t>
        </is>
      </c>
      <c r="M105" s="26" t="inlineStr">
        <is>
          <t>Não</t>
        </is>
      </c>
      <c r="N105" s="26" t="inlineStr">
        <is>
          <t>Não</t>
        </is>
      </c>
      <c r="O105" s="26" t="inlineStr">
        <is>
          <t>Verificar</t>
        </is>
      </c>
      <c r="P105" s="27" t="inlineStr">
        <is>
          <t>Aumento de 2/3 se com emprego de arma de fogo</t>
        </is>
      </c>
    </row>
    <row r="106">
      <c r="A106" s="26" t="inlineStr">
        <is>
          <t>CP</t>
        </is>
      </c>
      <c r="B106" s="26" t="inlineStr">
        <is>
          <t>Art. 157, §2º, II</t>
        </is>
      </c>
      <c r="C106" s="27" t="inlineStr">
        <is>
          <t>Roubo majorado por concurso de 2+ pessoas (aumento de 1/3 a 1/2)</t>
        </is>
      </c>
      <c r="D106" s="26" t="n">
        <v>64</v>
      </c>
      <c r="E106" s="26" t="n">
        <v>180</v>
      </c>
      <c r="F106" s="26" t="inlineStr">
        <is>
          <t>Reclusão</t>
        </is>
      </c>
      <c r="G106" s="26" t="inlineStr">
        <is>
          <t>Pública Incondicionada</t>
        </is>
      </c>
      <c r="H106" s="26" t="inlineStr">
        <is>
          <t>Não</t>
        </is>
      </c>
      <c r="I106" s="26" t="inlineStr">
        <is>
          <t>Doloso</t>
        </is>
      </c>
      <c r="J106" s="26" t="inlineStr">
        <is>
          <t>Sim</t>
        </is>
      </c>
      <c r="K106" s="26" t="inlineStr">
        <is>
          <t>Sim</t>
        </is>
      </c>
      <c r="L106" s="26" t="inlineStr">
        <is>
          <t>Sim</t>
        </is>
      </c>
      <c r="M106" s="26" t="inlineStr">
        <is>
          <t>Não</t>
        </is>
      </c>
      <c r="N106" s="26" t="inlineStr">
        <is>
          <t>Não</t>
        </is>
      </c>
      <c r="O106" s="26" t="inlineStr">
        <is>
          <t>Verificar</t>
        </is>
      </c>
      <c r="P106" s="27" t="inlineStr">
        <is>
          <t>Aumento de 1/3 até metade</t>
        </is>
      </c>
    </row>
    <row r="107">
      <c r="A107" s="26" t="inlineStr">
        <is>
          <t>CP</t>
        </is>
      </c>
      <c r="B107" s="26" t="inlineStr">
        <is>
          <t>Art. 157, §2º, III</t>
        </is>
      </c>
      <c r="C107" s="27" t="inlineStr">
        <is>
          <t>Roubo majorado — vítima em serviço de transporte de valores (aumento de 1/3 a 1/2)</t>
        </is>
      </c>
      <c r="D107" s="26" t="n">
        <v>64</v>
      </c>
      <c r="E107" s="26" t="n">
        <v>180</v>
      </c>
      <c r="F107" s="26" t="inlineStr">
        <is>
          <t>Reclusão</t>
        </is>
      </c>
      <c r="G107" s="26" t="inlineStr">
        <is>
          <t>Pública Incondicionada</t>
        </is>
      </c>
      <c r="H107" s="26" t="inlineStr">
        <is>
          <t>Não</t>
        </is>
      </c>
      <c r="I107" s="26" t="inlineStr">
        <is>
          <t>Doloso</t>
        </is>
      </c>
      <c r="J107" s="26" t="inlineStr">
        <is>
          <t>Sim</t>
        </is>
      </c>
      <c r="K107" s="26" t="inlineStr">
        <is>
          <t>Sim</t>
        </is>
      </c>
      <c r="L107" s="26" t="inlineStr">
        <is>
          <t>Sim</t>
        </is>
      </c>
      <c r="M107" s="26" t="inlineStr">
        <is>
          <t>Não</t>
        </is>
      </c>
      <c r="N107" s="26" t="inlineStr">
        <is>
          <t>Não</t>
        </is>
      </c>
      <c r="O107" s="26" t="inlineStr">
        <is>
          <t>Verificar</t>
        </is>
      </c>
      <c r="P107" s="27" t="inlineStr">
        <is>
          <t>Aumento se a vítima está em serviço de transporte de valores</t>
        </is>
      </c>
    </row>
    <row r="108">
      <c r="A108" s="26" t="inlineStr">
        <is>
          <t>CP</t>
        </is>
      </c>
      <c r="B108" s="26" t="inlineStr">
        <is>
          <t>Art. 157, §2º, IV</t>
        </is>
      </c>
      <c r="C108" s="27" t="inlineStr">
        <is>
          <t>Roubo majorado por veículo automotor levado para outro estado/exterior (aumento de 1/3 a 1/2)</t>
        </is>
      </c>
      <c r="D108" s="26" t="n">
        <v>64</v>
      </c>
      <c r="E108" s="26" t="n">
        <v>180</v>
      </c>
      <c r="F108" s="26" t="inlineStr">
        <is>
          <t>Reclusão</t>
        </is>
      </c>
      <c r="G108" s="26" t="inlineStr">
        <is>
          <t>Pública Incondicionada</t>
        </is>
      </c>
      <c r="H108" s="26" t="inlineStr">
        <is>
          <t>Não</t>
        </is>
      </c>
      <c r="I108" s="26" t="inlineStr">
        <is>
          <t>Doloso</t>
        </is>
      </c>
      <c r="J108" s="26" t="inlineStr">
        <is>
          <t>Sim</t>
        </is>
      </c>
      <c r="K108" s="26" t="inlineStr">
        <is>
          <t>Sim</t>
        </is>
      </c>
      <c r="L108" s="26" t="inlineStr">
        <is>
          <t>Sim</t>
        </is>
      </c>
      <c r="M108" s="26" t="inlineStr">
        <is>
          <t>Não</t>
        </is>
      </c>
      <c r="N108" s="26" t="inlineStr">
        <is>
          <t>Não</t>
        </is>
      </c>
      <c r="O108" s="26" t="inlineStr">
        <is>
          <t>Verificar</t>
        </is>
      </c>
      <c r="P108" s="27" t="inlineStr">
        <is>
          <t>Aumento se veículo é transportado para outro Estado ou exterior</t>
        </is>
      </c>
    </row>
    <row r="109">
      <c r="A109" s="26" t="inlineStr">
        <is>
          <t>CP</t>
        </is>
      </c>
      <c r="B109" s="26" t="inlineStr">
        <is>
          <t>Art. 157, §2º, V</t>
        </is>
      </c>
      <c r="C109" s="27" t="inlineStr">
        <is>
          <t>Roubo majorado com restrição de liberdade da vítima (aumento de 1/3 a 1/2)</t>
        </is>
      </c>
      <c r="D109" s="26" t="n">
        <v>64</v>
      </c>
      <c r="E109" s="26" t="n">
        <v>180</v>
      </c>
      <c r="F109" s="26" t="inlineStr">
        <is>
          <t>Reclusão</t>
        </is>
      </c>
      <c r="G109" s="26" t="inlineStr">
        <is>
          <t>Pública Incondicionada</t>
        </is>
      </c>
      <c r="H109" s="26" t="inlineStr">
        <is>
          <t>Não</t>
        </is>
      </c>
      <c r="I109" s="26" t="inlineStr">
        <is>
          <t>Doloso</t>
        </is>
      </c>
      <c r="J109" s="26" t="inlineStr">
        <is>
          <t>Sim</t>
        </is>
      </c>
      <c r="K109" s="26" t="inlineStr">
        <is>
          <t>Sim</t>
        </is>
      </c>
      <c r="L109" s="26" t="inlineStr">
        <is>
          <t>Sim</t>
        </is>
      </c>
      <c r="M109" s="26" t="inlineStr">
        <is>
          <t>Não</t>
        </is>
      </c>
      <c r="N109" s="26" t="inlineStr">
        <is>
          <t>Não</t>
        </is>
      </c>
      <c r="O109" s="26" t="inlineStr">
        <is>
          <t>Verificar</t>
        </is>
      </c>
      <c r="P109" s="27" t="inlineStr">
        <is>
          <t>Aumento se mantém a vítima em seu poder, restringindo sua liberdade</t>
        </is>
      </c>
    </row>
    <row r="110">
      <c r="A110" s="26" t="inlineStr">
        <is>
          <t>CP</t>
        </is>
      </c>
      <c r="B110" s="26" t="inlineStr">
        <is>
          <t>Art. 157, §2º, VI</t>
        </is>
      </c>
      <c r="C110" s="27" t="inlineStr">
        <is>
          <t>Roubo majorado com emprego de arma branca (aumento de 1/3 a 1/2)</t>
        </is>
      </c>
      <c r="D110" s="26" t="n">
        <v>64</v>
      </c>
      <c r="E110" s="26" t="n">
        <v>180</v>
      </c>
      <c r="F110" s="26" t="inlineStr">
        <is>
          <t>Reclusão</t>
        </is>
      </c>
      <c r="G110" s="26" t="inlineStr">
        <is>
          <t>Pública Incondicionada</t>
        </is>
      </c>
      <c r="H110" s="26" t="inlineStr">
        <is>
          <t>Não</t>
        </is>
      </c>
      <c r="I110" s="26" t="inlineStr">
        <is>
          <t>Doloso</t>
        </is>
      </c>
      <c r="J110" s="26" t="inlineStr">
        <is>
          <t>Sim</t>
        </is>
      </c>
      <c r="K110" s="26" t="inlineStr">
        <is>
          <t>Sim</t>
        </is>
      </c>
      <c r="L110" s="26" t="inlineStr">
        <is>
          <t>Sim</t>
        </is>
      </c>
      <c r="M110" s="26" t="inlineStr">
        <is>
          <t>Não</t>
        </is>
      </c>
      <c r="N110" s="26" t="inlineStr">
        <is>
          <t>Não</t>
        </is>
      </c>
      <c r="O110" s="26" t="inlineStr">
        <is>
          <t>Verificar</t>
        </is>
      </c>
      <c r="P110" s="27" t="inlineStr">
        <is>
          <t>Aumento se emprega arma branca. Incluído pela Lei 13.654/2018</t>
        </is>
      </c>
    </row>
    <row r="111">
      <c r="A111" s="17" t="inlineStr">
        <is>
          <t>CP</t>
        </is>
      </c>
      <c r="B111" s="17" t="inlineStr">
        <is>
          <t>Art. 157, §2º, VII</t>
        </is>
      </c>
      <c r="C111" s="18" t="inlineStr">
        <is>
          <t>Roubo majorado com emprego de explosivo/artefato análogo (aumento de 1/3 a 1/2)</t>
        </is>
      </c>
      <c r="D111" s="17" t="n">
        <v>64</v>
      </c>
      <c r="E111" s="17" t="n">
        <v>180</v>
      </c>
      <c r="F111" s="17" t="inlineStr">
        <is>
          <t>Reclusão</t>
        </is>
      </c>
      <c r="G111" s="17" t="inlineStr">
        <is>
          <t>Pública Incondicionada</t>
        </is>
      </c>
      <c r="H111" s="17" t="inlineStr">
        <is>
          <t>Sim</t>
        </is>
      </c>
      <c r="I111" s="17" t="inlineStr">
        <is>
          <t>Doloso</t>
        </is>
      </c>
      <c r="J111" s="17" t="inlineStr">
        <is>
          <t>Sim</t>
        </is>
      </c>
      <c r="K111" s="17" t="inlineStr">
        <is>
          <t>Sim</t>
        </is>
      </c>
      <c r="L111" s="17" t="inlineStr">
        <is>
          <t>Sim</t>
        </is>
      </c>
      <c r="M111" s="17" t="inlineStr">
        <is>
          <t>Não</t>
        </is>
      </c>
      <c r="N111" s="17" t="inlineStr">
        <is>
          <t>Não</t>
        </is>
      </c>
      <c r="O111" s="17" t="inlineStr">
        <is>
          <t>Verificar</t>
        </is>
      </c>
      <c r="P111" s="18" t="inlineStr">
        <is>
          <t>Aumento se emprego de explosivo ou artefato análogo que cause perigo comum. HEDIONDO. Incluído pela Lei 13.654/2018</t>
        </is>
      </c>
    </row>
    <row r="112">
      <c r="A112" s="26" t="inlineStr">
        <is>
          <t>CP</t>
        </is>
      </c>
      <c r="B112" s="26" t="inlineStr">
        <is>
          <t>Art. 157, §2º-A, I</t>
        </is>
      </c>
      <c r="C112" s="27" t="inlineStr">
        <is>
          <t>Roubo com emprego de arma de fogo de uso restrito/proibido (aumento de 2/3)</t>
        </is>
      </c>
      <c r="D112" s="26" t="n">
        <v>80</v>
      </c>
      <c r="E112" s="26" t="n">
        <v>200</v>
      </c>
      <c r="F112" s="26" t="inlineStr">
        <is>
          <t>Reclusão</t>
        </is>
      </c>
      <c r="G112" s="26" t="inlineStr">
        <is>
          <t>Pública Incondicionada</t>
        </is>
      </c>
      <c r="H112" s="26" t="inlineStr">
        <is>
          <t>Não</t>
        </is>
      </c>
      <c r="I112" s="26" t="inlineStr">
        <is>
          <t>Doloso</t>
        </is>
      </c>
      <c r="J112" s="26" t="inlineStr">
        <is>
          <t>Sim</t>
        </is>
      </c>
      <c r="K112" s="26" t="inlineStr">
        <is>
          <t>Sim</t>
        </is>
      </c>
      <c r="L112" s="26" t="inlineStr">
        <is>
          <t>Sim</t>
        </is>
      </c>
      <c r="M112" s="26" t="inlineStr">
        <is>
          <t>Não</t>
        </is>
      </c>
      <c r="N112" s="26" t="inlineStr">
        <is>
          <t>Não</t>
        </is>
      </c>
      <c r="O112" s="26" t="inlineStr">
        <is>
          <t>Verificar</t>
        </is>
      </c>
      <c r="P112" s="27" t="inlineStr">
        <is>
          <t>Aumento de 2/3 se arma de fogo de uso restrito ou proibido</t>
        </is>
      </c>
    </row>
    <row r="113">
      <c r="A113" s="26" t="inlineStr">
        <is>
          <t>CP</t>
        </is>
      </c>
      <c r="B113" s="26" t="inlineStr">
        <is>
          <t>Art. 157, §2º-B</t>
        </is>
      </c>
      <c r="C113" s="27" t="inlineStr">
        <is>
          <t>Roubo majorado contra sistema bancário/transporte coletivo (aumento de 2/3)</t>
        </is>
      </c>
      <c r="D113" s="26" t="n">
        <v>80</v>
      </c>
      <c r="E113" s="26" t="n">
        <v>200</v>
      </c>
      <c r="F113" s="26" t="inlineStr">
        <is>
          <t>Reclusão</t>
        </is>
      </c>
      <c r="G113" s="26" t="inlineStr">
        <is>
          <t>Pública Incondicionada</t>
        </is>
      </c>
      <c r="H113" s="26" t="inlineStr">
        <is>
          <t>Não</t>
        </is>
      </c>
      <c r="I113" s="26" t="inlineStr">
        <is>
          <t>Doloso</t>
        </is>
      </c>
      <c r="J113" s="26" t="inlineStr">
        <is>
          <t>Sim</t>
        </is>
      </c>
      <c r="K113" s="26" t="inlineStr">
        <is>
          <t>Sim</t>
        </is>
      </c>
      <c r="L113" s="26" t="inlineStr">
        <is>
          <t>Sim</t>
        </is>
      </c>
      <c r="M113" s="26" t="inlineStr">
        <is>
          <t>Não</t>
        </is>
      </c>
      <c r="N113" s="26" t="inlineStr">
        <is>
          <t>Não</t>
        </is>
      </c>
      <c r="O113" s="26" t="inlineStr">
        <is>
          <t>Verificar</t>
        </is>
      </c>
      <c r="P113" s="27" t="inlineStr">
        <is>
          <t>Aumento se contra instituição financeira, caixas eletrônicos, transportes de valores</t>
        </is>
      </c>
    </row>
    <row r="114">
      <c r="A114" s="26" t="inlineStr">
        <is>
          <t>CP</t>
        </is>
      </c>
      <c r="B114" s="26" t="inlineStr">
        <is>
          <t>Art. 157, §3º, I</t>
        </is>
      </c>
      <c r="C114" s="27" t="inlineStr">
        <is>
          <t>Roubo qualificado pela lesão corporal grave</t>
        </is>
      </c>
      <c r="D114" s="26" t="n">
        <v>84</v>
      </c>
      <c r="E114" s="26" t="n">
        <v>180</v>
      </c>
      <c r="F114" s="26" t="inlineStr">
        <is>
          <t>Reclusão</t>
        </is>
      </c>
      <c r="G114" s="26" t="inlineStr">
        <is>
          <t>Pública Incondicionada</t>
        </is>
      </c>
      <c r="H114" s="26" t="inlineStr">
        <is>
          <t>Não</t>
        </is>
      </c>
      <c r="I114" s="26" t="inlineStr">
        <is>
          <t>Preterdoloso</t>
        </is>
      </c>
      <c r="J114" s="26" t="inlineStr">
        <is>
          <t>Sim</t>
        </is>
      </c>
      <c r="K114" s="26" t="inlineStr">
        <is>
          <t>Sim</t>
        </is>
      </c>
      <c r="L114" s="26" t="inlineStr">
        <is>
          <t>Sim</t>
        </is>
      </c>
      <c r="M114" s="26" t="inlineStr">
        <is>
          <t>Não</t>
        </is>
      </c>
      <c r="N114" s="26" t="inlineStr">
        <is>
          <t>Não</t>
        </is>
      </c>
      <c r="O114" s="26" t="inlineStr">
        <is>
          <t>Verificar</t>
        </is>
      </c>
      <c r="P114" s="27" t="inlineStr">
        <is>
          <t>7-15 anos reclusão + multa. Se da violência resulta lesão corporal grave</t>
        </is>
      </c>
    </row>
    <row r="115">
      <c r="A115" s="17" t="inlineStr">
        <is>
          <t>CP</t>
        </is>
      </c>
      <c r="B115" s="17" t="inlineStr">
        <is>
          <t>Art. 157, §3º, II</t>
        </is>
      </c>
      <c r="C115" s="18" t="inlineStr">
        <is>
          <t>Latrocínio (roubo seguido de morte)</t>
        </is>
      </c>
      <c r="D115" s="17" t="n">
        <v>240</v>
      </c>
      <c r="E115" s="17" t="n">
        <v>360</v>
      </c>
      <c r="F115" s="17" t="inlineStr">
        <is>
          <t>Reclusão</t>
        </is>
      </c>
      <c r="G115" s="17" t="inlineStr">
        <is>
          <t>Pública Incondicionada</t>
        </is>
      </c>
      <c r="H115" s="17" t="inlineStr">
        <is>
          <t>Sim</t>
        </is>
      </c>
      <c r="I115" s="17" t="inlineStr">
        <is>
          <t>Preterdoloso</t>
        </is>
      </c>
      <c r="J115" s="17" t="inlineStr">
        <is>
          <t>Sim</t>
        </is>
      </c>
      <c r="K115" s="17" t="inlineStr">
        <is>
          <t>Sim</t>
        </is>
      </c>
      <c r="L115" s="17" t="inlineStr">
        <is>
          <t>Sim</t>
        </is>
      </c>
      <c r="M115" s="17" t="inlineStr">
        <is>
          <t>Não</t>
        </is>
      </c>
      <c r="N115" s="17" t="inlineStr">
        <is>
          <t>Não</t>
        </is>
      </c>
      <c r="O115" s="17" t="inlineStr">
        <is>
          <t>Verificar</t>
        </is>
      </c>
      <c r="P115" s="18" t="inlineStr">
        <is>
          <t>20-30 anos reclusão. Hediondo. Competência do juiz singular (não do Júri — Súmula 603 STF)</t>
        </is>
      </c>
    </row>
    <row r="116">
      <c r="A116" s="26" t="inlineStr">
        <is>
          <t>CP</t>
        </is>
      </c>
      <c r="B116" s="26" t="inlineStr">
        <is>
          <t>Art. 158, caput</t>
        </is>
      </c>
      <c r="C116" s="27" t="inlineStr">
        <is>
          <t>Extorsão</t>
        </is>
      </c>
      <c r="D116" s="26" t="n">
        <v>48</v>
      </c>
      <c r="E116" s="26" t="n">
        <v>120</v>
      </c>
      <c r="F116" s="26" t="inlineStr">
        <is>
          <t>Reclusão</t>
        </is>
      </c>
      <c r="G116" s="26" t="inlineStr">
        <is>
          <t>Pública Incondicionada</t>
        </is>
      </c>
      <c r="H116" s="26" t="inlineStr">
        <is>
          <t>Não</t>
        </is>
      </c>
      <c r="I116" s="26" t="inlineStr">
        <is>
          <t>Doloso</t>
        </is>
      </c>
      <c r="J116" s="26" t="inlineStr">
        <is>
          <t>Sim</t>
        </is>
      </c>
      <c r="K116" s="26" t="inlineStr">
        <is>
          <t>Sim</t>
        </is>
      </c>
      <c r="L116" s="26" t="inlineStr">
        <is>
          <t>Sim</t>
        </is>
      </c>
      <c r="M116" s="26" t="inlineStr">
        <is>
          <t>Não</t>
        </is>
      </c>
      <c r="N116" s="26" t="inlineStr">
        <is>
          <t>Não</t>
        </is>
      </c>
      <c r="O116" s="26" t="inlineStr">
        <is>
          <t>Verificar</t>
        </is>
      </c>
      <c r="P116" s="27" t="inlineStr">
        <is>
          <t>4-10 anos reclusão + multa</t>
        </is>
      </c>
    </row>
    <row r="117">
      <c r="A117" s="26" t="inlineStr">
        <is>
          <t>CP</t>
        </is>
      </c>
      <c r="B117" s="26" t="inlineStr">
        <is>
          <t>Art. 158, §1º</t>
        </is>
      </c>
      <c r="C117" s="27" t="inlineStr">
        <is>
          <t>Extorsão majorada (2+ pessoas, arma)</t>
        </is>
      </c>
      <c r="D117" s="26" t="n">
        <v>64</v>
      </c>
      <c r="E117" s="26" t="n">
        <v>180</v>
      </c>
      <c r="F117" s="26" t="inlineStr">
        <is>
          <t>Reclusão</t>
        </is>
      </c>
      <c r="G117" s="26" t="inlineStr">
        <is>
          <t>Pública Incondicionada</t>
        </is>
      </c>
      <c r="H117" s="26" t="inlineStr">
        <is>
          <t>Não</t>
        </is>
      </c>
      <c r="I117" s="26" t="inlineStr">
        <is>
          <t>Doloso</t>
        </is>
      </c>
      <c r="J117" s="26" t="inlineStr">
        <is>
          <t>Sim</t>
        </is>
      </c>
      <c r="K117" s="26" t="inlineStr">
        <is>
          <t>Sim</t>
        </is>
      </c>
      <c r="L117" s="26" t="inlineStr">
        <is>
          <t>Sim</t>
        </is>
      </c>
      <c r="M117" s="26" t="inlineStr">
        <is>
          <t>Não</t>
        </is>
      </c>
      <c r="N117" s="26" t="inlineStr">
        <is>
          <t>Não</t>
        </is>
      </c>
      <c r="O117" s="26" t="inlineStr">
        <is>
          <t>Verificar</t>
        </is>
      </c>
      <c r="P117" s="27" t="inlineStr">
        <is>
          <t>Aumento de 1/3 até metade. Mesmas majorantes do roubo</t>
        </is>
      </c>
    </row>
    <row r="118">
      <c r="A118" s="17" t="inlineStr">
        <is>
          <t>CP</t>
        </is>
      </c>
      <c r="B118" s="17" t="inlineStr">
        <is>
          <t>Art. 158, §2º</t>
        </is>
      </c>
      <c r="C118" s="18" t="inlineStr">
        <is>
          <t>Extorsão qualificada pela lesão grave ou morte</t>
        </is>
      </c>
      <c r="D118" s="17" t="n">
        <v>84</v>
      </c>
      <c r="E118" s="17" t="n">
        <v>360</v>
      </c>
      <c r="F118" s="17" t="inlineStr">
        <is>
          <t>Reclusão</t>
        </is>
      </c>
      <c r="G118" s="17" t="inlineStr">
        <is>
          <t>Pública Incondicionada</t>
        </is>
      </c>
      <c r="H118" s="17" t="inlineStr">
        <is>
          <t>Sim</t>
        </is>
      </c>
      <c r="I118" s="17" t="inlineStr">
        <is>
          <t>Preterdoloso</t>
        </is>
      </c>
      <c r="J118" s="17" t="inlineStr">
        <is>
          <t>Sim</t>
        </is>
      </c>
      <c r="K118" s="17" t="inlineStr">
        <is>
          <t>Sim</t>
        </is>
      </c>
      <c r="L118" s="17" t="inlineStr">
        <is>
          <t>Sim</t>
        </is>
      </c>
      <c r="M118" s="17" t="inlineStr">
        <is>
          <t>Não</t>
        </is>
      </c>
      <c r="N118" s="17" t="inlineStr">
        <is>
          <t>Não</t>
        </is>
      </c>
      <c r="O118" s="17" t="inlineStr">
        <is>
          <t>Verificar</t>
        </is>
      </c>
      <c r="P118" s="18" t="inlineStr">
        <is>
          <t>Se resulta lesão grave: 7-15a. Se resulta morte: 20-30a. Hediondo se morte</t>
        </is>
      </c>
    </row>
    <row r="119">
      <c r="A119" s="17" t="inlineStr">
        <is>
          <t>CP</t>
        </is>
      </c>
      <c r="B119" s="17" t="inlineStr">
        <is>
          <t>Art. 158, §3º</t>
        </is>
      </c>
      <c r="C119" s="18" t="inlineStr">
        <is>
          <t>Extorsão qualificada pela restrição da liberdade (sequestro relâmpago)</t>
        </is>
      </c>
      <c r="D119" s="17" t="n">
        <v>72</v>
      </c>
      <c r="E119" s="17" t="n">
        <v>240</v>
      </c>
      <c r="F119" s="17" t="inlineStr">
        <is>
          <t>Reclusão</t>
        </is>
      </c>
      <c r="G119" s="17" t="inlineStr">
        <is>
          <t>Pública Incondicionada</t>
        </is>
      </c>
      <c r="H119" s="17" t="inlineStr">
        <is>
          <t>Sim</t>
        </is>
      </c>
      <c r="I119" s="17" t="inlineStr">
        <is>
          <t>Doloso</t>
        </is>
      </c>
      <c r="J119" s="17" t="inlineStr">
        <is>
          <t>Sim</t>
        </is>
      </c>
      <c r="K119" s="17" t="inlineStr">
        <is>
          <t>Sim</t>
        </is>
      </c>
      <c r="L119" s="17" t="inlineStr">
        <is>
          <t>Sim</t>
        </is>
      </c>
      <c r="M119" s="17" t="inlineStr">
        <is>
          <t>Não</t>
        </is>
      </c>
      <c r="N119" s="17" t="inlineStr">
        <is>
          <t>Não</t>
        </is>
      </c>
      <c r="O119" s="17" t="inlineStr">
        <is>
          <t>Verificar</t>
        </is>
      </c>
      <c r="P119" s="18" t="inlineStr">
        <is>
          <t>6-12a. Se lesão grave: 16-24a. Se morte: 24-30a. Hediondo. Incluída pela Lei 11.923/2009</t>
        </is>
      </c>
    </row>
    <row r="120">
      <c r="A120" s="17" t="inlineStr">
        <is>
          <t>CP</t>
        </is>
      </c>
      <c r="B120" s="17" t="inlineStr">
        <is>
          <t>Art. 159, caput</t>
        </is>
      </c>
      <c r="C120" s="18" t="inlineStr">
        <is>
          <t>Extorsão mediante sequestro</t>
        </is>
      </c>
      <c r="D120" s="17" t="n">
        <v>96</v>
      </c>
      <c r="E120" s="17" t="n">
        <v>180</v>
      </c>
      <c r="F120" s="17" t="inlineStr">
        <is>
          <t>Reclusão</t>
        </is>
      </c>
      <c r="G120" s="17" t="inlineStr">
        <is>
          <t>Pública Incondicionada</t>
        </is>
      </c>
      <c r="H120" s="17" t="inlineStr">
        <is>
          <t>Sim</t>
        </is>
      </c>
      <c r="I120" s="17" t="inlineStr">
        <is>
          <t>Doloso</t>
        </is>
      </c>
      <c r="J120" s="17" t="inlineStr">
        <is>
          <t>Sim</t>
        </is>
      </c>
      <c r="K120" s="17" t="inlineStr">
        <is>
          <t>Sim</t>
        </is>
      </c>
      <c r="L120" s="17" t="inlineStr">
        <is>
          <t>Sim</t>
        </is>
      </c>
      <c r="M120" s="17" t="inlineStr">
        <is>
          <t>Não</t>
        </is>
      </c>
      <c r="N120" s="17" t="inlineStr">
        <is>
          <t>Não</t>
        </is>
      </c>
      <c r="O120" s="17" t="inlineStr">
        <is>
          <t>Verificar</t>
        </is>
      </c>
      <c r="P120" s="18" t="inlineStr">
        <is>
          <t>8-15 anos reclusão. Hediondo em todas as formas</t>
        </is>
      </c>
    </row>
    <row r="121">
      <c r="A121" s="17" t="inlineStr">
        <is>
          <t>CP</t>
        </is>
      </c>
      <c r="B121" s="17" t="inlineStr">
        <is>
          <t>Art. 159, §1º</t>
        </is>
      </c>
      <c r="C121" s="18" t="inlineStr">
        <is>
          <t>Extorsão mediante sequestro com duração &gt; 24h / menor de 18 / bando</t>
        </is>
      </c>
      <c r="D121" s="17" t="n">
        <v>144</v>
      </c>
      <c r="E121" s="17" t="n">
        <v>240</v>
      </c>
      <c r="F121" s="17" t="inlineStr">
        <is>
          <t>Reclusão</t>
        </is>
      </c>
      <c r="G121" s="17" t="inlineStr">
        <is>
          <t>Pública Incondicionada</t>
        </is>
      </c>
      <c r="H121" s="17" t="inlineStr">
        <is>
          <t>Sim</t>
        </is>
      </c>
      <c r="I121" s="17" t="inlineStr">
        <is>
          <t>Doloso</t>
        </is>
      </c>
      <c r="J121" s="17" t="inlineStr">
        <is>
          <t>Sim</t>
        </is>
      </c>
      <c r="K121" s="17" t="inlineStr">
        <is>
          <t>Sim</t>
        </is>
      </c>
      <c r="L121" s="17" t="inlineStr">
        <is>
          <t>Sim</t>
        </is>
      </c>
      <c r="M121" s="17" t="inlineStr">
        <is>
          <t>Não</t>
        </is>
      </c>
      <c r="N121" s="17" t="inlineStr">
        <is>
          <t>Não</t>
        </is>
      </c>
      <c r="O121" s="17" t="inlineStr">
        <is>
          <t>Verificar</t>
        </is>
      </c>
      <c r="P121" s="18" t="inlineStr">
        <is>
          <t>12-20 anos reclusão. Qualificada</t>
        </is>
      </c>
    </row>
    <row r="122">
      <c r="A122" s="17" t="inlineStr">
        <is>
          <t>CP</t>
        </is>
      </c>
      <c r="B122" s="17" t="inlineStr">
        <is>
          <t>Art. 159, §2º</t>
        </is>
      </c>
      <c r="C122" s="18" t="inlineStr">
        <is>
          <t>Extorsão mediante sequestro com resultado lesão grave</t>
        </is>
      </c>
      <c r="D122" s="17" t="n">
        <v>192</v>
      </c>
      <c r="E122" s="17" t="n">
        <v>288</v>
      </c>
      <c r="F122" s="17" t="inlineStr">
        <is>
          <t>Reclusão</t>
        </is>
      </c>
      <c r="G122" s="17" t="inlineStr">
        <is>
          <t>Pública Incondicionada</t>
        </is>
      </c>
      <c r="H122" s="17" t="inlineStr">
        <is>
          <t>Sim</t>
        </is>
      </c>
      <c r="I122" s="17" t="inlineStr">
        <is>
          <t>Preterdoloso</t>
        </is>
      </c>
      <c r="J122" s="17" t="inlineStr">
        <is>
          <t>Sim</t>
        </is>
      </c>
      <c r="K122" s="17" t="inlineStr">
        <is>
          <t>Sim</t>
        </is>
      </c>
      <c r="L122" s="17" t="inlineStr">
        <is>
          <t>Sim</t>
        </is>
      </c>
      <c r="M122" s="17" t="inlineStr">
        <is>
          <t>Não</t>
        </is>
      </c>
      <c r="N122" s="17" t="inlineStr">
        <is>
          <t>Não</t>
        </is>
      </c>
      <c r="O122" s="17" t="inlineStr">
        <is>
          <t>Verificar</t>
        </is>
      </c>
      <c r="P122" s="18" t="inlineStr">
        <is>
          <t>16-24 anos reclusão. Hediondo</t>
        </is>
      </c>
    </row>
    <row r="123">
      <c r="A123" s="17" t="inlineStr">
        <is>
          <t>CP</t>
        </is>
      </c>
      <c r="B123" s="17" t="inlineStr">
        <is>
          <t>Art. 159, §3º</t>
        </is>
      </c>
      <c r="C123" s="18" t="inlineStr">
        <is>
          <t>Extorsão mediante sequestro com resultado morte</t>
        </is>
      </c>
      <c r="D123" s="17" t="n">
        <v>288</v>
      </c>
      <c r="E123" s="17" t="n">
        <v>360</v>
      </c>
      <c r="F123" s="17" t="inlineStr">
        <is>
          <t>Reclusão</t>
        </is>
      </c>
      <c r="G123" s="17" t="inlineStr">
        <is>
          <t>Pública Incondicionada</t>
        </is>
      </c>
      <c r="H123" s="17" t="inlineStr">
        <is>
          <t>Sim</t>
        </is>
      </c>
      <c r="I123" s="17" t="inlineStr">
        <is>
          <t>Preterdoloso</t>
        </is>
      </c>
      <c r="J123" s="17" t="inlineStr">
        <is>
          <t>Sim</t>
        </is>
      </c>
      <c r="K123" s="17" t="inlineStr">
        <is>
          <t>Sim</t>
        </is>
      </c>
      <c r="L123" s="17" t="inlineStr">
        <is>
          <t>Sim</t>
        </is>
      </c>
      <c r="M123" s="17" t="inlineStr">
        <is>
          <t>Não</t>
        </is>
      </c>
      <c r="N123" s="17" t="inlineStr">
        <is>
          <t>Não</t>
        </is>
      </c>
      <c r="O123" s="17" t="inlineStr">
        <is>
          <t>Verificar</t>
        </is>
      </c>
      <c r="P123" s="18" t="inlineStr">
        <is>
          <t>24-30 anos reclusão. Hediondo</t>
        </is>
      </c>
    </row>
    <row r="124">
      <c r="A124" s="17" t="inlineStr">
        <is>
          <t>CP</t>
        </is>
      </c>
      <c r="B124" s="17" t="inlineStr">
        <is>
          <t>Art. 159, §4º</t>
        </is>
      </c>
      <c r="C124" s="18" t="inlineStr">
        <is>
          <t>Extorsão mediante sequestro — diminuição de 1/3 a 2/3 (delação premiada)</t>
        </is>
      </c>
      <c r="D124" s="17" t="n">
        <v>32</v>
      </c>
      <c r="E124" s="17" t="n">
        <v>120</v>
      </c>
      <c r="F124" s="17" t="inlineStr">
        <is>
          <t>Reclusão</t>
        </is>
      </c>
      <c r="G124" s="17" t="inlineStr">
        <is>
          <t>Pública Incondicionada</t>
        </is>
      </c>
      <c r="H124" s="17" t="inlineStr">
        <is>
          <t>Sim</t>
        </is>
      </c>
      <c r="I124" s="17" t="inlineStr">
        <is>
          <t>Doloso</t>
        </is>
      </c>
      <c r="J124" s="17" t="inlineStr">
        <is>
          <t>Sim</t>
        </is>
      </c>
      <c r="K124" s="17" t="inlineStr">
        <is>
          <t>Sim</t>
        </is>
      </c>
      <c r="L124" s="17" t="inlineStr">
        <is>
          <t>Sim</t>
        </is>
      </c>
      <c r="M124" s="17" t="inlineStr">
        <is>
          <t>Não</t>
        </is>
      </c>
      <c r="N124" s="17" t="inlineStr">
        <is>
          <t>Não</t>
        </is>
      </c>
      <c r="O124" s="17" t="inlineStr">
        <is>
          <t>Verificar</t>
        </is>
      </c>
      <c r="P124" s="18" t="inlineStr">
        <is>
          <t>Diminuição se o concorrente denunciar à autoridade facilitando a libertação do sequestrado</t>
        </is>
      </c>
    </row>
    <row r="125">
      <c r="A125" s="7" t="inlineStr">
        <is>
          <t>CP</t>
        </is>
      </c>
      <c r="B125" s="7" t="inlineStr">
        <is>
          <t>Art. 160</t>
        </is>
      </c>
      <c r="C125" s="16" t="inlineStr">
        <is>
          <t>Extorsão indireta</t>
        </is>
      </c>
      <c r="D125" s="7" t="n">
        <v>12</v>
      </c>
      <c r="E125" s="7" t="n">
        <v>36</v>
      </c>
      <c r="F125" s="7" t="inlineStr">
        <is>
          <t>Reclusão</t>
        </is>
      </c>
      <c r="G125" s="7" t="inlineStr">
        <is>
          <t>Pública Incondicionada</t>
        </is>
      </c>
      <c r="H125" s="7" t="inlineStr">
        <is>
          <t>Não</t>
        </is>
      </c>
      <c r="I125" s="7" t="inlineStr">
        <is>
          <t>Doloso</t>
        </is>
      </c>
      <c r="J125" s="7" t="inlineStr">
        <is>
          <t>Sim</t>
        </is>
      </c>
      <c r="K125" s="7" t="inlineStr">
        <is>
          <t>Não</t>
        </is>
      </c>
      <c r="L125" s="7" t="inlineStr">
        <is>
          <t>Não</t>
        </is>
      </c>
      <c r="M125" s="7" t="inlineStr">
        <is>
          <t>Sim</t>
        </is>
      </c>
      <c r="N125" s="7" t="inlineStr">
        <is>
          <t>Sim</t>
        </is>
      </c>
      <c r="O125" s="7" t="inlineStr">
        <is>
          <t>Sim</t>
        </is>
      </c>
      <c r="P125" s="16" t="inlineStr">
        <is>
          <t>1-3 anos reclusão + multa. Exigir ou receber, como garantia de dívida, documento que pode dar causa a procedimento criminal</t>
        </is>
      </c>
    </row>
    <row r="126">
      <c r="A126" s="7" t="inlineStr">
        <is>
          <t>CP</t>
        </is>
      </c>
      <c r="B126" s="7" t="inlineStr">
        <is>
          <t>Art. 161, caput</t>
        </is>
      </c>
      <c r="C126" s="16" t="inlineStr">
        <is>
          <t>Alteração de limites (usurpação)</t>
        </is>
      </c>
      <c r="D126" s="7" t="n">
        <v>12</v>
      </c>
      <c r="E126" s="7" t="n">
        <v>60</v>
      </c>
      <c r="F126" s="7" t="inlineStr">
        <is>
          <t>Detenção</t>
        </is>
      </c>
      <c r="G126" s="7" t="inlineStr">
        <is>
          <t>Pública Incondicionada</t>
        </is>
      </c>
      <c r="H126" s="7" t="inlineStr">
        <is>
          <t>Não</t>
        </is>
      </c>
      <c r="I126" s="7" t="inlineStr">
        <is>
          <t>Doloso</t>
        </is>
      </c>
      <c r="J126" s="7" t="inlineStr">
        <is>
          <t>Sim</t>
        </is>
      </c>
      <c r="K126" s="7" t="inlineStr">
        <is>
          <t>Não</t>
        </is>
      </c>
      <c r="L126" s="7" t="inlineStr">
        <is>
          <t>Não</t>
        </is>
      </c>
      <c r="M126" s="7" t="inlineStr">
        <is>
          <t>Sim</t>
        </is>
      </c>
      <c r="N126" s="7" t="inlineStr">
        <is>
          <t>Sim</t>
        </is>
      </c>
      <c r="O126" s="7" t="inlineStr">
        <is>
          <t>Sim</t>
        </is>
      </c>
      <c r="P126" s="16" t="inlineStr">
        <is>
          <t>1-5 anos detenção + multa. Suprimir ou deslocar tapume, marco ou qualquer sinal indicativo de linha divisória</t>
        </is>
      </c>
    </row>
    <row r="127">
      <c r="A127" s="7" t="inlineStr">
        <is>
          <t>CP</t>
        </is>
      </c>
      <c r="B127" s="7" t="inlineStr">
        <is>
          <t>Art. 161, §1º, I</t>
        </is>
      </c>
      <c r="C127" s="16" t="inlineStr">
        <is>
          <t>Usurpação de águas</t>
        </is>
      </c>
      <c r="D127" s="7" t="n">
        <v>12</v>
      </c>
      <c r="E127" s="7" t="n">
        <v>60</v>
      </c>
      <c r="F127" s="7" t="inlineStr">
        <is>
          <t>Detenção</t>
        </is>
      </c>
      <c r="G127" s="7" t="inlineStr">
        <is>
          <t>Pública Incondicionada</t>
        </is>
      </c>
      <c r="H127" s="7" t="inlineStr">
        <is>
          <t>Não</t>
        </is>
      </c>
      <c r="I127" s="7" t="inlineStr">
        <is>
          <t>Doloso</t>
        </is>
      </c>
      <c r="J127" s="7" t="inlineStr">
        <is>
          <t>Sim</t>
        </is>
      </c>
      <c r="K127" s="7" t="inlineStr">
        <is>
          <t>Não</t>
        </is>
      </c>
      <c r="L127" s="7" t="inlineStr">
        <is>
          <t>Não</t>
        </is>
      </c>
      <c r="M127" s="7" t="inlineStr">
        <is>
          <t>Sim</t>
        </is>
      </c>
      <c r="N127" s="7" t="inlineStr">
        <is>
          <t>Sim</t>
        </is>
      </c>
      <c r="O127" s="7" t="inlineStr">
        <is>
          <t>Sim</t>
        </is>
      </c>
      <c r="P127" s="16" t="inlineStr">
        <is>
          <t>Desviar ou represar águas alheias em proveito próprio ou de outrem</t>
        </is>
      </c>
    </row>
    <row r="128">
      <c r="A128" s="26" t="inlineStr">
        <is>
          <t>CP</t>
        </is>
      </c>
      <c r="B128" s="26" t="inlineStr">
        <is>
          <t>Art. 161, §1º, II</t>
        </is>
      </c>
      <c r="C128" s="27" t="inlineStr">
        <is>
          <t>Esbulho possessório</t>
        </is>
      </c>
      <c r="D128" s="26" t="n">
        <v>12</v>
      </c>
      <c r="E128" s="26" t="n">
        <v>60</v>
      </c>
      <c r="F128" s="26" t="inlineStr">
        <is>
          <t>Detenção</t>
        </is>
      </c>
      <c r="G128" s="26" t="inlineStr">
        <is>
          <t>Pública Incondicionada</t>
        </is>
      </c>
      <c r="H128" s="26" t="inlineStr">
        <is>
          <t>Não</t>
        </is>
      </c>
      <c r="I128" s="26" t="inlineStr">
        <is>
          <t>Doloso</t>
        </is>
      </c>
      <c r="J128" s="26" t="inlineStr">
        <is>
          <t>Sim</t>
        </is>
      </c>
      <c r="K128" s="26" t="inlineStr">
        <is>
          <t>Sim</t>
        </is>
      </c>
      <c r="L128" s="26" t="inlineStr">
        <is>
          <t>Sim</t>
        </is>
      </c>
      <c r="M128" s="26" t="inlineStr">
        <is>
          <t>Não</t>
        </is>
      </c>
      <c r="N128" s="26" t="inlineStr">
        <is>
          <t>Sim</t>
        </is>
      </c>
      <c r="O128" s="26" t="inlineStr">
        <is>
          <t>Sim</t>
        </is>
      </c>
      <c r="P128" s="27" t="inlineStr">
        <is>
          <t>Invadir terreno/edifício alheio com violência, ameaça ou concurso de 2+ pessoas para o fim de esbulho possessório</t>
        </is>
      </c>
    </row>
    <row r="129">
      <c r="A129" s="7" t="inlineStr">
        <is>
          <t>CP</t>
        </is>
      </c>
      <c r="B129" s="7" t="inlineStr">
        <is>
          <t>Art. 163, caput</t>
        </is>
      </c>
      <c r="C129" s="16" t="inlineStr">
        <is>
          <t>Dano simples</t>
        </is>
      </c>
      <c r="D129" s="7" t="n">
        <v>1</v>
      </c>
      <c r="E129" s="7" t="n">
        <v>6</v>
      </c>
      <c r="F129" s="7" t="inlineStr">
        <is>
          <t>Detenção</t>
        </is>
      </c>
      <c r="G129" s="7" t="inlineStr">
        <is>
          <t>Ação Penal Privada</t>
        </is>
      </c>
      <c r="H129" s="7" t="inlineStr">
        <is>
          <t>Não</t>
        </is>
      </c>
      <c r="I129" s="7" t="inlineStr">
        <is>
          <t>Doloso</t>
        </is>
      </c>
      <c r="J129" s="7" t="inlineStr">
        <is>
          <t>Sim</t>
        </is>
      </c>
      <c r="K129" s="7" t="inlineStr">
        <is>
          <t>Não</t>
        </is>
      </c>
      <c r="L129" s="7" t="inlineStr">
        <is>
          <t>Não</t>
        </is>
      </c>
      <c r="M129" s="7" t="inlineStr">
        <is>
          <t>Sim</t>
        </is>
      </c>
      <c r="N129" s="7" t="inlineStr">
        <is>
          <t>Sim</t>
        </is>
      </c>
      <c r="O129" s="7" t="inlineStr">
        <is>
          <t>Sim</t>
        </is>
      </c>
      <c r="P129" s="16" t="inlineStr">
        <is>
          <t>1-6 meses detenção ou multa. Destruir, inutilizar ou deteriorar coisa alheia</t>
        </is>
      </c>
    </row>
    <row r="130">
      <c r="A130" s="26" t="inlineStr">
        <is>
          <t>CP</t>
        </is>
      </c>
      <c r="B130" s="26" t="inlineStr">
        <is>
          <t>Art. 163, parágrafo único</t>
        </is>
      </c>
      <c r="C130" s="27" t="inlineStr">
        <is>
          <t>Dano qualificado (violência/substância inflamável/patrimônio público/motivo egoístico)</t>
        </is>
      </c>
      <c r="D130" s="26" t="n">
        <v>6</v>
      </c>
      <c r="E130" s="26" t="n">
        <v>36</v>
      </c>
      <c r="F130" s="26" t="inlineStr">
        <is>
          <t>Detenção</t>
        </is>
      </c>
      <c r="G130" s="26" t="inlineStr">
        <is>
          <t>Pública Incondicionada</t>
        </is>
      </c>
      <c r="H130" s="26" t="inlineStr">
        <is>
          <t>Não</t>
        </is>
      </c>
      <c r="I130" s="26" t="inlineStr">
        <is>
          <t>Doloso</t>
        </is>
      </c>
      <c r="J130" s="26" t="inlineStr">
        <is>
          <t>Sim</t>
        </is>
      </c>
      <c r="K130" s="26" t="inlineStr">
        <is>
          <t>Sim</t>
        </is>
      </c>
      <c r="L130" s="26" t="inlineStr">
        <is>
          <t>Não</t>
        </is>
      </c>
      <c r="M130" s="26" t="inlineStr">
        <is>
          <t>Não</t>
        </is>
      </c>
      <c r="N130" s="26" t="inlineStr">
        <is>
          <t>Sim</t>
        </is>
      </c>
      <c r="O130" s="26" t="inlineStr">
        <is>
          <t>Sim</t>
        </is>
      </c>
      <c r="P130" s="27" t="inlineStr">
        <is>
          <t>6 meses a 3 anos detenção + multa. I - com violência ou ameaça; II - com substância inflamável/explosiva; III - contra patrimônio público/União/Estado/Município; IV - por motivo egoístico ou com prejuízo considerável</t>
        </is>
      </c>
    </row>
    <row r="131">
      <c r="A131" s="7" t="inlineStr">
        <is>
          <t>CP</t>
        </is>
      </c>
      <c r="B131" s="7" t="inlineStr">
        <is>
          <t>Art. 164</t>
        </is>
      </c>
      <c r="C131" s="16" t="inlineStr">
        <is>
          <t>Introdução ou abandono de animais em propriedade alheia</t>
        </is>
      </c>
      <c r="D131" s="7" t="n">
        <v>15</v>
      </c>
      <c r="E131" s="7" t="n">
        <v>6</v>
      </c>
      <c r="F131" s="7" t="inlineStr">
        <is>
          <t>Detenção</t>
        </is>
      </c>
      <c r="G131" s="7" t="inlineStr">
        <is>
          <t>Ação Penal Privada</t>
        </is>
      </c>
      <c r="H131" s="7" t="inlineStr">
        <is>
          <t>Não</t>
        </is>
      </c>
      <c r="I131" s="7" t="inlineStr">
        <is>
          <t>Doloso</t>
        </is>
      </c>
      <c r="J131" s="7" t="inlineStr">
        <is>
          <t>Sim</t>
        </is>
      </c>
      <c r="K131" s="7" t="inlineStr">
        <is>
          <t>Não</t>
        </is>
      </c>
      <c r="L131" s="7" t="inlineStr">
        <is>
          <t>Não</t>
        </is>
      </c>
      <c r="M131" s="7" t="inlineStr">
        <is>
          <t>Sim</t>
        </is>
      </c>
      <c r="N131" s="7" t="inlineStr">
        <is>
          <t>Não</t>
        </is>
      </c>
      <c r="O131" s="7" t="inlineStr">
        <is>
          <t>Sim</t>
        </is>
      </c>
      <c r="P131" s="16" t="inlineStr">
        <is>
          <t>15 dias a 6 meses detenção ou multa</t>
        </is>
      </c>
    </row>
    <row r="132">
      <c r="A132" s="7" t="inlineStr">
        <is>
          <t>CP</t>
        </is>
      </c>
      <c r="B132" s="7" t="inlineStr">
        <is>
          <t>Art. 165</t>
        </is>
      </c>
      <c r="C132" s="16" t="inlineStr">
        <is>
          <t>Dano em coisa de valor artístico, arqueológico ou histórico</t>
        </is>
      </c>
      <c r="D132" s="7" t="n">
        <v>3</v>
      </c>
      <c r="E132" s="7" t="n">
        <v>12</v>
      </c>
      <c r="F132" s="7" t="inlineStr">
        <is>
          <t>Detenção</t>
        </is>
      </c>
      <c r="G132" s="7" t="inlineStr">
        <is>
          <t>Pública Incondicionada</t>
        </is>
      </c>
      <c r="H132" s="7" t="inlineStr">
        <is>
          <t>Não</t>
        </is>
      </c>
      <c r="I132" s="7" t="inlineStr">
        <is>
          <t>Doloso</t>
        </is>
      </c>
      <c r="J132" s="7" t="inlineStr">
        <is>
          <t>Sim</t>
        </is>
      </c>
      <c r="K132" s="7" t="inlineStr">
        <is>
          <t>Não</t>
        </is>
      </c>
      <c r="L132" s="7" t="inlineStr">
        <is>
          <t>Não</t>
        </is>
      </c>
      <c r="M132" s="7" t="inlineStr">
        <is>
          <t>Sim</t>
        </is>
      </c>
      <c r="N132" s="7" t="inlineStr">
        <is>
          <t>Sim</t>
        </is>
      </c>
      <c r="O132" s="7" t="inlineStr">
        <is>
          <t>Sim</t>
        </is>
      </c>
      <c r="P132" s="16" t="inlineStr">
        <is>
          <t>3 meses a 1 ano detenção + multa</t>
        </is>
      </c>
    </row>
    <row r="133">
      <c r="A133" s="7" t="inlineStr">
        <is>
          <t>CP</t>
        </is>
      </c>
      <c r="B133" s="7" t="inlineStr">
        <is>
          <t>Art. 166</t>
        </is>
      </c>
      <c r="C133" s="16" t="inlineStr">
        <is>
          <t>Alteração de local especialmente protegido</t>
        </is>
      </c>
      <c r="D133" s="7" t="n">
        <v>12</v>
      </c>
      <c r="E133" s="7" t="n">
        <v>36</v>
      </c>
      <c r="F133" s="7" t="inlineStr">
        <is>
          <t>Detenção</t>
        </is>
      </c>
      <c r="G133" s="7" t="inlineStr">
        <is>
          <t>Pública Incondicionada</t>
        </is>
      </c>
      <c r="H133" s="7" t="inlineStr">
        <is>
          <t>Não</t>
        </is>
      </c>
      <c r="I133" s="7" t="inlineStr">
        <is>
          <t>Doloso</t>
        </is>
      </c>
      <c r="J133" s="7" t="inlineStr">
        <is>
          <t>Sim</t>
        </is>
      </c>
      <c r="K133" s="7" t="inlineStr">
        <is>
          <t>Não</t>
        </is>
      </c>
      <c r="L133" s="7" t="inlineStr">
        <is>
          <t>Não</t>
        </is>
      </c>
      <c r="M133" s="7" t="inlineStr">
        <is>
          <t>Sim</t>
        </is>
      </c>
      <c r="N133" s="7" t="inlineStr">
        <is>
          <t>Sim</t>
        </is>
      </c>
      <c r="O133" s="7" t="inlineStr">
        <is>
          <t>Sim</t>
        </is>
      </c>
      <c r="P133" s="16" t="inlineStr">
        <is>
          <t>1-3 anos detenção + multa. Alterar, sem licença da autoridade competente, aspecto de local protegido por lei</t>
        </is>
      </c>
    </row>
    <row r="134">
      <c r="A134" s="7" t="inlineStr">
        <is>
          <t>CP</t>
        </is>
      </c>
      <c r="B134" s="7" t="inlineStr">
        <is>
          <t>Art. 168, caput</t>
        </is>
      </c>
      <c r="C134" s="16" t="inlineStr">
        <is>
          <t>Apropriação indébita</t>
        </is>
      </c>
      <c r="D134" s="7" t="n">
        <v>12</v>
      </c>
      <c r="E134" s="7" t="n">
        <v>48</v>
      </c>
      <c r="F134" s="7" t="inlineStr">
        <is>
          <t>Reclusão</t>
        </is>
      </c>
      <c r="G134" s="7" t="inlineStr">
        <is>
          <t>Pública Incondicionada</t>
        </is>
      </c>
      <c r="H134" s="7" t="inlineStr">
        <is>
          <t>Não</t>
        </is>
      </c>
      <c r="I134" s="7" t="inlineStr">
        <is>
          <t>Doloso</t>
        </is>
      </c>
      <c r="J134" s="7" t="inlineStr">
        <is>
          <t>Sim</t>
        </is>
      </c>
      <c r="K134" s="7" t="inlineStr">
        <is>
          <t>Não</t>
        </is>
      </c>
      <c r="L134" s="7" t="inlineStr">
        <is>
          <t>Não</t>
        </is>
      </c>
      <c r="M134" s="7" t="inlineStr">
        <is>
          <t>Sim</t>
        </is>
      </c>
      <c r="N134" s="7" t="inlineStr">
        <is>
          <t>Sim</t>
        </is>
      </c>
      <c r="O134" s="7" t="inlineStr">
        <is>
          <t>Sim</t>
        </is>
      </c>
      <c r="P134" s="16" t="inlineStr">
        <is>
          <t>1-4 anos reclusão + multa. Apropriar-se de coisa alheia móvel, de que tem posse ou detenção. §1º: aumento de 1/3 se em razão de ofício/emprego/profissão/depósito necessário</t>
        </is>
      </c>
    </row>
    <row r="135">
      <c r="A135" s="7" t="inlineStr">
        <is>
          <t>CP</t>
        </is>
      </c>
      <c r="B135" s="7" t="inlineStr">
        <is>
          <t>Art. 168-A</t>
        </is>
      </c>
      <c r="C135" s="16" t="inlineStr">
        <is>
          <t>Apropriação indébita previdenciária</t>
        </is>
      </c>
      <c r="D135" s="7" t="n">
        <v>24</v>
      </c>
      <c r="E135" s="7" t="n">
        <v>60</v>
      </c>
      <c r="F135" s="7" t="inlineStr">
        <is>
          <t>Reclusão</t>
        </is>
      </c>
      <c r="G135" s="7" t="inlineStr">
        <is>
          <t>Pública Incondicionada</t>
        </is>
      </c>
      <c r="H135" s="7" t="inlineStr">
        <is>
          <t>Não</t>
        </is>
      </c>
      <c r="I135" s="7" t="inlineStr">
        <is>
          <t>Doloso</t>
        </is>
      </c>
      <c r="J135" s="7" t="inlineStr">
        <is>
          <t>Sim</t>
        </is>
      </c>
      <c r="K135" s="7" t="inlineStr">
        <is>
          <t>Não</t>
        </is>
      </c>
      <c r="L135" s="7" t="inlineStr">
        <is>
          <t>Não</t>
        </is>
      </c>
      <c r="M135" s="7" t="inlineStr">
        <is>
          <t>Sim</t>
        </is>
      </c>
      <c r="N135" s="7" t="inlineStr">
        <is>
          <t>Não</t>
        </is>
      </c>
      <c r="O135" s="7" t="inlineStr">
        <is>
          <t>Sim</t>
        </is>
      </c>
      <c r="P135" s="16" t="inlineStr">
        <is>
          <t>2-5 anos reclusão + multa. Deixar de repassar à previdência as contribuições recolhidas dos contribuintes. §2º: extinta punibilidade se declarado e pago antes da denúncia</t>
        </is>
      </c>
    </row>
    <row r="136">
      <c r="A136" s="7" t="inlineStr">
        <is>
          <t>CP</t>
        </is>
      </c>
      <c r="B136" s="7" t="inlineStr">
        <is>
          <t>Art. 169</t>
        </is>
      </c>
      <c r="C136" s="16" t="inlineStr">
        <is>
          <t>Apropriação de coisa havida por erro, caso fortuito ou força da natureza</t>
        </is>
      </c>
      <c r="D136" s="7" t="n">
        <v>1</v>
      </c>
      <c r="E136" s="7" t="n">
        <v>6</v>
      </c>
      <c r="F136" s="7" t="inlineStr">
        <is>
          <t>Detenção</t>
        </is>
      </c>
      <c r="G136" s="7" t="inlineStr">
        <is>
          <t>Pública Incondicionada</t>
        </is>
      </c>
      <c r="H136" s="7" t="inlineStr">
        <is>
          <t>Não</t>
        </is>
      </c>
      <c r="I136" s="7" t="inlineStr">
        <is>
          <t>Doloso</t>
        </is>
      </c>
      <c r="J136" s="7" t="inlineStr">
        <is>
          <t>Sim</t>
        </is>
      </c>
      <c r="K136" s="7" t="inlineStr">
        <is>
          <t>Não</t>
        </is>
      </c>
      <c r="L136" s="7" t="inlineStr">
        <is>
          <t>Não</t>
        </is>
      </c>
      <c r="M136" s="7" t="inlineStr">
        <is>
          <t>Sim</t>
        </is>
      </c>
      <c r="N136" s="7" t="inlineStr">
        <is>
          <t>Sim</t>
        </is>
      </c>
      <c r="O136" s="7" t="inlineStr">
        <is>
          <t>Sim</t>
        </is>
      </c>
      <c r="P136" s="16" t="inlineStr">
        <is>
          <t>1-6 meses detenção ou multa. Inclui apropriação de tesouro (P.Ú. I) e de coisa achada (P.Ú. II)</t>
        </is>
      </c>
    </row>
    <row r="137">
      <c r="A137" s="7" t="inlineStr">
        <is>
          <t>CP</t>
        </is>
      </c>
      <c r="B137" s="7" t="inlineStr">
        <is>
          <t>Art. 171, caput</t>
        </is>
      </c>
      <c r="C137" s="16" t="inlineStr">
        <is>
          <t>Estelionato</t>
        </is>
      </c>
      <c r="D137" s="7" t="n">
        <v>12</v>
      </c>
      <c r="E137" s="7" t="n">
        <v>60</v>
      </c>
      <c r="F137" s="7" t="inlineStr">
        <is>
          <t>Reclusão</t>
        </is>
      </c>
      <c r="G137" s="7" t="inlineStr">
        <is>
          <t>Pública Condicionada</t>
        </is>
      </c>
      <c r="H137" s="7" t="inlineStr">
        <is>
          <t>Não</t>
        </is>
      </c>
      <c r="I137" s="7" t="inlineStr">
        <is>
          <t>Doloso</t>
        </is>
      </c>
      <c r="J137" s="7" t="inlineStr">
        <is>
          <t>Sim</t>
        </is>
      </c>
      <c r="K137" s="7" t="inlineStr">
        <is>
          <t>Não</t>
        </is>
      </c>
      <c r="L137" s="7" t="inlineStr">
        <is>
          <t>Não</t>
        </is>
      </c>
      <c r="M137" s="7" t="inlineStr">
        <is>
          <t>Sim</t>
        </is>
      </c>
      <c r="N137" s="7" t="inlineStr">
        <is>
          <t>Sim</t>
        </is>
      </c>
      <c r="O137" s="7" t="inlineStr">
        <is>
          <t>Sim</t>
        </is>
      </c>
      <c r="P137" s="16" t="inlineStr">
        <is>
          <t>1-5 anos reclusão + multa. Obter vantagem ilícita em prejuízo alheio induzindo/mantendo alguém em erro mediante artifício, ardil ou qualquer outro meio fraudulento. Ação condicionada à representação (Lei 13.964/2019)</t>
        </is>
      </c>
    </row>
    <row r="138">
      <c r="A138" s="7" t="inlineStr">
        <is>
          <t>CP</t>
        </is>
      </c>
      <c r="B138" s="7" t="inlineStr">
        <is>
          <t>Art. 171, §2º-A</t>
        </is>
      </c>
      <c r="C138" s="16" t="inlineStr">
        <is>
          <t>Fraude eletrônica (estelionato digital)</t>
        </is>
      </c>
      <c r="D138" s="7" t="n">
        <v>48</v>
      </c>
      <c r="E138" s="7" t="n">
        <v>96</v>
      </c>
      <c r="F138" s="7" t="inlineStr">
        <is>
          <t>Reclusão</t>
        </is>
      </c>
      <c r="G138" s="7" t="inlineStr">
        <is>
          <t>Pública Incondicionada</t>
        </is>
      </c>
      <c r="H138" s="7" t="inlineStr">
        <is>
          <t>Não</t>
        </is>
      </c>
      <c r="I138" s="7" t="inlineStr">
        <is>
          <t>Doloso</t>
        </is>
      </c>
      <c r="J138" s="7" t="inlineStr">
        <is>
          <t>Sim</t>
        </is>
      </c>
      <c r="K138" s="7" t="inlineStr">
        <is>
          <t>Não</t>
        </is>
      </c>
      <c r="L138" s="7" t="inlineStr">
        <is>
          <t>Não</t>
        </is>
      </c>
      <c r="M138" s="7" t="inlineStr">
        <is>
          <t>Não</t>
        </is>
      </c>
      <c r="N138" s="7" t="inlineStr">
        <is>
          <t>Não</t>
        </is>
      </c>
      <c r="O138" s="7" t="inlineStr">
        <is>
          <t>Verificar</t>
        </is>
      </c>
      <c r="P138" s="16" t="inlineStr">
        <is>
          <t>4-8 anos reclusão + multa. Fraude por meio de redes sociais, contatos telefônicos ou envio de correio eletrônico fraudulento. +1/3 a 2/3 se servidor mantido fora do País. Lei 14.155/2021</t>
        </is>
      </c>
    </row>
    <row r="139">
      <c r="A139" s="7" t="inlineStr">
        <is>
          <t>CP</t>
        </is>
      </c>
      <c r="B139" s="7" t="inlineStr">
        <is>
          <t>Art. 171, §5º</t>
        </is>
      </c>
      <c r="C139" s="16" t="inlineStr">
        <is>
          <t>Estelionato contra idoso ou vulnerável (aumento de 1/3 ao dobro)</t>
        </is>
      </c>
      <c r="D139" s="7" t="n">
        <v>16</v>
      </c>
      <c r="E139" s="7" t="n">
        <v>120</v>
      </c>
      <c r="F139" s="7" t="inlineStr">
        <is>
          <t>Reclusão</t>
        </is>
      </c>
      <c r="G139" s="7" t="inlineStr">
        <is>
          <t>Pública Incondicionada</t>
        </is>
      </c>
      <c r="H139" s="7" t="inlineStr">
        <is>
          <t>Não</t>
        </is>
      </c>
      <c r="I139" s="7" t="inlineStr">
        <is>
          <t>Doloso</t>
        </is>
      </c>
      <c r="J139" s="7" t="inlineStr">
        <is>
          <t>Sim</t>
        </is>
      </c>
      <c r="K139" s="7" t="inlineStr">
        <is>
          <t>Não</t>
        </is>
      </c>
      <c r="L139" s="7" t="inlineStr">
        <is>
          <t>Não</t>
        </is>
      </c>
      <c r="M139" s="7" t="inlineStr">
        <is>
          <t>Sim</t>
        </is>
      </c>
      <c r="N139" s="7" t="inlineStr">
        <is>
          <t>Não</t>
        </is>
      </c>
      <c r="O139" s="7" t="inlineStr">
        <is>
          <t>Sim</t>
        </is>
      </c>
      <c r="P139" s="16" t="inlineStr">
        <is>
          <t>Aumento de 1/3 ao dobro se contra idoso ou vulnerável, considerada a relevância do resultado. Ação pública incondicionada (exceção à regra do §5º)</t>
        </is>
      </c>
    </row>
    <row r="140">
      <c r="A140" s="7" t="inlineStr">
        <is>
          <t>CP</t>
        </is>
      </c>
      <c r="B140" s="7" t="inlineStr">
        <is>
          <t>Art. 180, caput</t>
        </is>
      </c>
      <c r="C140" s="16" t="inlineStr">
        <is>
          <t>Receptação simples</t>
        </is>
      </c>
      <c r="D140" s="7" t="n">
        <v>12</v>
      </c>
      <c r="E140" s="7" t="n">
        <v>48</v>
      </c>
      <c r="F140" s="7" t="inlineStr">
        <is>
          <t>Reclusão</t>
        </is>
      </c>
      <c r="G140" s="7" t="inlineStr">
        <is>
          <t>Pública Incondicionada</t>
        </is>
      </c>
      <c r="H140" s="7" t="inlineStr">
        <is>
          <t>Não</t>
        </is>
      </c>
      <c r="I140" s="7" t="inlineStr">
        <is>
          <t>Doloso</t>
        </is>
      </c>
      <c r="J140" s="7" t="inlineStr">
        <is>
          <t>Sim</t>
        </is>
      </c>
      <c r="K140" s="7" t="inlineStr">
        <is>
          <t>Não</t>
        </is>
      </c>
      <c r="L140" s="7" t="inlineStr">
        <is>
          <t>Não</t>
        </is>
      </c>
      <c r="M140" s="7" t="inlineStr">
        <is>
          <t>Sim</t>
        </is>
      </c>
      <c r="N140" s="7" t="inlineStr">
        <is>
          <t>Sim</t>
        </is>
      </c>
      <c r="O140" s="7" t="inlineStr">
        <is>
          <t>Sim</t>
        </is>
      </c>
      <c r="P140" s="16" t="inlineStr">
        <is>
          <t>1-4 anos reclusão + multa. Adquirir, receber, transportar, conduzir ou ocultar coisa que sabe ser produto de crime</t>
        </is>
      </c>
    </row>
    <row r="141">
      <c r="A141" s="7" t="inlineStr">
        <is>
          <t>CP</t>
        </is>
      </c>
      <c r="B141" s="7" t="inlineStr">
        <is>
          <t>Art. 180, §1º</t>
        </is>
      </c>
      <c r="C141" s="16" t="inlineStr">
        <is>
          <t>Receptação qualificada (atividade comercial/industrial)</t>
        </is>
      </c>
      <c r="D141" s="7" t="n">
        <v>36</v>
      </c>
      <c r="E141" s="7" t="n">
        <v>96</v>
      </c>
      <c r="F141" s="7" t="inlineStr">
        <is>
          <t>Reclusão</t>
        </is>
      </c>
      <c r="G141" s="7" t="inlineStr">
        <is>
          <t>Pública Incondicionada</t>
        </is>
      </c>
      <c r="H141" s="7" t="inlineStr">
        <is>
          <t>Não</t>
        </is>
      </c>
      <c r="I141" s="7" t="inlineStr">
        <is>
          <t>Doloso</t>
        </is>
      </c>
      <c r="J141" s="7" t="inlineStr">
        <is>
          <t>Sim</t>
        </is>
      </c>
      <c r="K141" s="7" t="inlineStr">
        <is>
          <t>Não</t>
        </is>
      </c>
      <c r="L141" s="7" t="inlineStr">
        <is>
          <t>Não</t>
        </is>
      </c>
      <c r="M141" s="7" t="inlineStr">
        <is>
          <t>Sim</t>
        </is>
      </c>
      <c r="N141" s="7" t="inlineStr">
        <is>
          <t>Não</t>
        </is>
      </c>
      <c r="O141" s="7" t="inlineStr">
        <is>
          <t>Verificar</t>
        </is>
      </c>
      <c r="P141" s="16" t="inlineStr">
        <is>
          <t>3-8 anos reclusão + multa. Adquirir/receber coisa que deve saber ser produto de crime no exercício de atividade comercial ou industrial</t>
        </is>
      </c>
    </row>
    <row r="142">
      <c r="A142" s="7" t="inlineStr">
        <is>
          <t>CP</t>
        </is>
      </c>
      <c r="B142" s="7" t="inlineStr">
        <is>
          <t>Art. 180, §3º</t>
        </is>
      </c>
      <c r="C142" s="16" t="inlineStr">
        <is>
          <t>Receptação culposa</t>
        </is>
      </c>
      <c r="D142" s="7" t="n">
        <v>1</v>
      </c>
      <c r="E142" s="7" t="n">
        <v>6</v>
      </c>
      <c r="F142" s="7" t="inlineStr">
        <is>
          <t>Detenção</t>
        </is>
      </c>
      <c r="G142" s="7" t="inlineStr">
        <is>
          <t>Pública Incondicionada</t>
        </is>
      </c>
      <c r="H142" s="7" t="inlineStr">
        <is>
          <t>Não</t>
        </is>
      </c>
      <c r="I142" s="7" t="inlineStr">
        <is>
          <t>Culposo</t>
        </is>
      </c>
      <c r="J142" s="7" t="inlineStr">
        <is>
          <t>Não</t>
        </is>
      </c>
      <c r="K142" s="7" t="inlineStr">
        <is>
          <t>Não</t>
        </is>
      </c>
      <c r="L142" s="7" t="inlineStr">
        <is>
          <t>Não</t>
        </is>
      </c>
      <c r="M142" s="7" t="inlineStr">
        <is>
          <t>Sim</t>
        </is>
      </c>
      <c r="N142" s="7" t="inlineStr">
        <is>
          <t>Sim</t>
        </is>
      </c>
      <c r="O142" s="7" t="inlineStr">
        <is>
          <t>Sim</t>
        </is>
      </c>
      <c r="P142" s="16" t="inlineStr">
        <is>
          <t>1-6 meses detenção ou multa. Adquirir/receber coisa que por sua natureza/desproporção de preço/condição de quem oferece deve presumir-se obtida por meio criminoso</t>
        </is>
      </c>
    </row>
    <row r="143">
      <c r="A143" s="7" t="inlineStr">
        <is>
          <t>CP</t>
        </is>
      </c>
      <c r="B143" s="7" t="inlineStr">
        <is>
          <t>Art. 180-A</t>
        </is>
      </c>
      <c r="C143" s="16" t="inlineStr">
        <is>
          <t>Receptação de animal</t>
        </is>
      </c>
      <c r="D143" s="7" t="n">
        <v>24</v>
      </c>
      <c r="E143" s="7" t="n">
        <v>60</v>
      </c>
      <c r="F143" s="7" t="inlineStr">
        <is>
          <t>Reclusão</t>
        </is>
      </c>
      <c r="G143" s="7" t="inlineStr">
        <is>
          <t>Pública Incondicionada</t>
        </is>
      </c>
      <c r="H143" s="7" t="inlineStr">
        <is>
          <t>Não</t>
        </is>
      </c>
      <c r="I143" s="7" t="inlineStr">
        <is>
          <t>Doloso</t>
        </is>
      </c>
      <c r="J143" s="7" t="inlineStr">
        <is>
          <t>Sim</t>
        </is>
      </c>
      <c r="K143" s="7" t="inlineStr">
        <is>
          <t>Não</t>
        </is>
      </c>
      <c r="L143" s="7" t="inlineStr">
        <is>
          <t>Não</t>
        </is>
      </c>
      <c r="M143" s="7" t="inlineStr">
        <is>
          <t>Sim</t>
        </is>
      </c>
      <c r="N143" s="7" t="inlineStr">
        <is>
          <t>Não</t>
        </is>
      </c>
      <c r="O143" s="7" t="inlineStr">
        <is>
          <t>Sim</t>
        </is>
      </c>
      <c r="P143" s="16" t="inlineStr">
        <is>
          <t>2-5 anos reclusão + multa. Adquirir/receber/transportar/conduzir/ocultar/ter em depósito/montar/remontar/vender/expor à venda/utilizar semovente domesticável que sabe ser produto de crime</t>
        </is>
      </c>
    </row>
    <row r="144">
      <c r="A144" s="17" t="inlineStr">
        <is>
          <t>CP</t>
        </is>
      </c>
      <c r="B144" s="17" t="inlineStr">
        <is>
          <t>Art. 213, caput</t>
        </is>
      </c>
      <c r="C144" s="18" t="inlineStr">
        <is>
          <t>Estupro</t>
        </is>
      </c>
      <c r="D144" s="17" t="n">
        <v>72</v>
      </c>
      <c r="E144" s="17" t="n">
        <v>120</v>
      </c>
      <c r="F144" s="17" t="inlineStr">
        <is>
          <t>Reclusão</t>
        </is>
      </c>
      <c r="G144" s="17" t="inlineStr">
        <is>
          <t>Pública Incondicionada</t>
        </is>
      </c>
      <c r="H144" s="17" t="inlineStr">
        <is>
          <t>Sim</t>
        </is>
      </c>
      <c r="I144" s="17" t="inlineStr">
        <is>
          <t>Doloso</t>
        </is>
      </c>
      <c r="J144" s="17" t="inlineStr">
        <is>
          <t>Sim</t>
        </is>
      </c>
      <c r="K144" s="17" t="inlineStr">
        <is>
          <t>Sim</t>
        </is>
      </c>
      <c r="L144" s="17" t="inlineStr">
        <is>
          <t>Sim</t>
        </is>
      </c>
      <c r="M144" s="17" t="inlineStr">
        <is>
          <t>Não</t>
        </is>
      </c>
      <c r="N144" s="17" t="inlineStr">
        <is>
          <t>Não</t>
        </is>
      </c>
      <c r="O144" s="17" t="inlineStr">
        <is>
          <t>Verificar</t>
        </is>
      </c>
      <c r="P144" s="18" t="inlineStr">
        <is>
          <t>6-10 anos reclusão. Hediondo. Constranger alguém, mediante violência ou grave ameaça, a ter conjunção carnal ou a praticar/permitir que com ele se pratique outro ato libidinoso</t>
        </is>
      </c>
    </row>
    <row r="145">
      <c r="A145" s="17" t="inlineStr">
        <is>
          <t>CP</t>
        </is>
      </c>
      <c r="B145" s="17" t="inlineStr">
        <is>
          <t>Art. 213, §1º</t>
        </is>
      </c>
      <c r="C145" s="18" t="inlineStr">
        <is>
          <t>Estupro com resultado lesão corporal grave ou contra menor de 18 / maior de 14</t>
        </is>
      </c>
      <c r="D145" s="17" t="n">
        <v>96</v>
      </c>
      <c r="E145" s="17" t="n">
        <v>144</v>
      </c>
      <c r="F145" s="17" t="inlineStr">
        <is>
          <t>Reclusão</t>
        </is>
      </c>
      <c r="G145" s="17" t="inlineStr">
        <is>
          <t>Pública Incondicionada</t>
        </is>
      </c>
      <c r="H145" s="17" t="inlineStr">
        <is>
          <t>Sim</t>
        </is>
      </c>
      <c r="I145" s="17" t="inlineStr">
        <is>
          <t>Preterdoloso</t>
        </is>
      </c>
      <c r="J145" s="17" t="inlineStr">
        <is>
          <t>Sim</t>
        </is>
      </c>
      <c r="K145" s="17" t="inlineStr">
        <is>
          <t>Sim</t>
        </is>
      </c>
      <c r="L145" s="17" t="inlineStr">
        <is>
          <t>Sim</t>
        </is>
      </c>
      <c r="M145" s="17" t="inlineStr">
        <is>
          <t>Não</t>
        </is>
      </c>
      <c r="N145" s="17" t="inlineStr">
        <is>
          <t>Não</t>
        </is>
      </c>
      <c r="O145" s="17" t="inlineStr">
        <is>
          <t>Verificar</t>
        </is>
      </c>
      <c r="P145" s="18" t="inlineStr">
        <is>
          <t>8-12 anos reclusão. Hediondo</t>
        </is>
      </c>
    </row>
    <row r="146">
      <c r="A146" s="17" t="inlineStr">
        <is>
          <t>CP</t>
        </is>
      </c>
      <c r="B146" s="17" t="inlineStr">
        <is>
          <t>Art. 213, §2º</t>
        </is>
      </c>
      <c r="C146" s="18" t="inlineStr">
        <is>
          <t>Estupro com resultado morte</t>
        </is>
      </c>
      <c r="D146" s="17" t="n">
        <v>144</v>
      </c>
      <c r="E146" s="17" t="n">
        <v>360</v>
      </c>
      <c r="F146" s="17" t="inlineStr">
        <is>
          <t>Reclusão</t>
        </is>
      </c>
      <c r="G146" s="17" t="inlineStr">
        <is>
          <t>Pública Incondicionada</t>
        </is>
      </c>
      <c r="H146" s="17" t="inlineStr">
        <is>
          <t>Sim</t>
        </is>
      </c>
      <c r="I146" s="17" t="inlineStr">
        <is>
          <t>Preterdoloso</t>
        </is>
      </c>
      <c r="J146" s="17" t="inlineStr">
        <is>
          <t>Sim</t>
        </is>
      </c>
      <c r="K146" s="17" t="inlineStr">
        <is>
          <t>Sim</t>
        </is>
      </c>
      <c r="L146" s="17" t="inlineStr">
        <is>
          <t>Sim</t>
        </is>
      </c>
      <c r="M146" s="17" t="inlineStr">
        <is>
          <t>Não</t>
        </is>
      </c>
      <c r="N146" s="17" t="inlineStr">
        <is>
          <t>Não</t>
        </is>
      </c>
      <c r="O146" s="17" t="inlineStr">
        <is>
          <t>Verificar</t>
        </is>
      </c>
      <c r="P146" s="18" t="inlineStr">
        <is>
          <t>12-30 anos reclusão. Hediondo</t>
        </is>
      </c>
    </row>
    <row r="147">
      <c r="A147" s="7" t="inlineStr">
        <is>
          <t>CP</t>
        </is>
      </c>
      <c r="B147" s="7" t="inlineStr">
        <is>
          <t>Art. 215</t>
        </is>
      </c>
      <c r="C147" s="16" t="inlineStr">
        <is>
          <t>Violação sexual mediante fraude</t>
        </is>
      </c>
      <c r="D147" s="7" t="n">
        <v>24</v>
      </c>
      <c r="E147" s="7" t="n">
        <v>72</v>
      </c>
      <c r="F147" s="7" t="inlineStr">
        <is>
          <t>Reclusão</t>
        </is>
      </c>
      <c r="G147" s="7" t="inlineStr">
        <is>
          <t>Pública Condicionada</t>
        </is>
      </c>
      <c r="H147" s="7" t="inlineStr">
        <is>
          <t>Não</t>
        </is>
      </c>
      <c r="I147" s="7" t="inlineStr">
        <is>
          <t>Doloso</t>
        </is>
      </c>
      <c r="J147" s="7" t="inlineStr">
        <is>
          <t>Sim</t>
        </is>
      </c>
      <c r="K147" s="7" t="inlineStr">
        <is>
          <t>Não</t>
        </is>
      </c>
      <c r="L147" s="7" t="inlineStr">
        <is>
          <t>Não</t>
        </is>
      </c>
      <c r="M147" s="7" t="inlineStr">
        <is>
          <t>Sim</t>
        </is>
      </c>
      <c r="N147" s="7" t="inlineStr">
        <is>
          <t>Não</t>
        </is>
      </c>
      <c r="O147" s="7" t="inlineStr">
        <is>
          <t>Sim</t>
        </is>
      </c>
      <c r="P147" s="16" t="inlineStr">
        <is>
          <t>2-6 anos reclusão. Ter conjunção carnal ou praticar outro ato libidinoso com alguém, mediante fraude ou outro meio que impeça ou dificulte a livre manifestação de vontade da vítima</t>
        </is>
      </c>
    </row>
    <row r="148">
      <c r="A148" s="7" t="inlineStr">
        <is>
          <t>CP</t>
        </is>
      </c>
      <c r="B148" s="7" t="inlineStr">
        <is>
          <t>Art. 215-A</t>
        </is>
      </c>
      <c r="C148" s="16" t="inlineStr">
        <is>
          <t>Importunação sexual</t>
        </is>
      </c>
      <c r="D148" s="7" t="n">
        <v>12</v>
      </c>
      <c r="E148" s="7" t="n">
        <v>60</v>
      </c>
      <c r="F148" s="7" t="inlineStr">
        <is>
          <t>Reclusão</t>
        </is>
      </c>
      <c r="G148" s="7" t="inlineStr">
        <is>
          <t>Pública Incondicionada</t>
        </is>
      </c>
      <c r="H148" s="7" t="inlineStr">
        <is>
          <t>Não</t>
        </is>
      </c>
      <c r="I148" s="7" t="inlineStr">
        <is>
          <t>Doloso</t>
        </is>
      </c>
      <c r="J148" s="7" t="inlineStr">
        <is>
          <t>Sim</t>
        </is>
      </c>
      <c r="K148" s="7" t="inlineStr">
        <is>
          <t>Não</t>
        </is>
      </c>
      <c r="L148" s="7" t="inlineStr">
        <is>
          <t>Não</t>
        </is>
      </c>
      <c r="M148" s="7" t="inlineStr">
        <is>
          <t>Sim</t>
        </is>
      </c>
      <c r="N148" s="7" t="inlineStr">
        <is>
          <t>Sim</t>
        </is>
      </c>
      <c r="O148" s="7" t="inlineStr">
        <is>
          <t>Sim</t>
        </is>
      </c>
      <c r="P148" s="16" t="inlineStr">
        <is>
          <t>1-5 anos reclusão. Praticar contra alguém e sem sua anuência ato libidinoso com o objetivo de satisfazer a própria lascívia ou a de terceiro. Lei 13.718/2018</t>
        </is>
      </c>
    </row>
    <row r="149">
      <c r="A149" s="7" t="inlineStr">
        <is>
          <t>CP</t>
        </is>
      </c>
      <c r="B149" s="7" t="inlineStr">
        <is>
          <t>Art. 216-A</t>
        </is>
      </c>
      <c r="C149" s="16" t="inlineStr">
        <is>
          <t>Assédio sexual</t>
        </is>
      </c>
      <c r="D149" s="7" t="n">
        <v>12</v>
      </c>
      <c r="E149" s="7" t="n">
        <v>24</v>
      </c>
      <c r="F149" s="7" t="inlineStr">
        <is>
          <t>Detenção</t>
        </is>
      </c>
      <c r="G149" s="7" t="inlineStr">
        <is>
          <t>Pública Condicionada</t>
        </is>
      </c>
      <c r="H149" s="7" t="inlineStr">
        <is>
          <t>Não</t>
        </is>
      </c>
      <c r="I149" s="7" t="inlineStr">
        <is>
          <t>Doloso</t>
        </is>
      </c>
      <c r="J149" s="7" t="inlineStr">
        <is>
          <t>Sim</t>
        </is>
      </c>
      <c r="K149" s="7" t="inlineStr">
        <is>
          <t>Não</t>
        </is>
      </c>
      <c r="L149" s="7" t="inlineStr">
        <is>
          <t>Não</t>
        </is>
      </c>
      <c r="M149" s="7" t="inlineStr">
        <is>
          <t>Sim</t>
        </is>
      </c>
      <c r="N149" s="7" t="inlineStr">
        <is>
          <t>Sim</t>
        </is>
      </c>
      <c r="O149" s="7" t="inlineStr">
        <is>
          <t>Sim</t>
        </is>
      </c>
      <c r="P149" s="16" t="inlineStr">
        <is>
          <t>1-2 anos detenção. Constranger alguém com o intuito de obter vantagem ou favorecimento sexual, prevalecendo-se da condição de superior hierárquico ou ascendência</t>
        </is>
      </c>
    </row>
    <row r="150">
      <c r="A150" s="7" t="inlineStr">
        <is>
          <t>CP</t>
        </is>
      </c>
      <c r="B150" s="7" t="inlineStr">
        <is>
          <t>Art. 216-B</t>
        </is>
      </c>
      <c r="C150" s="16" t="inlineStr">
        <is>
          <t>Registro não autorizado da intimidade sexual</t>
        </is>
      </c>
      <c r="D150" s="7" t="n">
        <v>6</v>
      </c>
      <c r="E150" s="7" t="n">
        <v>12</v>
      </c>
      <c r="F150" s="7" t="inlineStr">
        <is>
          <t>Detenção</t>
        </is>
      </c>
      <c r="G150" s="7" t="inlineStr">
        <is>
          <t>Pública Condicionada</t>
        </is>
      </c>
      <c r="H150" s="7" t="inlineStr">
        <is>
          <t>Não</t>
        </is>
      </c>
      <c r="I150" s="7" t="inlineStr">
        <is>
          <t>Doloso</t>
        </is>
      </c>
      <c r="J150" s="7" t="inlineStr">
        <is>
          <t>Sim</t>
        </is>
      </c>
      <c r="K150" s="7" t="inlineStr">
        <is>
          <t>Não</t>
        </is>
      </c>
      <c r="L150" s="7" t="inlineStr">
        <is>
          <t>Não</t>
        </is>
      </c>
      <c r="M150" s="7" t="inlineStr">
        <is>
          <t>Sim</t>
        </is>
      </c>
      <c r="N150" s="7" t="inlineStr">
        <is>
          <t>Sim</t>
        </is>
      </c>
      <c r="O150" s="7" t="inlineStr">
        <is>
          <t>Sim</t>
        </is>
      </c>
      <c r="P150" s="16" t="inlineStr">
        <is>
          <t>6 meses a 1 ano detenção. Produzir/fotografar/filmar/registrar cena de nudez ou ato sexual ou libidinoso de caráter íntimo e privado sem autorização dos participantes</t>
        </is>
      </c>
    </row>
    <row r="151">
      <c r="A151" s="17" t="inlineStr">
        <is>
          <t>CP</t>
        </is>
      </c>
      <c r="B151" s="17" t="inlineStr">
        <is>
          <t>Art. 217-A, caput</t>
        </is>
      </c>
      <c r="C151" s="18" t="inlineStr">
        <is>
          <t>Estupro de vulnerável</t>
        </is>
      </c>
      <c r="D151" s="17" t="n">
        <v>96</v>
      </c>
      <c r="E151" s="17" t="n">
        <v>180</v>
      </c>
      <c r="F151" s="17" t="inlineStr">
        <is>
          <t>Reclusão</t>
        </is>
      </c>
      <c r="G151" s="17" t="inlineStr">
        <is>
          <t>Pública Incondicionada</t>
        </is>
      </c>
      <c r="H151" s="17" t="inlineStr">
        <is>
          <t>Sim</t>
        </is>
      </c>
      <c r="I151" s="17" t="inlineStr">
        <is>
          <t>Doloso</t>
        </is>
      </c>
      <c r="J151" s="17" t="inlineStr">
        <is>
          <t>Sim</t>
        </is>
      </c>
      <c r="K151" s="17" t="inlineStr">
        <is>
          <t>Sim</t>
        </is>
      </c>
      <c r="L151" s="17" t="inlineStr">
        <is>
          <t>Não</t>
        </is>
      </c>
      <c r="M151" s="17" t="inlineStr">
        <is>
          <t>Não</t>
        </is>
      </c>
      <c r="N151" s="17" t="inlineStr">
        <is>
          <t>Não</t>
        </is>
      </c>
      <c r="O151" s="17" t="inlineStr">
        <is>
          <t>Verificar</t>
        </is>
      </c>
      <c r="P151" s="18" t="inlineStr">
        <is>
          <t>8-15 anos reclusão. Hediondo. Ter conjunção carnal ou praticar outro ato libidinoso com menor de 14 anos. Independe de consentimento (vulnerabilidade absoluta)</t>
        </is>
      </c>
    </row>
    <row r="152">
      <c r="A152" s="17" t="inlineStr">
        <is>
          <t>CP</t>
        </is>
      </c>
      <c r="B152" s="17" t="inlineStr">
        <is>
          <t>Art. 217-A, §3º</t>
        </is>
      </c>
      <c r="C152" s="18" t="inlineStr">
        <is>
          <t>Estupro de vulnerável com resultado lesão grave</t>
        </is>
      </c>
      <c r="D152" s="17" t="n">
        <v>120</v>
      </c>
      <c r="E152" s="17" t="n">
        <v>240</v>
      </c>
      <c r="F152" s="17" t="inlineStr">
        <is>
          <t>Reclusão</t>
        </is>
      </c>
      <c r="G152" s="17" t="inlineStr">
        <is>
          <t>Pública Incondicionada</t>
        </is>
      </c>
      <c r="H152" s="17" t="inlineStr">
        <is>
          <t>Sim</t>
        </is>
      </c>
      <c r="I152" s="17" t="inlineStr">
        <is>
          <t>Preterdoloso</t>
        </is>
      </c>
      <c r="J152" s="17" t="inlineStr">
        <is>
          <t>Sim</t>
        </is>
      </c>
      <c r="K152" s="17" t="inlineStr">
        <is>
          <t>Sim</t>
        </is>
      </c>
      <c r="L152" s="17" t="inlineStr">
        <is>
          <t>Não</t>
        </is>
      </c>
      <c r="M152" s="17" t="inlineStr">
        <is>
          <t>Não</t>
        </is>
      </c>
      <c r="N152" s="17" t="inlineStr">
        <is>
          <t>Não</t>
        </is>
      </c>
      <c r="O152" s="17" t="inlineStr">
        <is>
          <t>Verificar</t>
        </is>
      </c>
      <c r="P152" s="18" t="inlineStr">
        <is>
          <t>10-20 anos reclusão. Hediondo</t>
        </is>
      </c>
    </row>
    <row r="153">
      <c r="A153" s="17" t="inlineStr">
        <is>
          <t>CP</t>
        </is>
      </c>
      <c r="B153" s="17" t="inlineStr">
        <is>
          <t>Art. 217-A, §4º</t>
        </is>
      </c>
      <c r="C153" s="18" t="inlineStr">
        <is>
          <t>Estupro de vulnerável com resultado morte</t>
        </is>
      </c>
      <c r="D153" s="17" t="n">
        <v>144</v>
      </c>
      <c r="E153" s="17" t="n">
        <v>360</v>
      </c>
      <c r="F153" s="17" t="inlineStr">
        <is>
          <t>Reclusão</t>
        </is>
      </c>
      <c r="G153" s="17" t="inlineStr">
        <is>
          <t>Pública Incondicionada</t>
        </is>
      </c>
      <c r="H153" s="17" t="inlineStr">
        <is>
          <t>Sim</t>
        </is>
      </c>
      <c r="I153" s="17" t="inlineStr">
        <is>
          <t>Preterdoloso</t>
        </is>
      </c>
      <c r="J153" s="17" t="inlineStr">
        <is>
          <t>Sim</t>
        </is>
      </c>
      <c r="K153" s="17" t="inlineStr">
        <is>
          <t>Sim</t>
        </is>
      </c>
      <c r="L153" s="17" t="inlineStr">
        <is>
          <t>Não</t>
        </is>
      </c>
      <c r="M153" s="17" t="inlineStr">
        <is>
          <t>Não</t>
        </is>
      </c>
      <c r="N153" s="17" t="inlineStr">
        <is>
          <t>Não</t>
        </is>
      </c>
      <c r="O153" s="17" t="inlineStr">
        <is>
          <t>Verificar</t>
        </is>
      </c>
      <c r="P153" s="18" t="inlineStr">
        <is>
          <t>12-30 anos reclusão. Hediondo</t>
        </is>
      </c>
    </row>
    <row r="154">
      <c r="A154" s="7" t="inlineStr">
        <is>
          <t>CP</t>
        </is>
      </c>
      <c r="B154" s="7" t="inlineStr">
        <is>
          <t>Art. 218</t>
        </is>
      </c>
      <c r="C154" s="16" t="inlineStr">
        <is>
          <t>Corrupção de menores (para atos sexuais)</t>
        </is>
      </c>
      <c r="D154" s="7" t="n">
        <v>24</v>
      </c>
      <c r="E154" s="7" t="n">
        <v>60</v>
      </c>
      <c r="F154" s="7" t="inlineStr">
        <is>
          <t>Reclusão</t>
        </is>
      </c>
      <c r="G154" s="7" t="inlineStr">
        <is>
          <t>Pública Incondicionada</t>
        </is>
      </c>
      <c r="H154" s="7" t="inlineStr">
        <is>
          <t>Não</t>
        </is>
      </c>
      <c r="I154" s="7" t="inlineStr">
        <is>
          <t>Doloso</t>
        </is>
      </c>
      <c r="J154" s="7" t="inlineStr">
        <is>
          <t>Sim</t>
        </is>
      </c>
      <c r="K154" s="7" t="inlineStr">
        <is>
          <t>Não</t>
        </is>
      </c>
      <c r="L154" s="7" t="inlineStr">
        <is>
          <t>Não</t>
        </is>
      </c>
      <c r="M154" s="7" t="inlineStr">
        <is>
          <t>Sim</t>
        </is>
      </c>
      <c r="N154" s="7" t="inlineStr">
        <is>
          <t>Não</t>
        </is>
      </c>
      <c r="O154" s="7" t="inlineStr">
        <is>
          <t>Sim</t>
        </is>
      </c>
      <c r="P154" s="16" t="inlineStr">
        <is>
          <t>2-5 anos reclusão. Induzir alguém menor de 14 anos a satisfazer a lascívia de outrem</t>
        </is>
      </c>
    </row>
    <row r="155">
      <c r="A155" s="7" t="inlineStr">
        <is>
          <t>CP</t>
        </is>
      </c>
      <c r="B155" s="7" t="inlineStr">
        <is>
          <t>Art. 218-A</t>
        </is>
      </c>
      <c r="C155" s="16" t="inlineStr">
        <is>
          <t>Satisfação de lascívia mediante presença de criança ou adolescente</t>
        </is>
      </c>
      <c r="D155" s="7" t="n">
        <v>24</v>
      </c>
      <c r="E155" s="7" t="n">
        <v>48</v>
      </c>
      <c r="F155" s="7" t="inlineStr">
        <is>
          <t>Reclusão</t>
        </is>
      </c>
      <c r="G155" s="7" t="inlineStr">
        <is>
          <t>Pública Incondicionada</t>
        </is>
      </c>
      <c r="H155" s="7" t="inlineStr">
        <is>
          <t>Não</t>
        </is>
      </c>
      <c r="I155" s="7" t="inlineStr">
        <is>
          <t>Doloso</t>
        </is>
      </c>
      <c r="J155" s="7" t="inlineStr">
        <is>
          <t>Sim</t>
        </is>
      </c>
      <c r="K155" s="7" t="inlineStr">
        <is>
          <t>Não</t>
        </is>
      </c>
      <c r="L155" s="7" t="inlineStr">
        <is>
          <t>Não</t>
        </is>
      </c>
      <c r="M155" s="7" t="inlineStr">
        <is>
          <t>Sim</t>
        </is>
      </c>
      <c r="N155" s="7" t="inlineStr">
        <is>
          <t>Não</t>
        </is>
      </c>
      <c r="O155" s="7" t="inlineStr">
        <is>
          <t>Sim</t>
        </is>
      </c>
      <c r="P155" s="16" t="inlineStr">
        <is>
          <t>2-4 anos reclusão. Praticar conjunção carnal ou outro ato libidinoso na presença de alguém menor de 14 anos, ou induzi-lo a presenciar, para satisfazer lascívia própria ou de outrem</t>
        </is>
      </c>
    </row>
    <row r="156">
      <c r="A156" s="17" t="inlineStr">
        <is>
          <t>CP</t>
        </is>
      </c>
      <c r="B156" s="17" t="inlineStr">
        <is>
          <t>Art. 218-B</t>
        </is>
      </c>
      <c r="C156" s="18" t="inlineStr">
        <is>
          <t>Favorecimento da prostituição ou exploração sexual de criança/adolescente/vulnerável</t>
        </is>
      </c>
      <c r="D156" s="17" t="n">
        <v>48</v>
      </c>
      <c r="E156" s="17" t="n">
        <v>120</v>
      </c>
      <c r="F156" s="17" t="inlineStr">
        <is>
          <t>Reclusão</t>
        </is>
      </c>
      <c r="G156" s="17" t="inlineStr">
        <is>
          <t>Pública Incondicionada</t>
        </is>
      </c>
      <c r="H156" s="17" t="inlineStr">
        <is>
          <t>Sim</t>
        </is>
      </c>
      <c r="I156" s="17" t="inlineStr">
        <is>
          <t>Doloso</t>
        </is>
      </c>
      <c r="J156" s="17" t="inlineStr">
        <is>
          <t>Sim</t>
        </is>
      </c>
      <c r="K156" s="17" t="inlineStr">
        <is>
          <t>Não</t>
        </is>
      </c>
      <c r="L156" s="17" t="inlineStr">
        <is>
          <t>Não</t>
        </is>
      </c>
      <c r="M156" s="17" t="inlineStr">
        <is>
          <t>Não</t>
        </is>
      </c>
      <c r="N156" s="17" t="inlineStr">
        <is>
          <t>Não</t>
        </is>
      </c>
      <c r="O156" s="17" t="inlineStr">
        <is>
          <t>Verificar</t>
        </is>
      </c>
      <c r="P156" s="18" t="inlineStr">
        <is>
          <t>4-10 anos reclusão. Hediondo. Submeter, induzir ou atrair à prostituição ou outra forma de exploração sexual alguém menor de 18 anos ou que, por enfermidade ou deficiência mental, não tem o necessário discernimento</t>
        </is>
      </c>
    </row>
    <row r="157">
      <c r="A157" s="7" t="inlineStr">
        <is>
          <t>CP</t>
        </is>
      </c>
      <c r="B157" s="7" t="inlineStr">
        <is>
          <t>Art. 218-C</t>
        </is>
      </c>
      <c r="C157" s="16" t="inlineStr">
        <is>
          <t>Divulgação de cena de estupro/sexo/nudez sem consentimento (pornografia de vingança)</t>
        </is>
      </c>
      <c r="D157" s="7" t="n">
        <v>12</v>
      </c>
      <c r="E157" s="7" t="n">
        <v>60</v>
      </c>
      <c r="F157" s="7" t="inlineStr">
        <is>
          <t>Reclusão</t>
        </is>
      </c>
      <c r="G157" s="7" t="inlineStr">
        <is>
          <t>Pública Incondicionada</t>
        </is>
      </c>
      <c r="H157" s="7" t="inlineStr">
        <is>
          <t>Não</t>
        </is>
      </c>
      <c r="I157" s="7" t="inlineStr">
        <is>
          <t>Doloso</t>
        </is>
      </c>
      <c r="J157" s="7" t="inlineStr">
        <is>
          <t>Sim</t>
        </is>
      </c>
      <c r="K157" s="7" t="inlineStr">
        <is>
          <t>Não</t>
        </is>
      </c>
      <c r="L157" s="7" t="inlineStr">
        <is>
          <t>Não</t>
        </is>
      </c>
      <c r="M157" s="7" t="inlineStr">
        <is>
          <t>Sim</t>
        </is>
      </c>
      <c r="N157" s="7" t="inlineStr">
        <is>
          <t>Sim</t>
        </is>
      </c>
      <c r="O157" s="7" t="inlineStr">
        <is>
          <t>Sim</t>
        </is>
      </c>
      <c r="P157" s="16" t="inlineStr">
        <is>
          <t>1-5 anos reclusão. Oferecer/trocar/disponibilizar/transmitir/vender/expor/distribuir cena de estupro ou de nudez sem consentimento. +1/3 a 2/3 se praticado por alguém que mantém/manteve relação íntima de afeto (revenge porn). Lei 13.718/2018</t>
        </is>
      </c>
    </row>
    <row r="158">
      <c r="A158" s="7" t="inlineStr">
        <is>
          <t>CP</t>
        </is>
      </c>
      <c r="B158" s="7" t="inlineStr">
        <is>
          <t>Art. 184, caput</t>
        </is>
      </c>
      <c r="C158" s="16" t="inlineStr">
        <is>
          <t>Violação de direito autoral</t>
        </is>
      </c>
      <c r="D158" s="7" t="n">
        <v>3</v>
      </c>
      <c r="E158" s="7" t="n">
        <v>12</v>
      </c>
      <c r="F158" s="7" t="inlineStr">
        <is>
          <t>Detenção</t>
        </is>
      </c>
      <c r="G158" s="7" t="inlineStr">
        <is>
          <t>Ação Penal Privada</t>
        </is>
      </c>
      <c r="H158" s="7" t="inlineStr">
        <is>
          <t>Não</t>
        </is>
      </c>
      <c r="I158" s="7" t="inlineStr">
        <is>
          <t>Doloso</t>
        </is>
      </c>
      <c r="J158" s="7" t="inlineStr">
        <is>
          <t>Sim</t>
        </is>
      </c>
      <c r="K158" s="7" t="inlineStr">
        <is>
          <t>Não</t>
        </is>
      </c>
      <c r="L158" s="7" t="inlineStr">
        <is>
          <t>Não</t>
        </is>
      </c>
      <c r="M158" s="7" t="inlineStr">
        <is>
          <t>Sim</t>
        </is>
      </c>
      <c r="N158" s="7" t="inlineStr">
        <is>
          <t>Sim</t>
        </is>
      </c>
      <c r="O158" s="7" t="inlineStr">
        <is>
          <t>Sim</t>
        </is>
      </c>
      <c r="P158" s="16" t="inlineStr">
        <is>
          <t>3 meses a 1 ano detenção ou multa</t>
        </is>
      </c>
    </row>
    <row r="159">
      <c r="A159" s="7" t="inlineStr">
        <is>
          <t>CP</t>
        </is>
      </c>
      <c r="B159" s="7" t="inlineStr">
        <is>
          <t>Art. 184, §1º</t>
        </is>
      </c>
      <c r="C159" s="16" t="inlineStr">
        <is>
          <t>Violação de direito autoral com intuito de lucro direto ou indireto (reprodução)</t>
        </is>
      </c>
      <c r="D159" s="7" t="n">
        <v>24</v>
      </c>
      <c r="E159" s="7" t="n">
        <v>48</v>
      </c>
      <c r="F159" s="7" t="inlineStr">
        <is>
          <t>Reclusão</t>
        </is>
      </c>
      <c r="G159" s="7" t="inlineStr">
        <is>
          <t>Pública Incondicionada</t>
        </is>
      </c>
      <c r="H159" s="7" t="inlineStr">
        <is>
          <t>Não</t>
        </is>
      </c>
      <c r="I159" s="7" t="inlineStr">
        <is>
          <t>Doloso</t>
        </is>
      </c>
      <c r="J159" s="7" t="inlineStr">
        <is>
          <t>Sim</t>
        </is>
      </c>
      <c r="K159" s="7" t="inlineStr">
        <is>
          <t>Não</t>
        </is>
      </c>
      <c r="L159" s="7" t="inlineStr">
        <is>
          <t>Não</t>
        </is>
      </c>
      <c r="M159" s="7" t="inlineStr">
        <is>
          <t>Sim</t>
        </is>
      </c>
      <c r="N159" s="7" t="inlineStr">
        <is>
          <t>Não</t>
        </is>
      </c>
      <c r="O159" s="7" t="inlineStr">
        <is>
          <t>Sim</t>
        </is>
      </c>
      <c r="P159" s="16" t="inlineStr">
        <is>
          <t>2-4 anos reclusão + multa. Reprodução total ou parcial com intuito de lucro direto ou indireto</t>
        </is>
      </c>
    </row>
    <row r="160">
      <c r="A160" s="7" t="inlineStr">
        <is>
          <t>CP</t>
        </is>
      </c>
      <c r="B160" s="7" t="inlineStr">
        <is>
          <t>Art. 184, §2º</t>
        </is>
      </c>
      <c r="C160" s="16" t="inlineStr">
        <is>
          <t>Violação de direito autoral — distribuição/venda/exposição de cópia sem autorização</t>
        </is>
      </c>
      <c r="D160" s="7" t="n">
        <v>24</v>
      </c>
      <c r="E160" s="7" t="n">
        <v>48</v>
      </c>
      <c r="F160" s="7" t="inlineStr">
        <is>
          <t>Reclusão</t>
        </is>
      </c>
      <c r="G160" s="7" t="inlineStr">
        <is>
          <t>Pública Incondicionada</t>
        </is>
      </c>
      <c r="H160" s="7" t="inlineStr">
        <is>
          <t>Não</t>
        </is>
      </c>
      <c r="I160" s="7" t="inlineStr">
        <is>
          <t>Doloso</t>
        </is>
      </c>
      <c r="J160" s="7" t="inlineStr">
        <is>
          <t>Sim</t>
        </is>
      </c>
      <c r="K160" s="7" t="inlineStr">
        <is>
          <t>Não</t>
        </is>
      </c>
      <c r="L160" s="7" t="inlineStr">
        <is>
          <t>Não</t>
        </is>
      </c>
      <c r="M160" s="7" t="inlineStr">
        <is>
          <t>Sim</t>
        </is>
      </c>
      <c r="N160" s="7" t="inlineStr">
        <is>
          <t>Não</t>
        </is>
      </c>
      <c r="O160" s="7" t="inlineStr">
        <is>
          <t>Sim</t>
        </is>
      </c>
      <c r="P160" s="16" t="inlineStr">
        <is>
          <t>2-4 anos reclusão + multa. Com intuito de lucro</t>
        </is>
      </c>
    </row>
    <row r="161">
      <c r="A161" s="7" t="inlineStr">
        <is>
          <t>CP</t>
        </is>
      </c>
      <c r="B161" s="7" t="inlineStr">
        <is>
          <t>Art. 184, §3º</t>
        </is>
      </c>
      <c r="C161" s="16" t="inlineStr">
        <is>
          <t>Violação de direito autoral — oferecimento ao público mediante cabo/fibra/satélite/internet</t>
        </is>
      </c>
      <c r="D161" s="7" t="n">
        <v>24</v>
      </c>
      <c r="E161" s="7" t="n">
        <v>48</v>
      </c>
      <c r="F161" s="7" t="inlineStr">
        <is>
          <t>Reclusão</t>
        </is>
      </c>
      <c r="G161" s="7" t="inlineStr">
        <is>
          <t>Pública Incondicionada</t>
        </is>
      </c>
      <c r="H161" s="7" t="inlineStr">
        <is>
          <t>Não</t>
        </is>
      </c>
      <c r="I161" s="7" t="inlineStr">
        <is>
          <t>Doloso</t>
        </is>
      </c>
      <c r="J161" s="7" t="inlineStr">
        <is>
          <t>Sim</t>
        </is>
      </c>
      <c r="K161" s="7" t="inlineStr">
        <is>
          <t>Não</t>
        </is>
      </c>
      <c r="L161" s="7" t="inlineStr">
        <is>
          <t>Não</t>
        </is>
      </c>
      <c r="M161" s="7" t="inlineStr">
        <is>
          <t>Sim</t>
        </is>
      </c>
      <c r="N161" s="7" t="inlineStr">
        <is>
          <t>Não</t>
        </is>
      </c>
      <c r="O161" s="7" t="inlineStr">
        <is>
          <t>Sim</t>
        </is>
      </c>
      <c r="P161" s="16" t="inlineStr">
        <is>
          <t>2-4 anos reclusão + multa. Com intuito de lucro</t>
        </is>
      </c>
    </row>
    <row r="162">
      <c r="A162" s="7" t="inlineStr">
        <is>
          <t>CP</t>
        </is>
      </c>
      <c r="B162" s="7" t="inlineStr">
        <is>
          <t>Art. 185</t>
        </is>
      </c>
      <c r="C162" s="16" t="inlineStr">
        <is>
          <t>Usurpação de nome ou pseudônimo alheio</t>
        </is>
      </c>
      <c r="D162" s="7" t="n">
        <v>6</v>
      </c>
      <c r="E162" s="7" t="n">
        <v>24</v>
      </c>
      <c r="F162" s="7" t="inlineStr">
        <is>
          <t>Detenção</t>
        </is>
      </c>
      <c r="G162" s="7" t="inlineStr">
        <is>
          <t>Ação Penal Privada</t>
        </is>
      </c>
      <c r="H162" s="7" t="inlineStr">
        <is>
          <t>Não</t>
        </is>
      </c>
      <c r="I162" s="7" t="inlineStr">
        <is>
          <t>Doloso</t>
        </is>
      </c>
      <c r="J162" s="7" t="inlineStr">
        <is>
          <t>Sim</t>
        </is>
      </c>
      <c r="K162" s="7" t="inlineStr">
        <is>
          <t>Não</t>
        </is>
      </c>
      <c r="L162" s="7" t="inlineStr">
        <is>
          <t>Não</t>
        </is>
      </c>
      <c r="M162" s="7" t="inlineStr">
        <is>
          <t>Sim</t>
        </is>
      </c>
      <c r="N162" s="7" t="inlineStr">
        <is>
          <t>Sim</t>
        </is>
      </c>
      <c r="O162" s="7" t="inlineStr">
        <is>
          <t>Sim</t>
        </is>
      </c>
      <c r="P162" s="16" t="inlineStr">
        <is>
          <t>6 meses a 2 anos detenção + multa</t>
        </is>
      </c>
    </row>
    <row r="163">
      <c r="A163" s="26" t="inlineStr">
        <is>
          <t>CP</t>
        </is>
      </c>
      <c r="B163" s="26" t="inlineStr">
        <is>
          <t>Art. 197</t>
        </is>
      </c>
      <c r="C163" s="27" t="inlineStr">
        <is>
          <t>Atentado contra a liberdade de trabalho</t>
        </is>
      </c>
      <c r="D163" s="26" t="n">
        <v>12</v>
      </c>
      <c r="E163" s="26" t="n">
        <v>24</v>
      </c>
      <c r="F163" s="26" t="inlineStr">
        <is>
          <t>Detenção</t>
        </is>
      </c>
      <c r="G163" s="26" t="inlineStr">
        <is>
          <t>Pública Incondicionada</t>
        </is>
      </c>
      <c r="H163" s="26" t="inlineStr">
        <is>
          <t>Não</t>
        </is>
      </c>
      <c r="I163" s="26" t="inlineStr">
        <is>
          <t>Doloso</t>
        </is>
      </c>
      <c r="J163" s="26" t="inlineStr">
        <is>
          <t>Sim</t>
        </is>
      </c>
      <c r="K163" s="26" t="inlineStr">
        <is>
          <t>Sim</t>
        </is>
      </c>
      <c r="L163" s="26" t="inlineStr">
        <is>
          <t>Sim</t>
        </is>
      </c>
      <c r="M163" s="26" t="inlineStr">
        <is>
          <t>Não</t>
        </is>
      </c>
      <c r="N163" s="26" t="inlineStr">
        <is>
          <t>Sim</t>
        </is>
      </c>
      <c r="O163" s="26" t="inlineStr">
        <is>
          <t>Sim</t>
        </is>
      </c>
      <c r="P163" s="27" t="inlineStr">
        <is>
          <t>1-2 anos detenção + multa. Constranger alguém mediante violência ou grave ameaça a exercer ou não exercer arte/ofício/profissão/indústria</t>
        </is>
      </c>
    </row>
    <row r="164">
      <c r="A164" s="26" t="inlineStr">
        <is>
          <t>CP</t>
        </is>
      </c>
      <c r="B164" s="26" t="inlineStr">
        <is>
          <t>Art. 198</t>
        </is>
      </c>
      <c r="C164" s="27" t="inlineStr">
        <is>
          <t>Atentado contra a liberdade de contrato de trabalho e boicotagem violenta</t>
        </is>
      </c>
      <c r="D164" s="26" t="n">
        <v>12</v>
      </c>
      <c r="E164" s="26" t="n">
        <v>24</v>
      </c>
      <c r="F164" s="26" t="inlineStr">
        <is>
          <t>Detenção</t>
        </is>
      </c>
      <c r="G164" s="26" t="inlineStr">
        <is>
          <t>Pública Incondicionada</t>
        </is>
      </c>
      <c r="H164" s="26" t="inlineStr">
        <is>
          <t>Não</t>
        </is>
      </c>
      <c r="I164" s="26" t="inlineStr">
        <is>
          <t>Doloso</t>
        </is>
      </c>
      <c r="J164" s="26" t="inlineStr">
        <is>
          <t>Sim</t>
        </is>
      </c>
      <c r="K164" s="26" t="inlineStr">
        <is>
          <t>Sim</t>
        </is>
      </c>
      <c r="L164" s="26" t="inlineStr">
        <is>
          <t>Sim</t>
        </is>
      </c>
      <c r="M164" s="26" t="inlineStr">
        <is>
          <t>Não</t>
        </is>
      </c>
      <c r="N164" s="26" t="inlineStr">
        <is>
          <t>Sim</t>
        </is>
      </c>
      <c r="O164" s="26" t="inlineStr">
        <is>
          <t>Sim</t>
        </is>
      </c>
      <c r="P164" s="27" t="inlineStr">
        <is>
          <t>1-2 anos detenção + multa</t>
        </is>
      </c>
    </row>
    <row r="165">
      <c r="A165" s="26" t="inlineStr">
        <is>
          <t>CP</t>
        </is>
      </c>
      <c r="B165" s="26" t="inlineStr">
        <is>
          <t>Art. 199</t>
        </is>
      </c>
      <c r="C165" s="27" t="inlineStr">
        <is>
          <t>Atentado contra a liberdade de associação</t>
        </is>
      </c>
      <c r="D165" s="26" t="n">
        <v>1</v>
      </c>
      <c r="E165" s="26" t="n">
        <v>12</v>
      </c>
      <c r="F165" s="26" t="inlineStr">
        <is>
          <t>Detenção</t>
        </is>
      </c>
      <c r="G165" s="26" t="inlineStr">
        <is>
          <t>Pública Incondicionada</t>
        </is>
      </c>
      <c r="H165" s="26" t="inlineStr">
        <is>
          <t>Não</t>
        </is>
      </c>
      <c r="I165" s="26" t="inlineStr">
        <is>
          <t>Doloso</t>
        </is>
      </c>
      <c r="J165" s="26" t="inlineStr">
        <is>
          <t>Sim</t>
        </is>
      </c>
      <c r="K165" s="26" t="inlineStr">
        <is>
          <t>Sim</t>
        </is>
      </c>
      <c r="L165" s="26" t="inlineStr">
        <is>
          <t>Sim</t>
        </is>
      </c>
      <c r="M165" s="26" t="inlineStr">
        <is>
          <t>Não</t>
        </is>
      </c>
      <c r="N165" s="26" t="inlineStr">
        <is>
          <t>Sim</t>
        </is>
      </c>
      <c r="O165" s="26" t="inlineStr">
        <is>
          <t>Sim</t>
        </is>
      </c>
      <c r="P165" s="27" t="inlineStr">
        <is>
          <t>1-12 meses detenção + multa. Constranger alguém a participar ou deixar de participar de sindicato ou associação profissional</t>
        </is>
      </c>
    </row>
    <row r="166">
      <c r="A166" s="26" t="inlineStr">
        <is>
          <t>CP</t>
        </is>
      </c>
      <c r="B166" s="26" t="inlineStr">
        <is>
          <t>Art. 200</t>
        </is>
      </c>
      <c r="C166" s="27" t="inlineStr">
        <is>
          <t>Paralisação de trabalho seguida de violência</t>
        </is>
      </c>
      <c r="D166" s="26" t="n">
        <v>1</v>
      </c>
      <c r="E166" s="26" t="n">
        <v>6</v>
      </c>
      <c r="F166" s="26" t="inlineStr">
        <is>
          <t>Detenção</t>
        </is>
      </c>
      <c r="G166" s="26" t="inlineStr">
        <is>
          <t>Pública Incondicionada</t>
        </is>
      </c>
      <c r="H166" s="26" t="inlineStr">
        <is>
          <t>Não</t>
        </is>
      </c>
      <c r="I166" s="26" t="inlineStr">
        <is>
          <t>Doloso</t>
        </is>
      </c>
      <c r="J166" s="26" t="inlineStr">
        <is>
          <t>Sim</t>
        </is>
      </c>
      <c r="K166" s="26" t="inlineStr">
        <is>
          <t>Sim</t>
        </is>
      </c>
      <c r="L166" s="26" t="inlineStr">
        <is>
          <t>Não</t>
        </is>
      </c>
      <c r="M166" s="26" t="inlineStr">
        <is>
          <t>Não</t>
        </is>
      </c>
      <c r="N166" s="26" t="inlineStr">
        <is>
          <t>Sim</t>
        </is>
      </c>
      <c r="O166" s="26" t="inlineStr">
        <is>
          <t>Sim</t>
        </is>
      </c>
      <c r="P166" s="27" t="inlineStr">
        <is>
          <t>1-6 meses detenção + multa</t>
        </is>
      </c>
    </row>
    <row r="167">
      <c r="A167" s="7" t="inlineStr">
        <is>
          <t>CP</t>
        </is>
      </c>
      <c r="B167" s="7" t="inlineStr">
        <is>
          <t>Art. 201</t>
        </is>
      </c>
      <c r="C167" s="16" t="inlineStr">
        <is>
          <t>Paralisação de trabalho de interesse coletivo</t>
        </is>
      </c>
      <c r="D167" s="7" t="n">
        <v>6</v>
      </c>
      <c r="E167" s="7" t="n">
        <v>24</v>
      </c>
      <c r="F167" s="7" t="inlineStr">
        <is>
          <t>Detenção</t>
        </is>
      </c>
      <c r="G167" s="7" t="inlineStr">
        <is>
          <t>Pública Incondicionada</t>
        </is>
      </c>
      <c r="H167" s="7" t="inlineStr">
        <is>
          <t>Não</t>
        </is>
      </c>
      <c r="I167" s="7" t="inlineStr">
        <is>
          <t>Doloso</t>
        </is>
      </c>
      <c r="J167" s="7" t="inlineStr">
        <is>
          <t>Sim</t>
        </is>
      </c>
      <c r="K167" s="7" t="inlineStr">
        <is>
          <t>Não</t>
        </is>
      </c>
      <c r="L167" s="7" t="inlineStr">
        <is>
          <t>Não</t>
        </is>
      </c>
      <c r="M167" s="7" t="inlineStr">
        <is>
          <t>Sim</t>
        </is>
      </c>
      <c r="N167" s="7" t="inlineStr">
        <is>
          <t>Sim</t>
        </is>
      </c>
      <c r="O167" s="7" t="inlineStr">
        <is>
          <t>Sim</t>
        </is>
      </c>
      <c r="P167" s="16" t="inlineStr">
        <is>
          <t>6 meses a 2 anos detenção + multa. Participar de paralisação que resulte em perturbação da ordem pública ou contrarie interesses da coletividade</t>
        </is>
      </c>
    </row>
    <row r="168">
      <c r="A168" s="26" t="inlineStr">
        <is>
          <t>CP</t>
        </is>
      </c>
      <c r="B168" s="26" t="inlineStr">
        <is>
          <t>Art. 202</t>
        </is>
      </c>
      <c r="C168" s="27" t="inlineStr">
        <is>
          <t>Invasão de estabelecimento industrial/comercial/agrícola e sabotagem</t>
        </is>
      </c>
      <c r="D168" s="26" t="n">
        <v>1</v>
      </c>
      <c r="E168" s="26" t="n">
        <v>36</v>
      </c>
      <c r="F168" s="26" t="inlineStr">
        <is>
          <t>Detenção</t>
        </is>
      </c>
      <c r="G168" s="26" t="inlineStr">
        <is>
          <t>Pública Incondicionada</t>
        </is>
      </c>
      <c r="H168" s="26" t="inlineStr">
        <is>
          <t>Não</t>
        </is>
      </c>
      <c r="I168" s="26" t="inlineStr">
        <is>
          <t>Doloso</t>
        </is>
      </c>
      <c r="J168" s="26" t="inlineStr">
        <is>
          <t>Sim</t>
        </is>
      </c>
      <c r="K168" s="26" t="inlineStr">
        <is>
          <t>Sim</t>
        </is>
      </c>
      <c r="L168" s="26" t="inlineStr">
        <is>
          <t>Não</t>
        </is>
      </c>
      <c r="M168" s="26" t="inlineStr">
        <is>
          <t>Não</t>
        </is>
      </c>
      <c r="N168" s="26" t="inlineStr">
        <is>
          <t>Sim</t>
        </is>
      </c>
      <c r="O168" s="26" t="inlineStr">
        <is>
          <t>Sim</t>
        </is>
      </c>
      <c r="P168" s="27" t="inlineStr">
        <is>
          <t>1 mês a 3 anos detenção + multa</t>
        </is>
      </c>
    </row>
    <row r="169">
      <c r="A169" s="7" t="inlineStr">
        <is>
          <t>CP</t>
        </is>
      </c>
      <c r="B169" s="7" t="inlineStr">
        <is>
          <t>Art. 203</t>
        </is>
      </c>
      <c r="C169" s="16" t="inlineStr">
        <is>
          <t>Frustração de direito assegurado por lei trabalhista</t>
        </is>
      </c>
      <c r="D169" s="7" t="n">
        <v>12</v>
      </c>
      <c r="E169" s="7" t="n">
        <v>24</v>
      </c>
      <c r="F169" s="7" t="inlineStr">
        <is>
          <t>Detenção</t>
        </is>
      </c>
      <c r="G169" s="7" t="inlineStr">
        <is>
          <t>Pública Incondicionada</t>
        </is>
      </c>
      <c r="H169" s="7" t="inlineStr">
        <is>
          <t>Não</t>
        </is>
      </c>
      <c r="I169" s="7" t="inlineStr">
        <is>
          <t>Doloso</t>
        </is>
      </c>
      <c r="J169" s="7" t="inlineStr">
        <is>
          <t>Sim</t>
        </is>
      </c>
      <c r="K169" s="7" t="inlineStr">
        <is>
          <t>Não</t>
        </is>
      </c>
      <c r="L169" s="7" t="inlineStr">
        <is>
          <t>Não</t>
        </is>
      </c>
      <c r="M169" s="7" t="inlineStr">
        <is>
          <t>Sim</t>
        </is>
      </c>
      <c r="N169" s="7" t="inlineStr">
        <is>
          <t>Sim</t>
        </is>
      </c>
      <c r="O169" s="7" t="inlineStr">
        <is>
          <t>Sim</t>
        </is>
      </c>
      <c r="P169" s="16" t="inlineStr">
        <is>
          <t>1-2 anos detenção + multa. §1º: pena idêntica para quem obrigar/coagir o trabalhador a usar mercadorias de determinado estabelecimento ou impedir de se desligar de serviços</t>
        </is>
      </c>
    </row>
    <row r="170">
      <c r="A170" s="7" t="inlineStr">
        <is>
          <t>CP</t>
        </is>
      </c>
      <c r="B170" s="7" t="inlineStr">
        <is>
          <t>Art. 204</t>
        </is>
      </c>
      <c r="C170" s="16" t="inlineStr">
        <is>
          <t>Frustração de lei sobre a nacionalização do trabalho</t>
        </is>
      </c>
      <c r="D170" s="7" t="n">
        <v>1</v>
      </c>
      <c r="E170" s="7" t="n">
        <v>12</v>
      </c>
      <c r="F170" s="7" t="inlineStr">
        <is>
          <t>Detenção</t>
        </is>
      </c>
      <c r="G170" s="7" t="inlineStr">
        <is>
          <t>Pública Incondicionada</t>
        </is>
      </c>
      <c r="H170" s="7" t="inlineStr">
        <is>
          <t>Não</t>
        </is>
      </c>
      <c r="I170" s="7" t="inlineStr">
        <is>
          <t>Doloso</t>
        </is>
      </c>
      <c r="J170" s="7" t="inlineStr">
        <is>
          <t>Sim</t>
        </is>
      </c>
      <c r="K170" s="7" t="inlineStr">
        <is>
          <t>Não</t>
        </is>
      </c>
      <c r="L170" s="7" t="inlineStr">
        <is>
          <t>Não</t>
        </is>
      </c>
      <c r="M170" s="7" t="inlineStr">
        <is>
          <t>Sim</t>
        </is>
      </c>
      <c r="N170" s="7" t="inlineStr">
        <is>
          <t>Sim</t>
        </is>
      </c>
      <c r="O170" s="7" t="inlineStr">
        <is>
          <t>Sim</t>
        </is>
      </c>
      <c r="P170" s="16" t="inlineStr">
        <is>
          <t>1-12 meses detenção + multa</t>
        </is>
      </c>
    </row>
    <row r="171">
      <c r="A171" s="7" t="inlineStr">
        <is>
          <t>CP</t>
        </is>
      </c>
      <c r="B171" s="7" t="inlineStr">
        <is>
          <t>Art. 205</t>
        </is>
      </c>
      <c r="C171" s="16" t="inlineStr">
        <is>
          <t>Exercício de atividade com infração de decisão administrativa</t>
        </is>
      </c>
      <c r="D171" s="7" t="n">
        <v>3</v>
      </c>
      <c r="E171" s="7" t="n">
        <v>24</v>
      </c>
      <c r="F171" s="7" t="inlineStr">
        <is>
          <t>Detenção</t>
        </is>
      </c>
      <c r="G171" s="7" t="inlineStr">
        <is>
          <t>Pública Incondicionada</t>
        </is>
      </c>
      <c r="H171" s="7" t="inlineStr">
        <is>
          <t>Não</t>
        </is>
      </c>
      <c r="I171" s="7" t="inlineStr">
        <is>
          <t>Doloso</t>
        </is>
      </c>
      <c r="J171" s="7" t="inlineStr">
        <is>
          <t>Sim</t>
        </is>
      </c>
      <c r="K171" s="7" t="inlineStr">
        <is>
          <t>Não</t>
        </is>
      </c>
      <c r="L171" s="7" t="inlineStr">
        <is>
          <t>Não</t>
        </is>
      </c>
      <c r="M171" s="7" t="inlineStr">
        <is>
          <t>Sim</t>
        </is>
      </c>
      <c r="N171" s="7" t="inlineStr">
        <is>
          <t>Sim</t>
        </is>
      </c>
      <c r="O171" s="7" t="inlineStr">
        <is>
          <t>Sim</t>
        </is>
      </c>
      <c r="P171" s="16" t="inlineStr">
        <is>
          <t>3 meses a 2 anos detenção ou multa</t>
        </is>
      </c>
    </row>
    <row r="172">
      <c r="A172" s="7" t="inlineStr">
        <is>
          <t>CP</t>
        </is>
      </c>
      <c r="B172" s="7" t="inlineStr">
        <is>
          <t>Art. 206</t>
        </is>
      </c>
      <c r="C172" s="16" t="inlineStr">
        <is>
          <t>Aliciamento para o fim de emigração</t>
        </is>
      </c>
      <c r="D172" s="7" t="n">
        <v>12</v>
      </c>
      <c r="E172" s="7" t="n">
        <v>36</v>
      </c>
      <c r="F172" s="7" t="inlineStr">
        <is>
          <t>Detenção</t>
        </is>
      </c>
      <c r="G172" s="7" t="inlineStr">
        <is>
          <t>Pública Incondicionada</t>
        </is>
      </c>
      <c r="H172" s="7" t="inlineStr">
        <is>
          <t>Não</t>
        </is>
      </c>
      <c r="I172" s="7" t="inlineStr">
        <is>
          <t>Doloso</t>
        </is>
      </c>
      <c r="J172" s="7" t="inlineStr">
        <is>
          <t>Sim</t>
        </is>
      </c>
      <c r="K172" s="7" t="inlineStr">
        <is>
          <t>Não</t>
        </is>
      </c>
      <c r="L172" s="7" t="inlineStr">
        <is>
          <t>Não</t>
        </is>
      </c>
      <c r="M172" s="7" t="inlineStr">
        <is>
          <t>Sim</t>
        </is>
      </c>
      <c r="N172" s="7" t="inlineStr">
        <is>
          <t>Sim</t>
        </is>
      </c>
      <c r="O172" s="7" t="inlineStr">
        <is>
          <t>Sim</t>
        </is>
      </c>
      <c r="P172" s="16" t="inlineStr">
        <is>
          <t>1-3 anos detenção + multa</t>
        </is>
      </c>
    </row>
    <row r="173">
      <c r="A173" s="7" t="inlineStr">
        <is>
          <t>CP</t>
        </is>
      </c>
      <c r="B173" s="7" t="inlineStr">
        <is>
          <t>Art. 207</t>
        </is>
      </c>
      <c r="C173" s="16" t="inlineStr">
        <is>
          <t>Aliciamento de trabalhadores de um local para outro do território nacional</t>
        </is>
      </c>
      <c r="D173" s="7" t="n">
        <v>12</v>
      </c>
      <c r="E173" s="7" t="n">
        <v>36</v>
      </c>
      <c r="F173" s="7" t="inlineStr">
        <is>
          <t>Detenção</t>
        </is>
      </c>
      <c r="G173" s="7" t="inlineStr">
        <is>
          <t>Pública Incondicionada</t>
        </is>
      </c>
      <c r="H173" s="7" t="inlineStr">
        <is>
          <t>Não</t>
        </is>
      </c>
      <c r="I173" s="7" t="inlineStr">
        <is>
          <t>Doloso</t>
        </is>
      </c>
      <c r="J173" s="7" t="inlineStr">
        <is>
          <t>Sim</t>
        </is>
      </c>
      <c r="K173" s="7" t="inlineStr">
        <is>
          <t>Não</t>
        </is>
      </c>
      <c r="L173" s="7" t="inlineStr">
        <is>
          <t>Não</t>
        </is>
      </c>
      <c r="M173" s="7" t="inlineStr">
        <is>
          <t>Sim</t>
        </is>
      </c>
      <c r="N173" s="7" t="inlineStr">
        <is>
          <t>Sim</t>
        </is>
      </c>
      <c r="O173" s="7" t="inlineStr">
        <is>
          <t>Sim</t>
        </is>
      </c>
      <c r="P173" s="16" t="inlineStr">
        <is>
          <t>1-3 anos detenção + multa. §1º: aumento de 1/3 se fraude na contratação, cobrança de comissão do trabalhador, ou não assegure condições de retorno</t>
        </is>
      </c>
    </row>
    <row r="174">
      <c r="A174" s="7" t="inlineStr">
        <is>
          <t>CP</t>
        </is>
      </c>
      <c r="B174" s="7" t="inlineStr">
        <is>
          <t>Art. 208</t>
        </is>
      </c>
      <c r="C174" s="16" t="inlineStr">
        <is>
          <t>Ultraje a culto e impedimento ou perturbação de ato a ele relativo</t>
        </is>
      </c>
      <c r="D174" s="7" t="n">
        <v>1</v>
      </c>
      <c r="E174" s="7" t="n">
        <v>12</v>
      </c>
      <c r="F174" s="7" t="inlineStr">
        <is>
          <t>Detenção</t>
        </is>
      </c>
      <c r="G174" s="7" t="inlineStr">
        <is>
          <t>Pública Incondicionada</t>
        </is>
      </c>
      <c r="H174" s="7" t="inlineStr">
        <is>
          <t>Não</t>
        </is>
      </c>
      <c r="I174" s="7" t="inlineStr">
        <is>
          <t>Doloso</t>
        </is>
      </c>
      <c r="J174" s="7" t="inlineStr">
        <is>
          <t>Sim</t>
        </is>
      </c>
      <c r="K174" s="7" t="inlineStr">
        <is>
          <t>Não</t>
        </is>
      </c>
      <c r="L174" s="7" t="inlineStr">
        <is>
          <t>Não</t>
        </is>
      </c>
      <c r="M174" s="7" t="inlineStr">
        <is>
          <t>Sim</t>
        </is>
      </c>
      <c r="N174" s="7" t="inlineStr">
        <is>
          <t>Sim</t>
        </is>
      </c>
      <c r="O174" s="7" t="inlineStr">
        <is>
          <t>Sim</t>
        </is>
      </c>
      <c r="P174" s="16" t="inlineStr">
        <is>
          <t>1-12 meses detenção ou multa. Escarnecer de alguém publicamente por motivo de crença ou função religiosa; impedir ou perturbar cerimônia ou prática de culto; vilipendiar objeto de culto</t>
        </is>
      </c>
    </row>
    <row r="175">
      <c r="A175" s="7" t="inlineStr">
        <is>
          <t>CP</t>
        </is>
      </c>
      <c r="B175" s="7" t="inlineStr">
        <is>
          <t>Art. 209</t>
        </is>
      </c>
      <c r="C175" s="16" t="inlineStr">
        <is>
          <t>Impedimento ou perturbação de cerimônia funerária</t>
        </is>
      </c>
      <c r="D175" s="7" t="n">
        <v>1</v>
      </c>
      <c r="E175" s="7" t="n">
        <v>12</v>
      </c>
      <c r="F175" s="7" t="inlineStr">
        <is>
          <t>Detenção</t>
        </is>
      </c>
      <c r="G175" s="7" t="inlineStr">
        <is>
          <t>Pública Incondicionada</t>
        </is>
      </c>
      <c r="H175" s="7" t="inlineStr">
        <is>
          <t>Não</t>
        </is>
      </c>
      <c r="I175" s="7" t="inlineStr">
        <is>
          <t>Doloso</t>
        </is>
      </c>
      <c r="J175" s="7" t="inlineStr">
        <is>
          <t>Sim</t>
        </is>
      </c>
      <c r="K175" s="7" t="inlineStr">
        <is>
          <t>Não</t>
        </is>
      </c>
      <c r="L175" s="7" t="inlineStr">
        <is>
          <t>Não</t>
        </is>
      </c>
      <c r="M175" s="7" t="inlineStr">
        <is>
          <t>Sim</t>
        </is>
      </c>
      <c r="N175" s="7" t="inlineStr">
        <is>
          <t>Sim</t>
        </is>
      </c>
      <c r="O175" s="7" t="inlineStr">
        <is>
          <t>Sim</t>
        </is>
      </c>
      <c r="P175" s="16" t="inlineStr">
        <is>
          <t>1-12 meses detenção ou multa</t>
        </is>
      </c>
    </row>
    <row r="176">
      <c r="A176" s="7" t="inlineStr">
        <is>
          <t>CP</t>
        </is>
      </c>
      <c r="B176" s="7" t="inlineStr">
        <is>
          <t>Art. 210</t>
        </is>
      </c>
      <c r="C176" s="16" t="inlineStr">
        <is>
          <t>Violação de sepultura</t>
        </is>
      </c>
      <c r="D176" s="7" t="n">
        <v>12</v>
      </c>
      <c r="E176" s="7" t="n">
        <v>36</v>
      </c>
      <c r="F176" s="7" t="inlineStr">
        <is>
          <t>Reclusão</t>
        </is>
      </c>
      <c r="G176" s="7" t="inlineStr">
        <is>
          <t>Pública Incondicionada</t>
        </is>
      </c>
      <c r="H176" s="7" t="inlineStr">
        <is>
          <t>Não</t>
        </is>
      </c>
      <c r="I176" s="7" t="inlineStr">
        <is>
          <t>Doloso</t>
        </is>
      </c>
      <c r="J176" s="7" t="inlineStr">
        <is>
          <t>Sim</t>
        </is>
      </c>
      <c r="K176" s="7" t="inlineStr">
        <is>
          <t>Não</t>
        </is>
      </c>
      <c r="L176" s="7" t="inlineStr">
        <is>
          <t>Não</t>
        </is>
      </c>
      <c r="M176" s="7" t="inlineStr">
        <is>
          <t>Sim</t>
        </is>
      </c>
      <c r="N176" s="7" t="inlineStr">
        <is>
          <t>Sim</t>
        </is>
      </c>
      <c r="O176" s="7" t="inlineStr">
        <is>
          <t>Sim</t>
        </is>
      </c>
      <c r="P176" s="16" t="inlineStr">
        <is>
          <t>1-3 anos reclusão + multa</t>
        </is>
      </c>
    </row>
    <row r="177">
      <c r="A177" s="7" t="inlineStr">
        <is>
          <t>CP</t>
        </is>
      </c>
      <c r="B177" s="7" t="inlineStr">
        <is>
          <t>Art. 211</t>
        </is>
      </c>
      <c r="C177" s="16" t="inlineStr">
        <is>
          <t>Destruição, subtração ou ocultação de cadáver</t>
        </is>
      </c>
      <c r="D177" s="7" t="n">
        <v>12</v>
      </c>
      <c r="E177" s="7" t="n">
        <v>36</v>
      </c>
      <c r="F177" s="7" t="inlineStr">
        <is>
          <t>Reclusão</t>
        </is>
      </c>
      <c r="G177" s="7" t="inlineStr">
        <is>
          <t>Pública Incondicionada</t>
        </is>
      </c>
      <c r="H177" s="7" t="inlineStr">
        <is>
          <t>Não</t>
        </is>
      </c>
      <c r="I177" s="7" t="inlineStr">
        <is>
          <t>Doloso</t>
        </is>
      </c>
      <c r="J177" s="7" t="inlineStr">
        <is>
          <t>Sim</t>
        </is>
      </c>
      <c r="K177" s="7" t="inlineStr">
        <is>
          <t>Não</t>
        </is>
      </c>
      <c r="L177" s="7" t="inlineStr">
        <is>
          <t>Não</t>
        </is>
      </c>
      <c r="M177" s="7" t="inlineStr">
        <is>
          <t>Sim</t>
        </is>
      </c>
      <c r="N177" s="7" t="inlineStr">
        <is>
          <t>Sim</t>
        </is>
      </c>
      <c r="O177" s="7" t="inlineStr">
        <is>
          <t>Sim</t>
        </is>
      </c>
      <c r="P177" s="16" t="inlineStr">
        <is>
          <t>1-3 anos reclusão + multa</t>
        </is>
      </c>
    </row>
    <row r="178">
      <c r="A178" s="7" t="inlineStr">
        <is>
          <t>CP</t>
        </is>
      </c>
      <c r="B178" s="7" t="inlineStr">
        <is>
          <t>Art. 212</t>
        </is>
      </c>
      <c r="C178" s="16" t="inlineStr">
        <is>
          <t>Vilipêndio a cadáver</t>
        </is>
      </c>
      <c r="D178" s="7" t="n">
        <v>12</v>
      </c>
      <c r="E178" s="7" t="n">
        <v>36</v>
      </c>
      <c r="F178" s="7" t="inlineStr">
        <is>
          <t>Detenção</t>
        </is>
      </c>
      <c r="G178" s="7" t="inlineStr">
        <is>
          <t>Pública Incondicionada</t>
        </is>
      </c>
      <c r="H178" s="7" t="inlineStr">
        <is>
          <t>Não</t>
        </is>
      </c>
      <c r="I178" s="7" t="inlineStr">
        <is>
          <t>Doloso</t>
        </is>
      </c>
      <c r="J178" s="7" t="inlineStr">
        <is>
          <t>Sim</t>
        </is>
      </c>
      <c r="K178" s="7" t="inlineStr">
        <is>
          <t>Não</t>
        </is>
      </c>
      <c r="L178" s="7" t="inlineStr">
        <is>
          <t>Não</t>
        </is>
      </c>
      <c r="M178" s="7" t="inlineStr">
        <is>
          <t>Sim</t>
        </is>
      </c>
      <c r="N178" s="7" t="inlineStr">
        <is>
          <t>Sim</t>
        </is>
      </c>
      <c r="O178" s="7" t="inlineStr">
        <is>
          <t>Sim</t>
        </is>
      </c>
      <c r="P178" s="16" t="inlineStr">
        <is>
          <t>1-3 anos detenção + multa</t>
        </is>
      </c>
    </row>
    <row r="179">
      <c r="A179" s="7" t="inlineStr">
        <is>
          <t>CP</t>
        </is>
      </c>
      <c r="B179" s="7" t="inlineStr">
        <is>
          <t>Art. 227</t>
        </is>
      </c>
      <c r="C179" s="16" t="inlineStr">
        <is>
          <t>Mediação para servir a lascívia de outrem</t>
        </is>
      </c>
      <c r="D179" s="7" t="n">
        <v>12</v>
      </c>
      <c r="E179" s="7" t="n">
        <v>36</v>
      </c>
      <c r="F179" s="7" t="inlineStr">
        <is>
          <t>Reclusão</t>
        </is>
      </c>
      <c r="G179" s="7" t="inlineStr">
        <is>
          <t>Pública Incondicionada</t>
        </is>
      </c>
      <c r="H179" s="7" t="inlineStr">
        <is>
          <t>Não</t>
        </is>
      </c>
      <c r="I179" s="7" t="inlineStr">
        <is>
          <t>Doloso</t>
        </is>
      </c>
      <c r="J179" s="7" t="inlineStr">
        <is>
          <t>Sim</t>
        </is>
      </c>
      <c r="K179" s="7" t="inlineStr">
        <is>
          <t>Não</t>
        </is>
      </c>
      <c r="L179" s="7" t="inlineStr">
        <is>
          <t>Não</t>
        </is>
      </c>
      <c r="M179" s="7" t="inlineStr">
        <is>
          <t>Sim</t>
        </is>
      </c>
      <c r="N179" s="7" t="inlineStr">
        <is>
          <t>Sim</t>
        </is>
      </c>
      <c r="O179" s="7" t="inlineStr">
        <is>
          <t>Sim</t>
        </is>
      </c>
      <c r="P179" s="16" t="inlineStr">
        <is>
          <t>1-3 anos reclusão. §1º: +1/3 se contra ascendente/descendente/cônjuge/irmão/tutor/curador. §2º: se violência/grave ameaça: 2-8 anos</t>
        </is>
      </c>
    </row>
    <row r="180">
      <c r="A180" s="7" t="inlineStr">
        <is>
          <t>CP</t>
        </is>
      </c>
      <c r="B180" s="7" t="inlineStr">
        <is>
          <t>Art. 228</t>
        </is>
      </c>
      <c r="C180" s="16" t="inlineStr">
        <is>
          <t>Favorecimento da prostituição ou outra forma de exploração sexual</t>
        </is>
      </c>
      <c r="D180" s="7" t="n">
        <v>24</v>
      </c>
      <c r="E180" s="7" t="n">
        <v>60</v>
      </c>
      <c r="F180" s="7" t="inlineStr">
        <is>
          <t>Reclusão</t>
        </is>
      </c>
      <c r="G180" s="7" t="inlineStr">
        <is>
          <t>Pública Incondicionada</t>
        </is>
      </c>
      <c r="H180" s="7" t="inlineStr">
        <is>
          <t>Não</t>
        </is>
      </c>
      <c r="I180" s="7" t="inlineStr">
        <is>
          <t>Doloso</t>
        </is>
      </c>
      <c r="J180" s="7" t="inlineStr">
        <is>
          <t>Sim</t>
        </is>
      </c>
      <c r="K180" s="7" t="inlineStr">
        <is>
          <t>Não</t>
        </is>
      </c>
      <c r="L180" s="7" t="inlineStr">
        <is>
          <t>Não</t>
        </is>
      </c>
      <c r="M180" s="7" t="inlineStr">
        <is>
          <t>Sim</t>
        </is>
      </c>
      <c r="N180" s="7" t="inlineStr">
        <is>
          <t>Não</t>
        </is>
      </c>
      <c r="O180" s="7" t="inlineStr">
        <is>
          <t>Sim</t>
        </is>
      </c>
      <c r="P180" s="16" t="inlineStr">
        <is>
          <t>2-5 anos reclusão + multa. Induzir ou atrair alguém à prostituição ou outra forma de exploração sexual, facilitá-la, impedir ou dificultar que alguém a abandone</t>
        </is>
      </c>
    </row>
    <row r="181">
      <c r="A181" s="7" t="inlineStr">
        <is>
          <t>CP</t>
        </is>
      </c>
      <c r="B181" s="7" t="inlineStr">
        <is>
          <t>Art. 229</t>
        </is>
      </c>
      <c r="C181" s="16" t="inlineStr">
        <is>
          <t>Casa de prostituição (manutenção de estabelecimento para exploração sexual)</t>
        </is>
      </c>
      <c r="D181" s="7" t="n">
        <v>24</v>
      </c>
      <c r="E181" s="7" t="n">
        <v>60</v>
      </c>
      <c r="F181" s="7" t="inlineStr">
        <is>
          <t>Reclusão</t>
        </is>
      </c>
      <c r="G181" s="7" t="inlineStr">
        <is>
          <t>Pública Incondicionada</t>
        </is>
      </c>
      <c r="H181" s="7" t="inlineStr">
        <is>
          <t>Não</t>
        </is>
      </c>
      <c r="I181" s="7" t="inlineStr">
        <is>
          <t>Doloso</t>
        </is>
      </c>
      <c r="J181" s="7" t="inlineStr">
        <is>
          <t>Sim</t>
        </is>
      </c>
      <c r="K181" s="7" t="inlineStr">
        <is>
          <t>Não</t>
        </is>
      </c>
      <c r="L181" s="7" t="inlineStr">
        <is>
          <t>Não</t>
        </is>
      </c>
      <c r="M181" s="7" t="inlineStr">
        <is>
          <t>Sim</t>
        </is>
      </c>
      <c r="N181" s="7" t="inlineStr">
        <is>
          <t>Não</t>
        </is>
      </c>
      <c r="O181" s="7" t="inlineStr">
        <is>
          <t>Sim</t>
        </is>
      </c>
      <c r="P181" s="16" t="inlineStr">
        <is>
          <t>2-5 anos reclusão + multa</t>
        </is>
      </c>
    </row>
    <row r="182">
      <c r="A182" s="7" t="inlineStr">
        <is>
          <t>CP</t>
        </is>
      </c>
      <c r="B182" s="7" t="inlineStr">
        <is>
          <t>Art. 230</t>
        </is>
      </c>
      <c r="C182" s="16" t="inlineStr">
        <is>
          <t>Rufianismo</t>
        </is>
      </c>
      <c r="D182" s="7" t="n">
        <v>12</v>
      </c>
      <c r="E182" s="7" t="n">
        <v>48</v>
      </c>
      <c r="F182" s="7" t="inlineStr">
        <is>
          <t>Reclusão</t>
        </is>
      </c>
      <c r="G182" s="7" t="inlineStr">
        <is>
          <t>Pública Incondicionada</t>
        </is>
      </c>
      <c r="H182" s="7" t="inlineStr">
        <is>
          <t>Não</t>
        </is>
      </c>
      <c r="I182" s="7" t="inlineStr">
        <is>
          <t>Doloso</t>
        </is>
      </c>
      <c r="J182" s="7" t="inlineStr">
        <is>
          <t>Sim</t>
        </is>
      </c>
      <c r="K182" s="7" t="inlineStr">
        <is>
          <t>Não</t>
        </is>
      </c>
      <c r="L182" s="7" t="inlineStr">
        <is>
          <t>Não</t>
        </is>
      </c>
      <c r="M182" s="7" t="inlineStr">
        <is>
          <t>Sim</t>
        </is>
      </c>
      <c r="N182" s="7" t="inlineStr">
        <is>
          <t>Sim</t>
        </is>
      </c>
      <c r="O182" s="7" t="inlineStr">
        <is>
          <t>Sim</t>
        </is>
      </c>
      <c r="P182" s="16" t="inlineStr">
        <is>
          <t>1-4 anos reclusão + multa. Tirar proveito da prostituição alheia. §1º: 3-6 anos se violência/grave ameaça</t>
        </is>
      </c>
    </row>
    <row r="183">
      <c r="A183" s="7" t="inlineStr">
        <is>
          <t>CP</t>
        </is>
      </c>
      <c r="B183" s="7" t="inlineStr">
        <is>
          <t>Art. 234</t>
        </is>
      </c>
      <c r="C183" s="16" t="inlineStr">
        <is>
          <t>Escrito ou objeto obsceno</t>
        </is>
      </c>
      <c r="D183" s="7" t="n">
        <v>6</v>
      </c>
      <c r="E183" s="7" t="n">
        <v>24</v>
      </c>
      <c r="F183" s="7" t="inlineStr">
        <is>
          <t>Detenção</t>
        </is>
      </c>
      <c r="G183" s="7" t="inlineStr">
        <is>
          <t>Pública Incondicionada</t>
        </is>
      </c>
      <c r="H183" s="7" t="inlineStr">
        <is>
          <t>Não</t>
        </is>
      </c>
      <c r="I183" s="7" t="inlineStr">
        <is>
          <t>Doloso</t>
        </is>
      </c>
      <c r="J183" s="7" t="inlineStr">
        <is>
          <t>Sim</t>
        </is>
      </c>
      <c r="K183" s="7" t="inlineStr">
        <is>
          <t>Não</t>
        </is>
      </c>
      <c r="L183" s="7" t="inlineStr">
        <is>
          <t>Não</t>
        </is>
      </c>
      <c r="M183" s="7" t="inlineStr">
        <is>
          <t>Sim</t>
        </is>
      </c>
      <c r="N183" s="7" t="inlineStr">
        <is>
          <t>Sim</t>
        </is>
      </c>
      <c r="O183" s="7" t="inlineStr">
        <is>
          <t>Sim</t>
        </is>
      </c>
      <c r="P183" s="16" t="inlineStr">
        <is>
          <t>6 meses a 2 anos detenção ou multa. Fazer/importar/exportar/adquirir/ter sob sua guarda para distribuir escrito/figura/objeto obsceno</t>
        </is>
      </c>
    </row>
    <row r="184">
      <c r="A184" s="7" t="inlineStr">
        <is>
          <t>CP</t>
        </is>
      </c>
      <c r="B184" s="7" t="inlineStr">
        <is>
          <t>Art. 235</t>
        </is>
      </c>
      <c r="C184" s="16" t="inlineStr">
        <is>
          <t>Bigamia</t>
        </is>
      </c>
      <c r="D184" s="7" t="n">
        <v>24</v>
      </c>
      <c r="E184" s="7" t="n">
        <v>72</v>
      </c>
      <c r="F184" s="7" t="inlineStr">
        <is>
          <t>Reclusão</t>
        </is>
      </c>
      <c r="G184" s="7" t="inlineStr">
        <is>
          <t>Pública Incondicionada</t>
        </is>
      </c>
      <c r="H184" s="7" t="inlineStr">
        <is>
          <t>Não</t>
        </is>
      </c>
      <c r="I184" s="7" t="inlineStr">
        <is>
          <t>Doloso</t>
        </is>
      </c>
      <c r="J184" s="7" t="inlineStr">
        <is>
          <t>Sim</t>
        </is>
      </c>
      <c r="K184" s="7" t="inlineStr">
        <is>
          <t>Não</t>
        </is>
      </c>
      <c r="L184" s="7" t="inlineStr">
        <is>
          <t>Não</t>
        </is>
      </c>
      <c r="M184" s="7" t="inlineStr">
        <is>
          <t>Sim</t>
        </is>
      </c>
      <c r="N184" s="7" t="inlineStr">
        <is>
          <t>Não</t>
        </is>
      </c>
      <c r="O184" s="7" t="inlineStr">
        <is>
          <t>Sim</t>
        </is>
      </c>
      <c r="P184" s="16" t="inlineStr">
        <is>
          <t>2-6 anos reclusão. §1º: quem casa com pessoa casada sabendo do impedimento: 1-3 anos</t>
        </is>
      </c>
    </row>
    <row r="185">
      <c r="A185" s="7" t="inlineStr">
        <is>
          <t>CP</t>
        </is>
      </c>
      <c r="B185" s="7" t="inlineStr">
        <is>
          <t>Art. 236</t>
        </is>
      </c>
      <c r="C185" s="16" t="inlineStr">
        <is>
          <t>Induzimento a erro essencial e ocultação de impedimento</t>
        </is>
      </c>
      <c r="D185" s="7" t="n">
        <v>6</v>
      </c>
      <c r="E185" s="7" t="n">
        <v>24</v>
      </c>
      <c r="F185" s="7" t="inlineStr">
        <is>
          <t>Detenção</t>
        </is>
      </c>
      <c r="G185" s="7" t="inlineStr">
        <is>
          <t>Ação Penal Privada</t>
        </is>
      </c>
      <c r="H185" s="7" t="inlineStr">
        <is>
          <t>Não</t>
        </is>
      </c>
      <c r="I185" s="7" t="inlineStr">
        <is>
          <t>Doloso</t>
        </is>
      </c>
      <c r="J185" s="7" t="inlineStr">
        <is>
          <t>Sim</t>
        </is>
      </c>
      <c r="K185" s="7" t="inlineStr">
        <is>
          <t>Não</t>
        </is>
      </c>
      <c r="L185" s="7" t="inlineStr">
        <is>
          <t>Não</t>
        </is>
      </c>
      <c r="M185" s="7" t="inlineStr">
        <is>
          <t>Sim</t>
        </is>
      </c>
      <c r="N185" s="7" t="inlineStr">
        <is>
          <t>Sim</t>
        </is>
      </c>
      <c r="O185" s="7" t="inlineStr">
        <is>
          <t>Sim</t>
        </is>
      </c>
      <c r="P185" s="16" t="inlineStr">
        <is>
          <t>6 meses a 2 anos detenção + multa</t>
        </is>
      </c>
    </row>
    <row r="186">
      <c r="A186" s="7" t="inlineStr">
        <is>
          <t>CP</t>
        </is>
      </c>
      <c r="B186" s="7" t="inlineStr">
        <is>
          <t>Art. 237</t>
        </is>
      </c>
      <c r="C186" s="16" t="inlineStr">
        <is>
          <t>Conhecimento prévio de impedimento matrimonial</t>
        </is>
      </c>
      <c r="D186" s="7" t="n">
        <v>3</v>
      </c>
      <c r="E186" s="7" t="n">
        <v>12</v>
      </c>
      <c r="F186" s="7" t="inlineStr">
        <is>
          <t>Detenção</t>
        </is>
      </c>
      <c r="G186" s="7" t="inlineStr">
        <is>
          <t>Pública Incondicionada</t>
        </is>
      </c>
      <c r="H186" s="7" t="inlineStr">
        <is>
          <t>Não</t>
        </is>
      </c>
      <c r="I186" s="7" t="inlineStr">
        <is>
          <t>Doloso</t>
        </is>
      </c>
      <c r="J186" s="7" t="inlineStr">
        <is>
          <t>Sim</t>
        </is>
      </c>
      <c r="K186" s="7" t="inlineStr">
        <is>
          <t>Não</t>
        </is>
      </c>
      <c r="L186" s="7" t="inlineStr">
        <is>
          <t>Não</t>
        </is>
      </c>
      <c r="M186" s="7" t="inlineStr">
        <is>
          <t>Sim</t>
        </is>
      </c>
      <c r="N186" s="7" t="inlineStr">
        <is>
          <t>Sim</t>
        </is>
      </c>
      <c r="O186" s="7" t="inlineStr">
        <is>
          <t>Sim</t>
        </is>
      </c>
      <c r="P186" s="16" t="inlineStr">
        <is>
          <t>3 meses a 1 ano detenção</t>
        </is>
      </c>
    </row>
    <row r="187">
      <c r="A187" s="7" t="inlineStr">
        <is>
          <t>CP</t>
        </is>
      </c>
      <c r="B187" s="7" t="inlineStr">
        <is>
          <t>Art. 238</t>
        </is>
      </c>
      <c r="C187" s="16" t="inlineStr">
        <is>
          <t>Simulação de autoridade para celebração de casamento</t>
        </is>
      </c>
      <c r="D187" s="7" t="n">
        <v>12</v>
      </c>
      <c r="E187" s="7" t="n">
        <v>36</v>
      </c>
      <c r="F187" s="7" t="inlineStr">
        <is>
          <t>Detenção</t>
        </is>
      </c>
      <c r="G187" s="7" t="inlineStr">
        <is>
          <t>Pública Incondicionada</t>
        </is>
      </c>
      <c r="H187" s="7" t="inlineStr">
        <is>
          <t>Não</t>
        </is>
      </c>
      <c r="I187" s="7" t="inlineStr">
        <is>
          <t>Doloso</t>
        </is>
      </c>
      <c r="J187" s="7" t="inlineStr">
        <is>
          <t>Sim</t>
        </is>
      </c>
      <c r="K187" s="7" t="inlineStr">
        <is>
          <t>Não</t>
        </is>
      </c>
      <c r="L187" s="7" t="inlineStr">
        <is>
          <t>Não</t>
        </is>
      </c>
      <c r="M187" s="7" t="inlineStr">
        <is>
          <t>Sim</t>
        </is>
      </c>
      <c r="N187" s="7" t="inlineStr">
        <is>
          <t>Sim</t>
        </is>
      </c>
      <c r="O187" s="7" t="inlineStr">
        <is>
          <t>Sim</t>
        </is>
      </c>
      <c r="P187" s="16" t="inlineStr">
        <is>
          <t>1-3 anos detenção. Se praticada com o fim de lucro: reclusão 2-6 anos</t>
        </is>
      </c>
    </row>
    <row r="188">
      <c r="A188" s="7" t="inlineStr">
        <is>
          <t>CP</t>
        </is>
      </c>
      <c r="B188" s="7" t="inlineStr">
        <is>
          <t>Art. 239</t>
        </is>
      </c>
      <c r="C188" s="16" t="inlineStr">
        <is>
          <t>Simulação de casamento</t>
        </is>
      </c>
      <c r="D188" s="7" t="n">
        <v>12</v>
      </c>
      <c r="E188" s="7" t="n">
        <v>36</v>
      </c>
      <c r="F188" s="7" t="inlineStr">
        <is>
          <t>Detenção</t>
        </is>
      </c>
      <c r="G188" s="7" t="inlineStr">
        <is>
          <t>Ação Penal Privada</t>
        </is>
      </c>
      <c r="H188" s="7" t="inlineStr">
        <is>
          <t>Não</t>
        </is>
      </c>
      <c r="I188" s="7" t="inlineStr">
        <is>
          <t>Doloso</t>
        </is>
      </c>
      <c r="J188" s="7" t="inlineStr">
        <is>
          <t>Sim</t>
        </is>
      </c>
      <c r="K188" s="7" t="inlineStr">
        <is>
          <t>Não</t>
        </is>
      </c>
      <c r="L188" s="7" t="inlineStr">
        <is>
          <t>Não</t>
        </is>
      </c>
      <c r="M188" s="7" t="inlineStr">
        <is>
          <t>Sim</t>
        </is>
      </c>
      <c r="N188" s="7" t="inlineStr">
        <is>
          <t>Sim</t>
        </is>
      </c>
      <c r="O188" s="7" t="inlineStr">
        <is>
          <t>Sim</t>
        </is>
      </c>
      <c r="P188" s="16" t="inlineStr">
        <is>
          <t>1-3 anos detenção</t>
        </is>
      </c>
    </row>
    <row r="189">
      <c r="A189" s="7" t="inlineStr">
        <is>
          <t>CP</t>
        </is>
      </c>
      <c r="B189" s="7" t="inlineStr">
        <is>
          <t>Art. 242</t>
        </is>
      </c>
      <c r="C189" s="16" t="inlineStr">
        <is>
          <t>Registro de nascimento falso (parto suposto / supressão / alteração de direito)</t>
        </is>
      </c>
      <c r="D189" s="7" t="n">
        <v>24</v>
      </c>
      <c r="E189" s="7" t="n">
        <v>72</v>
      </c>
      <c r="F189" s="7" t="inlineStr">
        <is>
          <t>Reclusão</t>
        </is>
      </c>
      <c r="G189" s="7" t="inlineStr">
        <is>
          <t>Pública Incondicionada</t>
        </is>
      </c>
      <c r="H189" s="7" t="inlineStr">
        <is>
          <t>Não</t>
        </is>
      </c>
      <c r="I189" s="7" t="inlineStr">
        <is>
          <t>Doloso</t>
        </is>
      </c>
      <c r="J189" s="7" t="inlineStr">
        <is>
          <t>Sim</t>
        </is>
      </c>
      <c r="K189" s="7" t="inlineStr">
        <is>
          <t>Não</t>
        </is>
      </c>
      <c r="L189" s="7" t="inlineStr">
        <is>
          <t>Não</t>
        </is>
      </c>
      <c r="M189" s="7" t="inlineStr">
        <is>
          <t>Sim</t>
        </is>
      </c>
      <c r="N189" s="7" t="inlineStr">
        <is>
          <t>Não</t>
        </is>
      </c>
      <c r="O189" s="7" t="inlineStr">
        <is>
          <t>Sim</t>
        </is>
      </c>
      <c r="P189" s="16" t="inlineStr">
        <is>
          <t>2-6 anos reclusão. §único: diminuição de 1/3 a 2/3 se por motivo de reconhecida nobreza (adoção à brasileira)</t>
        </is>
      </c>
    </row>
    <row r="190">
      <c r="A190" s="7" t="inlineStr">
        <is>
          <t>CP</t>
        </is>
      </c>
      <c r="B190" s="7" t="inlineStr">
        <is>
          <t>Art. 243</t>
        </is>
      </c>
      <c r="C190" s="16" t="inlineStr">
        <is>
          <t>Sonegação de estado de filiação</t>
        </is>
      </c>
      <c r="D190" s="7" t="n">
        <v>12</v>
      </c>
      <c r="E190" s="7" t="n">
        <v>36</v>
      </c>
      <c r="F190" s="7" t="inlineStr">
        <is>
          <t>Reclusão</t>
        </is>
      </c>
      <c r="G190" s="7" t="inlineStr">
        <is>
          <t>Pública Incondicionada</t>
        </is>
      </c>
      <c r="H190" s="7" t="inlineStr">
        <is>
          <t>Não</t>
        </is>
      </c>
      <c r="I190" s="7" t="inlineStr">
        <is>
          <t>Doloso</t>
        </is>
      </c>
      <c r="J190" s="7" t="inlineStr">
        <is>
          <t>Sim</t>
        </is>
      </c>
      <c r="K190" s="7" t="inlineStr">
        <is>
          <t>Não</t>
        </is>
      </c>
      <c r="L190" s="7" t="inlineStr">
        <is>
          <t>Não</t>
        </is>
      </c>
      <c r="M190" s="7" t="inlineStr">
        <is>
          <t>Sim</t>
        </is>
      </c>
      <c r="N190" s="7" t="inlineStr">
        <is>
          <t>Sim</t>
        </is>
      </c>
      <c r="O190" s="7" t="inlineStr">
        <is>
          <t>Sim</t>
        </is>
      </c>
      <c r="P190" s="16" t="inlineStr">
        <is>
          <t>1-3 anos reclusão</t>
        </is>
      </c>
    </row>
    <row r="191">
      <c r="A191" s="7" t="inlineStr">
        <is>
          <t>CP</t>
        </is>
      </c>
      <c r="B191" s="7" t="inlineStr">
        <is>
          <t>Art. 244</t>
        </is>
      </c>
      <c r="C191" s="16" t="inlineStr">
        <is>
          <t>Abandono material</t>
        </is>
      </c>
      <c r="D191" s="7" t="n">
        <v>12</v>
      </c>
      <c r="E191" s="7" t="n">
        <v>48</v>
      </c>
      <c r="F191" s="7" t="inlineStr">
        <is>
          <t>Detenção</t>
        </is>
      </c>
      <c r="G191" s="7" t="inlineStr">
        <is>
          <t>Pública Incondicionada</t>
        </is>
      </c>
      <c r="H191" s="7" t="inlineStr">
        <is>
          <t>Não</t>
        </is>
      </c>
      <c r="I191" s="7" t="inlineStr">
        <is>
          <t>Doloso</t>
        </is>
      </c>
      <c r="J191" s="7" t="inlineStr">
        <is>
          <t>Sim</t>
        </is>
      </c>
      <c r="K191" s="7" t="inlineStr">
        <is>
          <t>Não</t>
        </is>
      </c>
      <c r="L191" s="7" t="inlineStr">
        <is>
          <t>Não</t>
        </is>
      </c>
      <c r="M191" s="7" t="inlineStr">
        <is>
          <t>Sim</t>
        </is>
      </c>
      <c r="N191" s="7" t="inlineStr">
        <is>
          <t>Sim</t>
        </is>
      </c>
      <c r="O191" s="7" t="inlineStr">
        <is>
          <t>Sim</t>
        </is>
      </c>
      <c r="P191" s="16" t="inlineStr">
        <is>
          <t>1-4 anos detenção + multa. Deixar, sem justa causa, de prover à subsistência do cônjuge ou filho menor de 18 ou inapto ao trabalho</t>
        </is>
      </c>
    </row>
    <row r="192">
      <c r="A192" s="7" t="inlineStr">
        <is>
          <t>CP</t>
        </is>
      </c>
      <c r="B192" s="7" t="inlineStr">
        <is>
          <t>Art. 245</t>
        </is>
      </c>
      <c r="C192" s="16" t="inlineStr">
        <is>
          <t>Entrega de filho menor a pessoa inidônea</t>
        </is>
      </c>
      <c r="D192" s="7" t="n">
        <v>12</v>
      </c>
      <c r="E192" s="7" t="n">
        <v>36</v>
      </c>
      <c r="F192" s="7" t="inlineStr">
        <is>
          <t>Detenção</t>
        </is>
      </c>
      <c r="G192" s="7" t="inlineStr">
        <is>
          <t>Pública Incondicionada</t>
        </is>
      </c>
      <c r="H192" s="7" t="inlineStr">
        <is>
          <t>Não</t>
        </is>
      </c>
      <c r="I192" s="7" t="inlineStr">
        <is>
          <t>Doloso</t>
        </is>
      </c>
      <c r="J192" s="7" t="inlineStr">
        <is>
          <t>Sim</t>
        </is>
      </c>
      <c r="K192" s="7" t="inlineStr">
        <is>
          <t>Não</t>
        </is>
      </c>
      <c r="L192" s="7" t="inlineStr">
        <is>
          <t>Não</t>
        </is>
      </c>
      <c r="M192" s="7" t="inlineStr">
        <is>
          <t>Sim</t>
        </is>
      </c>
      <c r="N192" s="7" t="inlineStr">
        <is>
          <t>Sim</t>
        </is>
      </c>
      <c r="O192" s="7" t="inlineStr">
        <is>
          <t>Sim</t>
        </is>
      </c>
      <c r="P192" s="16" t="inlineStr">
        <is>
          <t>1-3 anos detenção + multa. §1º: 1-4 anos se mediante paga ou recompensa. §2º: se com intuito de lucro: 1-4 anos reclusão</t>
        </is>
      </c>
    </row>
    <row r="193">
      <c r="A193" s="7" t="inlineStr">
        <is>
          <t>CP</t>
        </is>
      </c>
      <c r="B193" s="7" t="inlineStr">
        <is>
          <t>Art. 246</t>
        </is>
      </c>
      <c r="C193" s="16" t="inlineStr">
        <is>
          <t>Abandono intelectual</t>
        </is>
      </c>
      <c r="D193" s="7" t="n">
        <v>15</v>
      </c>
      <c r="E193" s="7" t="n">
        <v>1</v>
      </c>
      <c r="F193" s="7" t="inlineStr">
        <is>
          <t>Detenção</t>
        </is>
      </c>
      <c r="G193" s="7" t="inlineStr">
        <is>
          <t>Pública Incondicionada</t>
        </is>
      </c>
      <c r="H193" s="7" t="inlineStr">
        <is>
          <t>Não</t>
        </is>
      </c>
      <c r="I193" s="7" t="inlineStr">
        <is>
          <t>Doloso</t>
        </is>
      </c>
      <c r="J193" s="7" t="inlineStr">
        <is>
          <t>Não</t>
        </is>
      </c>
      <c r="K193" s="7" t="inlineStr">
        <is>
          <t>Não</t>
        </is>
      </c>
      <c r="L193" s="7" t="inlineStr">
        <is>
          <t>Não</t>
        </is>
      </c>
      <c r="M193" s="7" t="inlineStr">
        <is>
          <t>Sim</t>
        </is>
      </c>
      <c r="N193" s="7" t="inlineStr">
        <is>
          <t>Não</t>
        </is>
      </c>
      <c r="O193" s="7" t="inlineStr">
        <is>
          <t>Sim</t>
        </is>
      </c>
      <c r="P193" s="16" t="inlineStr">
        <is>
          <t>15 dias a 1 mês detenção ou multa. Deixar, sem justa causa, de prover a instrução primária de filho em idade escolar</t>
        </is>
      </c>
    </row>
    <row r="194">
      <c r="A194" s="7" t="inlineStr">
        <is>
          <t>CP</t>
        </is>
      </c>
      <c r="B194" s="7" t="inlineStr">
        <is>
          <t>Art. 247</t>
        </is>
      </c>
      <c r="C194" s="16" t="inlineStr">
        <is>
          <t>Permitir que menor frequente lugar incompatível/conviva com pessoa viciosa ou de má vida</t>
        </is>
      </c>
      <c r="D194" s="7" t="n">
        <v>1</v>
      </c>
      <c r="E194" s="7" t="n">
        <v>6</v>
      </c>
      <c r="F194" s="7" t="inlineStr">
        <is>
          <t>Detenção</t>
        </is>
      </c>
      <c r="G194" s="7" t="inlineStr">
        <is>
          <t>Pública Incondicionada</t>
        </is>
      </c>
      <c r="H194" s="7" t="inlineStr">
        <is>
          <t>Não</t>
        </is>
      </c>
      <c r="I194" s="7" t="inlineStr">
        <is>
          <t>Doloso</t>
        </is>
      </c>
      <c r="J194" s="7" t="inlineStr">
        <is>
          <t>Não</t>
        </is>
      </c>
      <c r="K194" s="7" t="inlineStr">
        <is>
          <t>Não</t>
        </is>
      </c>
      <c r="L194" s="7" t="inlineStr">
        <is>
          <t>Não</t>
        </is>
      </c>
      <c r="M194" s="7" t="inlineStr">
        <is>
          <t>Sim</t>
        </is>
      </c>
      <c r="N194" s="7" t="inlineStr">
        <is>
          <t>Sim</t>
        </is>
      </c>
      <c r="O194" s="7" t="inlineStr">
        <is>
          <t>Sim</t>
        </is>
      </c>
      <c r="P194" s="16" t="inlineStr">
        <is>
          <t>1-6 meses detenção + multa</t>
        </is>
      </c>
    </row>
    <row r="195">
      <c r="A195" s="7" t="inlineStr">
        <is>
          <t>CP</t>
        </is>
      </c>
      <c r="B195" s="7" t="inlineStr">
        <is>
          <t>Art. 248</t>
        </is>
      </c>
      <c r="C195" s="16" t="inlineStr">
        <is>
          <t>Induzimento a fuga, entrega arbitrária ou sonegação de incapazes</t>
        </is>
      </c>
      <c r="D195" s="7" t="n">
        <v>2</v>
      </c>
      <c r="E195" s="7" t="n">
        <v>24</v>
      </c>
      <c r="F195" s="7" t="inlineStr">
        <is>
          <t>Detenção</t>
        </is>
      </c>
      <c r="G195" s="7" t="inlineStr">
        <is>
          <t>Ação Penal Privada</t>
        </is>
      </c>
      <c r="H195" s="7" t="inlineStr">
        <is>
          <t>Não</t>
        </is>
      </c>
      <c r="I195" s="7" t="inlineStr">
        <is>
          <t>Doloso</t>
        </is>
      </c>
      <c r="J195" s="7" t="inlineStr">
        <is>
          <t>Sim</t>
        </is>
      </c>
      <c r="K195" s="7" t="inlineStr">
        <is>
          <t>Não</t>
        </is>
      </c>
      <c r="L195" s="7" t="inlineStr">
        <is>
          <t>Não</t>
        </is>
      </c>
      <c r="M195" s="7" t="inlineStr">
        <is>
          <t>Sim</t>
        </is>
      </c>
      <c r="N195" s="7" t="inlineStr">
        <is>
          <t>Sim</t>
        </is>
      </c>
      <c r="O195" s="7" t="inlineStr">
        <is>
          <t>Sim</t>
        </is>
      </c>
      <c r="P195" s="16" t="inlineStr">
        <is>
          <t>2 meses a 2 anos detenção ou multa</t>
        </is>
      </c>
    </row>
    <row r="196">
      <c r="A196" s="7" t="inlineStr">
        <is>
          <t>CP</t>
        </is>
      </c>
      <c r="B196" s="7" t="inlineStr">
        <is>
          <t>Art. 249</t>
        </is>
      </c>
      <c r="C196" s="16" t="inlineStr">
        <is>
          <t>Subtração de incapazes</t>
        </is>
      </c>
      <c r="D196" s="7" t="n">
        <v>2</v>
      </c>
      <c r="E196" s="7" t="n">
        <v>24</v>
      </c>
      <c r="F196" s="7" t="inlineStr">
        <is>
          <t>Detenção</t>
        </is>
      </c>
      <c r="G196" s="7" t="inlineStr">
        <is>
          <t>Ação Penal Privada</t>
        </is>
      </c>
      <c r="H196" s="7" t="inlineStr">
        <is>
          <t>Não</t>
        </is>
      </c>
      <c r="I196" s="7" t="inlineStr">
        <is>
          <t>Doloso</t>
        </is>
      </c>
      <c r="J196" s="7" t="inlineStr">
        <is>
          <t>Sim</t>
        </is>
      </c>
      <c r="K196" s="7" t="inlineStr">
        <is>
          <t>Não</t>
        </is>
      </c>
      <c r="L196" s="7" t="inlineStr">
        <is>
          <t>Não</t>
        </is>
      </c>
      <c r="M196" s="7" t="inlineStr">
        <is>
          <t>Sim</t>
        </is>
      </c>
      <c r="N196" s="7" t="inlineStr">
        <is>
          <t>Sim</t>
        </is>
      </c>
      <c r="O196" s="7" t="inlineStr">
        <is>
          <t>Sim</t>
        </is>
      </c>
      <c r="P196" s="16" t="inlineStr">
        <is>
          <t>2 meses a 2 anos detenção. §1º: se o fato é praticado para colocar o menor em poder de quem detém guarda legítima: 1-6 meses detenção</t>
        </is>
      </c>
    </row>
    <row r="197">
      <c r="A197" s="7" t="inlineStr">
        <is>
          <t>CP</t>
        </is>
      </c>
      <c r="B197" s="7" t="inlineStr">
        <is>
          <t>Art. 250, caput</t>
        </is>
      </c>
      <c r="C197" s="16" t="inlineStr">
        <is>
          <t>Incêndio doloso</t>
        </is>
      </c>
      <c r="D197" s="7" t="n">
        <v>36</v>
      </c>
      <c r="E197" s="7" t="n">
        <v>72</v>
      </c>
      <c r="F197" s="7" t="inlineStr">
        <is>
          <t>Reclusão</t>
        </is>
      </c>
      <c r="G197" s="7" t="inlineStr">
        <is>
          <t>Pública Incondicionada</t>
        </is>
      </c>
      <c r="H197" s="7" t="inlineStr">
        <is>
          <t>Não</t>
        </is>
      </c>
      <c r="I197" s="7" t="inlineStr">
        <is>
          <t>Doloso</t>
        </is>
      </c>
      <c r="J197" s="7" t="inlineStr">
        <is>
          <t>Sim</t>
        </is>
      </c>
      <c r="K197" s="7" t="inlineStr">
        <is>
          <t>Não</t>
        </is>
      </c>
      <c r="L197" s="7" t="inlineStr">
        <is>
          <t>Não</t>
        </is>
      </c>
      <c r="M197" s="7" t="inlineStr">
        <is>
          <t>Sim</t>
        </is>
      </c>
      <c r="N197" s="7" t="inlineStr">
        <is>
          <t>Não</t>
        </is>
      </c>
      <c r="O197" s="7" t="inlineStr">
        <is>
          <t>Verificar</t>
        </is>
      </c>
      <c r="P197" s="16" t="inlineStr">
        <is>
          <t>3-6 anos reclusão + multa. Causar incêndio, expondo a perigo a vida, a integridade física ou o patrimônio de outrem. §1º: aumento de 1/3 se em casa habitada, edifício público, navio, aeronave, etc.</t>
        </is>
      </c>
    </row>
    <row r="198">
      <c r="A198" s="7" t="inlineStr">
        <is>
          <t>CP</t>
        </is>
      </c>
      <c r="B198" s="7" t="inlineStr">
        <is>
          <t>Art. 250, §2º</t>
        </is>
      </c>
      <c r="C198" s="16" t="inlineStr">
        <is>
          <t>Incêndio culposo</t>
        </is>
      </c>
      <c r="D198" s="7" t="n">
        <v>6</v>
      </c>
      <c r="E198" s="7" t="n">
        <v>24</v>
      </c>
      <c r="F198" s="7" t="inlineStr">
        <is>
          <t>Detenção</t>
        </is>
      </c>
      <c r="G198" s="7" t="inlineStr">
        <is>
          <t>Pública Incondicionada</t>
        </is>
      </c>
      <c r="H198" s="7" t="inlineStr">
        <is>
          <t>Não</t>
        </is>
      </c>
      <c r="I198" s="7" t="inlineStr">
        <is>
          <t>Culposo</t>
        </is>
      </c>
      <c r="J198" s="7" t="inlineStr">
        <is>
          <t>Não</t>
        </is>
      </c>
      <c r="K198" s="7" t="inlineStr">
        <is>
          <t>Não</t>
        </is>
      </c>
      <c r="L198" s="7" t="inlineStr">
        <is>
          <t>Não</t>
        </is>
      </c>
      <c r="M198" s="7" t="inlineStr">
        <is>
          <t>Sim</t>
        </is>
      </c>
      <c r="N198" s="7" t="inlineStr">
        <is>
          <t>Sim</t>
        </is>
      </c>
      <c r="O198" s="7" t="inlineStr">
        <is>
          <t>Sim</t>
        </is>
      </c>
      <c r="P198" s="16" t="inlineStr">
        <is>
          <t>6 meses a 2 anos detenção</t>
        </is>
      </c>
    </row>
    <row r="199">
      <c r="A199" s="7" t="inlineStr">
        <is>
          <t>CP</t>
        </is>
      </c>
      <c r="B199" s="7" t="inlineStr">
        <is>
          <t>Art. 251</t>
        </is>
      </c>
      <c r="C199" s="16" t="inlineStr">
        <is>
          <t>Explosão dolosa</t>
        </is>
      </c>
      <c r="D199" s="7" t="n">
        <v>36</v>
      </c>
      <c r="E199" s="7" t="n">
        <v>72</v>
      </c>
      <c r="F199" s="7" t="inlineStr">
        <is>
          <t>Reclusão</t>
        </is>
      </c>
      <c r="G199" s="7" t="inlineStr">
        <is>
          <t>Pública Incondicionada</t>
        </is>
      </c>
      <c r="H199" s="7" t="inlineStr">
        <is>
          <t>Não</t>
        </is>
      </c>
      <c r="I199" s="7" t="inlineStr">
        <is>
          <t>Doloso</t>
        </is>
      </c>
      <c r="J199" s="7" t="inlineStr">
        <is>
          <t>Sim</t>
        </is>
      </c>
      <c r="K199" s="7" t="inlineStr">
        <is>
          <t>Não</t>
        </is>
      </c>
      <c r="L199" s="7" t="inlineStr">
        <is>
          <t>Não</t>
        </is>
      </c>
      <c r="M199" s="7" t="inlineStr">
        <is>
          <t>Sim</t>
        </is>
      </c>
      <c r="N199" s="7" t="inlineStr">
        <is>
          <t>Não</t>
        </is>
      </c>
      <c r="O199" s="7" t="inlineStr">
        <is>
          <t>Verificar</t>
        </is>
      </c>
      <c r="P199" s="16" t="inlineStr">
        <is>
          <t>3-6 anos reclusão + multa. §2º: culposo: 6m-2a detenção</t>
        </is>
      </c>
    </row>
    <row r="200">
      <c r="A200" s="7" t="inlineStr">
        <is>
          <t>CP</t>
        </is>
      </c>
      <c r="B200" s="7" t="inlineStr">
        <is>
          <t>Art. 252</t>
        </is>
      </c>
      <c r="C200" s="16" t="inlineStr">
        <is>
          <t>Uso de gás tóxico ou asfixiante</t>
        </is>
      </c>
      <c r="D200" s="7" t="n">
        <v>12</v>
      </c>
      <c r="E200" s="7" t="n">
        <v>36</v>
      </c>
      <c r="F200" s="7" t="inlineStr">
        <is>
          <t>Reclusão</t>
        </is>
      </c>
      <c r="G200" s="7" t="inlineStr">
        <is>
          <t>Pública Incondicionada</t>
        </is>
      </c>
      <c r="H200" s="7" t="inlineStr">
        <is>
          <t>Não</t>
        </is>
      </c>
      <c r="I200" s="7" t="inlineStr">
        <is>
          <t>Doloso</t>
        </is>
      </c>
      <c r="J200" s="7" t="inlineStr">
        <is>
          <t>Sim</t>
        </is>
      </c>
      <c r="K200" s="7" t="inlineStr">
        <is>
          <t>Não</t>
        </is>
      </c>
      <c r="L200" s="7" t="inlineStr">
        <is>
          <t>Não</t>
        </is>
      </c>
      <c r="M200" s="7" t="inlineStr">
        <is>
          <t>Sim</t>
        </is>
      </c>
      <c r="N200" s="7" t="inlineStr">
        <is>
          <t>Sim</t>
        </is>
      </c>
      <c r="O200" s="7" t="inlineStr">
        <is>
          <t>Sim</t>
        </is>
      </c>
      <c r="P200" s="16" t="inlineStr">
        <is>
          <t>1-3 anos reclusão + multa</t>
        </is>
      </c>
    </row>
    <row r="201">
      <c r="A201" s="7" t="inlineStr">
        <is>
          <t>CP</t>
        </is>
      </c>
      <c r="B201" s="7" t="inlineStr">
        <is>
          <t>Art. 253</t>
        </is>
      </c>
      <c r="C201" s="16" t="inlineStr">
        <is>
          <t>Fabrico, fornecimento, aquisição, posse ou transporte de explosivos ou gás tóxico sem autorização</t>
        </is>
      </c>
      <c r="D201" s="7" t="n">
        <v>12</v>
      </c>
      <c r="E201" s="7" t="n">
        <v>36</v>
      </c>
      <c r="F201" s="7" t="inlineStr">
        <is>
          <t>Detenção</t>
        </is>
      </c>
      <c r="G201" s="7" t="inlineStr">
        <is>
          <t>Pública Incondicionada</t>
        </is>
      </c>
      <c r="H201" s="7" t="inlineStr">
        <is>
          <t>Não</t>
        </is>
      </c>
      <c r="I201" s="7" t="inlineStr">
        <is>
          <t>Doloso</t>
        </is>
      </c>
      <c r="J201" s="7" t="inlineStr">
        <is>
          <t>Sim</t>
        </is>
      </c>
      <c r="K201" s="7" t="inlineStr">
        <is>
          <t>Não</t>
        </is>
      </c>
      <c r="L201" s="7" t="inlineStr">
        <is>
          <t>Não</t>
        </is>
      </c>
      <c r="M201" s="7" t="inlineStr">
        <is>
          <t>Sim</t>
        </is>
      </c>
      <c r="N201" s="7" t="inlineStr">
        <is>
          <t>Sim</t>
        </is>
      </c>
      <c r="O201" s="7" t="inlineStr">
        <is>
          <t>Sim</t>
        </is>
      </c>
      <c r="P201" s="16" t="inlineStr">
        <is>
          <t>1-3 anos detenção + multa</t>
        </is>
      </c>
    </row>
    <row r="202">
      <c r="A202" s="7" t="inlineStr">
        <is>
          <t>CP</t>
        </is>
      </c>
      <c r="B202" s="7" t="inlineStr">
        <is>
          <t>Art. 254</t>
        </is>
      </c>
      <c r="C202" s="16" t="inlineStr">
        <is>
          <t>Inundação dolosa</t>
        </is>
      </c>
      <c r="D202" s="7" t="n">
        <v>36</v>
      </c>
      <c r="E202" s="7" t="n">
        <v>72</v>
      </c>
      <c r="F202" s="7" t="inlineStr">
        <is>
          <t>Reclusão</t>
        </is>
      </c>
      <c r="G202" s="7" t="inlineStr">
        <is>
          <t>Pública Incondicionada</t>
        </is>
      </c>
      <c r="H202" s="7" t="inlineStr">
        <is>
          <t>Não</t>
        </is>
      </c>
      <c r="I202" s="7" t="inlineStr">
        <is>
          <t>Doloso</t>
        </is>
      </c>
      <c r="J202" s="7" t="inlineStr">
        <is>
          <t>Sim</t>
        </is>
      </c>
      <c r="K202" s="7" t="inlineStr">
        <is>
          <t>Não</t>
        </is>
      </c>
      <c r="L202" s="7" t="inlineStr">
        <is>
          <t>Não</t>
        </is>
      </c>
      <c r="M202" s="7" t="inlineStr">
        <is>
          <t>Sim</t>
        </is>
      </c>
      <c r="N202" s="7" t="inlineStr">
        <is>
          <t>Não</t>
        </is>
      </c>
      <c r="O202" s="7" t="inlineStr">
        <is>
          <t>Verificar</t>
        </is>
      </c>
      <c r="P202" s="16" t="inlineStr">
        <is>
          <t>3-6 anos reclusão + multa. Se culposo: 6m-2a detenção</t>
        </is>
      </c>
    </row>
    <row r="203">
      <c r="A203" s="7" t="inlineStr">
        <is>
          <t>CP</t>
        </is>
      </c>
      <c r="B203" s="7" t="inlineStr">
        <is>
          <t>Art. 255</t>
        </is>
      </c>
      <c r="C203" s="16" t="inlineStr">
        <is>
          <t>Perigo de inundação</t>
        </is>
      </c>
      <c r="D203" s="7" t="n">
        <v>12</v>
      </c>
      <c r="E203" s="7" t="n">
        <v>24</v>
      </c>
      <c r="F203" s="7" t="inlineStr">
        <is>
          <t>Reclusão</t>
        </is>
      </c>
      <c r="G203" s="7" t="inlineStr">
        <is>
          <t>Pública Incondicionada</t>
        </is>
      </c>
      <c r="H203" s="7" t="inlineStr">
        <is>
          <t>Não</t>
        </is>
      </c>
      <c r="I203" s="7" t="inlineStr">
        <is>
          <t>Doloso</t>
        </is>
      </c>
      <c r="J203" s="7" t="inlineStr">
        <is>
          <t>Sim</t>
        </is>
      </c>
      <c r="K203" s="7" t="inlineStr">
        <is>
          <t>Não</t>
        </is>
      </c>
      <c r="L203" s="7" t="inlineStr">
        <is>
          <t>Não</t>
        </is>
      </c>
      <c r="M203" s="7" t="inlineStr">
        <is>
          <t>Sim</t>
        </is>
      </c>
      <c r="N203" s="7" t="inlineStr">
        <is>
          <t>Sim</t>
        </is>
      </c>
      <c r="O203" s="7" t="inlineStr">
        <is>
          <t>Sim</t>
        </is>
      </c>
      <c r="P203" s="16" t="inlineStr">
        <is>
          <t>1-2 anos reclusão. Remover/destruir/inutilizar obstáculo natural ou obra destinada a impedir inundação</t>
        </is>
      </c>
    </row>
    <row r="204">
      <c r="A204" s="7" t="inlineStr">
        <is>
          <t>CP</t>
        </is>
      </c>
      <c r="B204" s="7" t="inlineStr">
        <is>
          <t>Art. 256</t>
        </is>
      </c>
      <c r="C204" s="16" t="inlineStr">
        <is>
          <t>Desabamento ou desmoronamento</t>
        </is>
      </c>
      <c r="D204" s="7" t="n">
        <v>12</v>
      </c>
      <c r="E204" s="7" t="n">
        <v>48</v>
      </c>
      <c r="F204" s="7" t="inlineStr">
        <is>
          <t>Reclusão</t>
        </is>
      </c>
      <c r="G204" s="7" t="inlineStr">
        <is>
          <t>Pública Incondicionada</t>
        </is>
      </c>
      <c r="H204" s="7" t="inlineStr">
        <is>
          <t>Não</t>
        </is>
      </c>
      <c r="I204" s="7" t="inlineStr">
        <is>
          <t>Doloso</t>
        </is>
      </c>
      <c r="J204" s="7" t="inlineStr">
        <is>
          <t>Sim</t>
        </is>
      </c>
      <c r="K204" s="7" t="inlineStr">
        <is>
          <t>Não</t>
        </is>
      </c>
      <c r="L204" s="7" t="inlineStr">
        <is>
          <t>Não</t>
        </is>
      </c>
      <c r="M204" s="7" t="inlineStr">
        <is>
          <t>Sim</t>
        </is>
      </c>
      <c r="N204" s="7" t="inlineStr">
        <is>
          <t>Sim</t>
        </is>
      </c>
      <c r="O204" s="7" t="inlineStr">
        <is>
          <t>Sim</t>
        </is>
      </c>
      <c r="P204" s="16" t="inlineStr">
        <is>
          <t>1-4 anos reclusão + multa. Se culposo: 6m-2a detenção</t>
        </is>
      </c>
    </row>
    <row r="205">
      <c r="A205" s="7" t="inlineStr">
        <is>
          <t>CP</t>
        </is>
      </c>
      <c r="B205" s="7" t="inlineStr">
        <is>
          <t>Art. 257</t>
        </is>
      </c>
      <c r="C205" s="16" t="inlineStr">
        <is>
          <t>Subtração, ocultação ou inutilização de material de salvamento</t>
        </is>
      </c>
      <c r="D205" s="7" t="n">
        <v>12</v>
      </c>
      <c r="E205" s="7" t="n">
        <v>36</v>
      </c>
      <c r="F205" s="7" t="inlineStr">
        <is>
          <t>Detenção</t>
        </is>
      </c>
      <c r="G205" s="7" t="inlineStr">
        <is>
          <t>Pública Incondicionada</t>
        </is>
      </c>
      <c r="H205" s="7" t="inlineStr">
        <is>
          <t>Não</t>
        </is>
      </c>
      <c r="I205" s="7" t="inlineStr">
        <is>
          <t>Doloso</t>
        </is>
      </c>
      <c r="J205" s="7" t="inlineStr">
        <is>
          <t>Sim</t>
        </is>
      </c>
      <c r="K205" s="7" t="inlineStr">
        <is>
          <t>Não</t>
        </is>
      </c>
      <c r="L205" s="7" t="inlineStr">
        <is>
          <t>Não</t>
        </is>
      </c>
      <c r="M205" s="7" t="inlineStr">
        <is>
          <t>Sim</t>
        </is>
      </c>
      <c r="N205" s="7" t="inlineStr">
        <is>
          <t>Sim</t>
        </is>
      </c>
      <c r="O205" s="7" t="inlineStr">
        <is>
          <t>Sim</t>
        </is>
      </c>
      <c r="P205" s="16" t="inlineStr">
        <is>
          <t>1-3 anos detenção + multa</t>
        </is>
      </c>
    </row>
    <row r="206">
      <c r="A206" s="7" t="inlineStr">
        <is>
          <t>CP</t>
        </is>
      </c>
      <c r="B206" s="7" t="inlineStr">
        <is>
          <t>Art. 258</t>
        </is>
      </c>
      <c r="C206" s="16" t="inlineStr">
        <is>
          <t>Formas qualificadas de crimes de perigo comum (resultado lesão grave ou morte)</t>
        </is>
      </c>
      <c r="D206" s="7" t="n">
        <v>48</v>
      </c>
      <c r="E206" s="7" t="n">
        <v>180</v>
      </c>
      <c r="F206" s="7" t="inlineStr">
        <is>
          <t>Reclusão</t>
        </is>
      </c>
      <c r="G206" s="7" t="inlineStr">
        <is>
          <t>Pública Incondicionada</t>
        </is>
      </c>
      <c r="H206" s="7" t="inlineStr">
        <is>
          <t>Não</t>
        </is>
      </c>
      <c r="I206" s="7" t="inlineStr">
        <is>
          <t>Preterdoloso</t>
        </is>
      </c>
      <c r="J206" s="7" t="inlineStr">
        <is>
          <t>Não</t>
        </is>
      </c>
      <c r="K206" s="7" t="inlineStr">
        <is>
          <t>Não</t>
        </is>
      </c>
      <c r="L206" s="7" t="inlineStr">
        <is>
          <t>Não</t>
        </is>
      </c>
      <c r="M206" s="7" t="inlineStr">
        <is>
          <t>Não</t>
        </is>
      </c>
      <c r="N206" s="7" t="inlineStr">
        <is>
          <t>Não</t>
        </is>
      </c>
      <c r="O206" s="7" t="inlineStr">
        <is>
          <t>Verificar</t>
        </is>
      </c>
      <c r="P206" s="16" t="inlineStr">
        <is>
          <t>Aplicável aos Arts. 250-257. Se doloso + lesão grave: +1/2 sobre a pena. Se doloso + morte: dobro. Se culposo + lesão grave: +1/2. Se culposo + morte: dobro</t>
        </is>
      </c>
    </row>
    <row r="207">
      <c r="A207" s="7" t="inlineStr">
        <is>
          <t>CP</t>
        </is>
      </c>
      <c r="B207" s="7" t="inlineStr">
        <is>
          <t>Art. 259</t>
        </is>
      </c>
      <c r="C207" s="16" t="inlineStr">
        <is>
          <t>Difusão de doença ou praga</t>
        </is>
      </c>
      <c r="D207" s="7" t="n">
        <v>24</v>
      </c>
      <c r="E207" s="7" t="n">
        <v>60</v>
      </c>
      <c r="F207" s="7" t="inlineStr">
        <is>
          <t>Reclusão</t>
        </is>
      </c>
      <c r="G207" s="7" t="inlineStr">
        <is>
          <t>Pública Incondicionada</t>
        </is>
      </c>
      <c r="H207" s="7" t="inlineStr">
        <is>
          <t>Não</t>
        </is>
      </c>
      <c r="I207" s="7" t="inlineStr">
        <is>
          <t>Doloso</t>
        </is>
      </c>
      <c r="J207" s="7" t="inlineStr">
        <is>
          <t>Sim</t>
        </is>
      </c>
      <c r="K207" s="7" t="inlineStr">
        <is>
          <t>Não</t>
        </is>
      </c>
      <c r="L207" s="7" t="inlineStr">
        <is>
          <t>Não</t>
        </is>
      </c>
      <c r="M207" s="7" t="inlineStr">
        <is>
          <t>Sim</t>
        </is>
      </c>
      <c r="N207" s="7" t="inlineStr">
        <is>
          <t>Não</t>
        </is>
      </c>
      <c r="O207" s="7" t="inlineStr">
        <is>
          <t>Sim</t>
        </is>
      </c>
      <c r="P207" s="16" t="inlineStr">
        <is>
          <t>2-5 anos reclusão</t>
        </is>
      </c>
    </row>
    <row r="208">
      <c r="A208" s="7" t="inlineStr">
        <is>
          <t>CP</t>
        </is>
      </c>
      <c r="B208" s="7" t="inlineStr">
        <is>
          <t>Art. 260</t>
        </is>
      </c>
      <c r="C208" s="16" t="inlineStr">
        <is>
          <t>Perigo de desastre ferroviário</t>
        </is>
      </c>
      <c r="D208" s="7" t="n">
        <v>24</v>
      </c>
      <c r="E208" s="7" t="n">
        <v>60</v>
      </c>
      <c r="F208" s="7" t="inlineStr">
        <is>
          <t>Reclusão</t>
        </is>
      </c>
      <c r="G208" s="7" t="inlineStr">
        <is>
          <t>Pública Incondicionada</t>
        </is>
      </c>
      <c r="H208" s="7" t="inlineStr">
        <is>
          <t>Não</t>
        </is>
      </c>
      <c r="I208" s="7" t="inlineStr">
        <is>
          <t>Doloso</t>
        </is>
      </c>
      <c r="J208" s="7" t="inlineStr">
        <is>
          <t>Sim</t>
        </is>
      </c>
      <c r="K208" s="7" t="inlineStr">
        <is>
          <t>Não</t>
        </is>
      </c>
      <c r="L208" s="7" t="inlineStr">
        <is>
          <t>Não</t>
        </is>
      </c>
      <c r="M208" s="7" t="inlineStr">
        <is>
          <t>Sim</t>
        </is>
      </c>
      <c r="N208" s="7" t="inlineStr">
        <is>
          <t>Não</t>
        </is>
      </c>
      <c r="O208" s="7" t="inlineStr">
        <is>
          <t>Sim</t>
        </is>
      </c>
      <c r="P208" s="16" t="inlineStr">
        <is>
          <t>2-5 anos reclusão. §1º: culposo: 3-12 meses detenção</t>
        </is>
      </c>
    </row>
    <row r="209">
      <c r="A209" s="7" t="inlineStr">
        <is>
          <t>CP</t>
        </is>
      </c>
      <c r="B209" s="7" t="inlineStr">
        <is>
          <t>Art. 261</t>
        </is>
      </c>
      <c r="C209" s="16" t="inlineStr">
        <is>
          <t>Atentado contra a segurança de transporte marítimo, fluvial ou aéreo</t>
        </is>
      </c>
      <c r="D209" s="7" t="n">
        <v>24</v>
      </c>
      <c r="E209" s="7" t="n">
        <v>72</v>
      </c>
      <c r="F209" s="7" t="inlineStr">
        <is>
          <t>Reclusão</t>
        </is>
      </c>
      <c r="G209" s="7" t="inlineStr">
        <is>
          <t>Pública Incondicionada</t>
        </is>
      </c>
      <c r="H209" s="7" t="inlineStr">
        <is>
          <t>Não</t>
        </is>
      </c>
      <c r="I209" s="7" t="inlineStr">
        <is>
          <t>Doloso</t>
        </is>
      </c>
      <c r="J209" s="7" t="inlineStr">
        <is>
          <t>Sim</t>
        </is>
      </c>
      <c r="K209" s="7" t="inlineStr">
        <is>
          <t>Não</t>
        </is>
      </c>
      <c r="L209" s="7" t="inlineStr">
        <is>
          <t>Não</t>
        </is>
      </c>
      <c r="M209" s="7" t="inlineStr">
        <is>
          <t>Sim</t>
        </is>
      </c>
      <c r="N209" s="7" t="inlineStr">
        <is>
          <t>Não</t>
        </is>
      </c>
      <c r="O209" s="7" t="inlineStr">
        <is>
          <t>Sim</t>
        </is>
      </c>
      <c r="P209" s="16" t="inlineStr">
        <is>
          <t>2-6 anos reclusão</t>
        </is>
      </c>
    </row>
    <row r="210">
      <c r="A210" s="7" t="inlineStr">
        <is>
          <t>CP</t>
        </is>
      </c>
      <c r="B210" s="7" t="inlineStr">
        <is>
          <t>Art. 262</t>
        </is>
      </c>
      <c r="C210" s="16" t="inlineStr">
        <is>
          <t>Atentado contra a segurança de outro meio de transporte</t>
        </is>
      </c>
      <c r="D210" s="7" t="n">
        <v>12</v>
      </c>
      <c r="E210" s="7" t="n">
        <v>36</v>
      </c>
      <c r="F210" s="7" t="inlineStr">
        <is>
          <t>Detenção</t>
        </is>
      </c>
      <c r="G210" s="7" t="inlineStr">
        <is>
          <t>Pública Incondicionada</t>
        </is>
      </c>
      <c r="H210" s="7" t="inlineStr">
        <is>
          <t>Não</t>
        </is>
      </c>
      <c r="I210" s="7" t="inlineStr">
        <is>
          <t>Doloso</t>
        </is>
      </c>
      <c r="J210" s="7" t="inlineStr">
        <is>
          <t>Sim</t>
        </is>
      </c>
      <c r="K210" s="7" t="inlineStr">
        <is>
          <t>Não</t>
        </is>
      </c>
      <c r="L210" s="7" t="inlineStr">
        <is>
          <t>Não</t>
        </is>
      </c>
      <c r="M210" s="7" t="inlineStr">
        <is>
          <t>Sim</t>
        </is>
      </c>
      <c r="N210" s="7" t="inlineStr">
        <is>
          <t>Sim</t>
        </is>
      </c>
      <c r="O210" s="7" t="inlineStr">
        <is>
          <t>Sim</t>
        </is>
      </c>
      <c r="P210" s="16" t="inlineStr">
        <is>
          <t>1-3 anos detenção</t>
        </is>
      </c>
    </row>
    <row r="211">
      <c r="A211" s="7" t="inlineStr">
        <is>
          <t>CP</t>
        </is>
      </c>
      <c r="B211" s="7" t="inlineStr">
        <is>
          <t>Art. 263</t>
        </is>
      </c>
      <c r="C211" s="16" t="inlineStr">
        <is>
          <t>Forma qualificada dos crimes de perigo no transporte (resultado sinistro)</t>
        </is>
      </c>
      <c r="D211" s="7" t="n">
        <v>48</v>
      </c>
      <c r="E211" s="7" t="n">
        <v>180</v>
      </c>
      <c r="F211" s="7" t="inlineStr">
        <is>
          <t>Reclusão</t>
        </is>
      </c>
      <c r="G211" s="7" t="inlineStr">
        <is>
          <t>Pública Incondicionada</t>
        </is>
      </c>
      <c r="H211" s="7" t="inlineStr">
        <is>
          <t>Não</t>
        </is>
      </c>
      <c r="I211" s="7" t="inlineStr">
        <is>
          <t>Preterdoloso</t>
        </is>
      </c>
      <c r="J211" s="7" t="inlineStr">
        <is>
          <t>Não</t>
        </is>
      </c>
      <c r="K211" s="7" t="inlineStr">
        <is>
          <t>Não</t>
        </is>
      </c>
      <c r="L211" s="7" t="inlineStr">
        <is>
          <t>Não</t>
        </is>
      </c>
      <c r="M211" s="7" t="inlineStr">
        <is>
          <t>Não</t>
        </is>
      </c>
      <c r="N211" s="7" t="inlineStr">
        <is>
          <t>Não</t>
        </is>
      </c>
      <c r="O211" s="7" t="inlineStr">
        <is>
          <t>Verificar</t>
        </is>
      </c>
      <c r="P211" s="16" t="inlineStr">
        <is>
          <t>Aplicável aos Arts. 260-262. Se resulta sinistro: 4-12a. Se resulta lesão: +1/2. Se resulta morte: dobro</t>
        </is>
      </c>
    </row>
    <row r="212">
      <c r="A212" s="7" t="inlineStr">
        <is>
          <t>CP</t>
        </is>
      </c>
      <c r="B212" s="7" t="inlineStr">
        <is>
          <t>Art. 264</t>
        </is>
      </c>
      <c r="C212" s="16" t="inlineStr">
        <is>
          <t>Arremesso de projétil contra veículo ou transporte público</t>
        </is>
      </c>
      <c r="D212" s="7" t="n">
        <v>6</v>
      </c>
      <c r="E212" s="7" t="n">
        <v>36</v>
      </c>
      <c r="F212" s="7" t="inlineStr">
        <is>
          <t>Detenção</t>
        </is>
      </c>
      <c r="G212" s="7" t="inlineStr">
        <is>
          <t>Pública Incondicionada</t>
        </is>
      </c>
      <c r="H212" s="7" t="inlineStr">
        <is>
          <t>Não</t>
        </is>
      </c>
      <c r="I212" s="7" t="inlineStr">
        <is>
          <t>Doloso</t>
        </is>
      </c>
      <c r="J212" s="7" t="inlineStr">
        <is>
          <t>Sim</t>
        </is>
      </c>
      <c r="K212" s="7" t="inlineStr">
        <is>
          <t>Não</t>
        </is>
      </c>
      <c r="L212" s="7" t="inlineStr">
        <is>
          <t>Não</t>
        </is>
      </c>
      <c r="M212" s="7" t="inlineStr">
        <is>
          <t>Sim</t>
        </is>
      </c>
      <c r="N212" s="7" t="inlineStr">
        <is>
          <t>Sim</t>
        </is>
      </c>
      <c r="O212" s="7" t="inlineStr">
        <is>
          <t>Sim</t>
        </is>
      </c>
      <c r="P212" s="16" t="inlineStr">
        <is>
          <t>6 meses a 3 anos detenção</t>
        </is>
      </c>
    </row>
    <row r="213">
      <c r="A213" s="7" t="inlineStr">
        <is>
          <t>CP</t>
        </is>
      </c>
      <c r="B213" s="7" t="inlineStr">
        <is>
          <t>Art. 265</t>
        </is>
      </c>
      <c r="C213" s="16" t="inlineStr">
        <is>
          <t>Atentado contra a segurança de serviço de utilidade pública</t>
        </is>
      </c>
      <c r="D213" s="7" t="n">
        <v>12</v>
      </c>
      <c r="E213" s="7" t="n">
        <v>60</v>
      </c>
      <c r="F213" s="7" t="inlineStr">
        <is>
          <t>Reclusão</t>
        </is>
      </c>
      <c r="G213" s="7" t="inlineStr">
        <is>
          <t>Pública Incondicionada</t>
        </is>
      </c>
      <c r="H213" s="7" t="inlineStr">
        <is>
          <t>Não</t>
        </is>
      </c>
      <c r="I213" s="7" t="inlineStr">
        <is>
          <t>Doloso</t>
        </is>
      </c>
      <c r="J213" s="7" t="inlineStr">
        <is>
          <t>Sim</t>
        </is>
      </c>
      <c r="K213" s="7" t="inlineStr">
        <is>
          <t>Não</t>
        </is>
      </c>
      <c r="L213" s="7" t="inlineStr">
        <is>
          <t>Não</t>
        </is>
      </c>
      <c r="M213" s="7" t="inlineStr">
        <is>
          <t>Sim</t>
        </is>
      </c>
      <c r="N213" s="7" t="inlineStr">
        <is>
          <t>Sim</t>
        </is>
      </c>
      <c r="O213" s="7" t="inlineStr">
        <is>
          <t>Sim</t>
        </is>
      </c>
      <c r="P213" s="16" t="inlineStr">
        <is>
          <t>1-5 anos reclusão + multa. Atentar contra a segurança/funcionamento de serviço de água, luz, força ou calor, ou qualquer outro de utilidade pública</t>
        </is>
      </c>
    </row>
    <row r="214">
      <c r="A214" s="7" t="inlineStr">
        <is>
          <t>CP</t>
        </is>
      </c>
      <c r="B214" s="7" t="inlineStr">
        <is>
          <t>Art. 266</t>
        </is>
      </c>
      <c r="C214" s="16" t="inlineStr">
        <is>
          <t>Interrupção ou perturbação de serviço telegráfico, telefônico, informático, telemático ou de informação de utilidade pública</t>
        </is>
      </c>
      <c r="D214" s="7" t="n">
        <v>12</v>
      </c>
      <c r="E214" s="7" t="n">
        <v>36</v>
      </c>
      <c r="F214" s="7" t="inlineStr">
        <is>
          <t>Detenção</t>
        </is>
      </c>
      <c r="G214" s="7" t="inlineStr">
        <is>
          <t>Pública Incondicionada</t>
        </is>
      </c>
      <c r="H214" s="7" t="inlineStr">
        <is>
          <t>Não</t>
        </is>
      </c>
      <c r="I214" s="7" t="inlineStr">
        <is>
          <t>Doloso</t>
        </is>
      </c>
      <c r="J214" s="7" t="inlineStr">
        <is>
          <t>Sim</t>
        </is>
      </c>
      <c r="K214" s="7" t="inlineStr">
        <is>
          <t>Não</t>
        </is>
      </c>
      <c r="L214" s="7" t="inlineStr">
        <is>
          <t>Não</t>
        </is>
      </c>
      <c r="M214" s="7" t="inlineStr">
        <is>
          <t>Sim</t>
        </is>
      </c>
      <c r="N214" s="7" t="inlineStr">
        <is>
          <t>Sim</t>
        </is>
      </c>
      <c r="O214" s="7" t="inlineStr">
        <is>
          <t>Sim</t>
        </is>
      </c>
      <c r="P214" s="16" t="inlineStr">
        <is>
          <t>1-3 anos detenção + multa. §1º: mesma pena para quem interrompe serviço telemático ou de informação de utilidade pública (Lei 12.737/2012). §2º: dobro se durante calamidade pública</t>
        </is>
      </c>
    </row>
    <row r="215">
      <c r="A215" s="17" t="inlineStr">
        <is>
          <t>CP</t>
        </is>
      </c>
      <c r="B215" s="17" t="inlineStr">
        <is>
          <t>Art. 267</t>
        </is>
      </c>
      <c r="C215" s="18" t="inlineStr">
        <is>
          <t>Epidemia (dolosa)</t>
        </is>
      </c>
      <c r="D215" s="17" t="n">
        <v>120</v>
      </c>
      <c r="E215" s="17" t="n">
        <v>180</v>
      </c>
      <c r="F215" s="17" t="inlineStr">
        <is>
          <t>Reclusão</t>
        </is>
      </c>
      <c r="G215" s="17" t="inlineStr">
        <is>
          <t>Pública Incondicionada</t>
        </is>
      </c>
      <c r="H215" s="17" t="inlineStr">
        <is>
          <t>Sim</t>
        </is>
      </c>
      <c r="I215" s="17" t="inlineStr">
        <is>
          <t>Doloso</t>
        </is>
      </c>
      <c r="J215" s="17" t="inlineStr">
        <is>
          <t>Sim</t>
        </is>
      </c>
      <c r="K215" s="17" t="inlineStr">
        <is>
          <t>Não</t>
        </is>
      </c>
      <c r="L215" s="17" t="inlineStr">
        <is>
          <t>Não</t>
        </is>
      </c>
      <c r="M215" s="17" t="inlineStr">
        <is>
          <t>Não</t>
        </is>
      </c>
      <c r="N215" s="17" t="inlineStr">
        <is>
          <t>Não</t>
        </is>
      </c>
      <c r="O215" s="17" t="inlineStr">
        <is>
          <t>Verificar</t>
        </is>
      </c>
      <c r="P215" s="18" t="inlineStr">
        <is>
          <t>10-15 anos reclusão. Hediondo (com resultado morte). §1º: se resulta morte: pena em dobro</t>
        </is>
      </c>
    </row>
    <row r="216">
      <c r="A216" s="7" t="inlineStr">
        <is>
          <t>CP</t>
        </is>
      </c>
      <c r="B216" s="7" t="inlineStr">
        <is>
          <t>Art. 267, §2º</t>
        </is>
      </c>
      <c r="C216" s="16" t="inlineStr">
        <is>
          <t>Epidemia culposa</t>
        </is>
      </c>
      <c r="D216" s="7" t="n">
        <v>12</v>
      </c>
      <c r="E216" s="7" t="n">
        <v>24</v>
      </c>
      <c r="F216" s="7" t="inlineStr">
        <is>
          <t>Detenção</t>
        </is>
      </c>
      <c r="G216" s="7" t="inlineStr">
        <is>
          <t>Pública Incondicionada</t>
        </is>
      </c>
      <c r="H216" s="7" t="inlineStr">
        <is>
          <t>Não</t>
        </is>
      </c>
      <c r="I216" s="7" t="inlineStr">
        <is>
          <t>Culposo</t>
        </is>
      </c>
      <c r="J216" s="7" t="inlineStr">
        <is>
          <t>Não</t>
        </is>
      </c>
      <c r="K216" s="7" t="inlineStr">
        <is>
          <t>Não</t>
        </is>
      </c>
      <c r="L216" s="7" t="inlineStr">
        <is>
          <t>Não</t>
        </is>
      </c>
      <c r="M216" s="7" t="inlineStr">
        <is>
          <t>Sim</t>
        </is>
      </c>
      <c r="N216" s="7" t="inlineStr">
        <is>
          <t>Sim</t>
        </is>
      </c>
      <c r="O216" s="7" t="inlineStr">
        <is>
          <t>Sim</t>
        </is>
      </c>
      <c r="P216" s="16" t="inlineStr">
        <is>
          <t>1-2 anos detenção. Se culposa + morte: dobro</t>
        </is>
      </c>
    </row>
    <row r="217">
      <c r="A217" s="7" t="inlineStr">
        <is>
          <t>CP</t>
        </is>
      </c>
      <c r="B217" s="7" t="inlineStr">
        <is>
          <t>Art. 268</t>
        </is>
      </c>
      <c r="C217" s="16" t="inlineStr">
        <is>
          <t>Infração de medida sanitária preventiva</t>
        </is>
      </c>
      <c r="D217" s="7" t="n">
        <v>1</v>
      </c>
      <c r="E217" s="7" t="n">
        <v>12</v>
      </c>
      <c r="F217" s="7" t="inlineStr">
        <is>
          <t>Detenção</t>
        </is>
      </c>
      <c r="G217" s="7" t="inlineStr">
        <is>
          <t>Pública Incondicionada</t>
        </is>
      </c>
      <c r="H217" s="7" t="inlineStr">
        <is>
          <t>Não</t>
        </is>
      </c>
      <c r="I217" s="7" t="inlineStr">
        <is>
          <t>Doloso</t>
        </is>
      </c>
      <c r="J217" s="7" t="inlineStr">
        <is>
          <t>Sim</t>
        </is>
      </c>
      <c r="K217" s="7" t="inlineStr">
        <is>
          <t>Não</t>
        </is>
      </c>
      <c r="L217" s="7" t="inlineStr">
        <is>
          <t>Não</t>
        </is>
      </c>
      <c r="M217" s="7" t="inlineStr">
        <is>
          <t>Sim</t>
        </is>
      </c>
      <c r="N217" s="7" t="inlineStr">
        <is>
          <t>Sim</t>
        </is>
      </c>
      <c r="O217" s="7" t="inlineStr">
        <is>
          <t>Sim</t>
        </is>
      </c>
      <c r="P217" s="16" t="inlineStr">
        <is>
          <t>1-12 meses detenção + multa</t>
        </is>
      </c>
    </row>
    <row r="218">
      <c r="A218" s="7" t="inlineStr">
        <is>
          <t>CP</t>
        </is>
      </c>
      <c r="B218" s="7" t="inlineStr">
        <is>
          <t>Art. 269</t>
        </is>
      </c>
      <c r="C218" s="16" t="inlineStr">
        <is>
          <t>Omissão de notificação de doença</t>
        </is>
      </c>
      <c r="D218" s="7" t="n">
        <v>6</v>
      </c>
      <c r="E218" s="7" t="n">
        <v>24</v>
      </c>
      <c r="F218" s="7" t="inlineStr">
        <is>
          <t>Detenção</t>
        </is>
      </c>
      <c r="G218" s="7" t="inlineStr">
        <is>
          <t>Pública Incondicionada</t>
        </is>
      </c>
      <c r="H218" s="7" t="inlineStr">
        <is>
          <t>Não</t>
        </is>
      </c>
      <c r="I218" s="7" t="inlineStr">
        <is>
          <t>Doloso</t>
        </is>
      </c>
      <c r="J218" s="7" t="inlineStr">
        <is>
          <t>Não</t>
        </is>
      </c>
      <c r="K218" s="7" t="inlineStr">
        <is>
          <t>Não</t>
        </is>
      </c>
      <c r="L218" s="7" t="inlineStr">
        <is>
          <t>Não</t>
        </is>
      </c>
      <c r="M218" s="7" t="inlineStr">
        <is>
          <t>Sim</t>
        </is>
      </c>
      <c r="N218" s="7" t="inlineStr">
        <is>
          <t>Sim</t>
        </is>
      </c>
      <c r="O218" s="7" t="inlineStr">
        <is>
          <t>Sim</t>
        </is>
      </c>
      <c r="P218" s="16" t="inlineStr">
        <is>
          <t>6 meses a 2 anos detenção + multa. Crime próprio (médico)</t>
        </is>
      </c>
    </row>
    <row r="219">
      <c r="A219" s="17" t="inlineStr">
        <is>
          <t>CP</t>
        </is>
      </c>
      <c r="B219" s="17" t="inlineStr">
        <is>
          <t>Art. 270</t>
        </is>
      </c>
      <c r="C219" s="18" t="inlineStr">
        <is>
          <t>Envenenamento de água potável ou de substância alimentícia ou medicinal</t>
        </is>
      </c>
      <c r="D219" s="17" t="n">
        <v>120</v>
      </c>
      <c r="E219" s="17" t="n">
        <v>180</v>
      </c>
      <c r="F219" s="17" t="inlineStr">
        <is>
          <t>Reclusão</t>
        </is>
      </c>
      <c r="G219" s="17" t="inlineStr">
        <is>
          <t>Pública Incondicionada</t>
        </is>
      </c>
      <c r="H219" s="17" t="inlineStr">
        <is>
          <t>Sim</t>
        </is>
      </c>
      <c r="I219" s="17" t="inlineStr">
        <is>
          <t>Doloso</t>
        </is>
      </c>
      <c r="J219" s="17" t="inlineStr">
        <is>
          <t>Sim</t>
        </is>
      </c>
      <c r="K219" s="17" t="inlineStr">
        <is>
          <t>Não</t>
        </is>
      </c>
      <c r="L219" s="17" t="inlineStr">
        <is>
          <t>Não</t>
        </is>
      </c>
      <c r="M219" s="17" t="inlineStr">
        <is>
          <t>Não</t>
        </is>
      </c>
      <c r="N219" s="17" t="inlineStr">
        <is>
          <t>Não</t>
        </is>
      </c>
      <c r="O219" s="17" t="inlineStr">
        <is>
          <t>Verificar</t>
        </is>
      </c>
      <c r="P219" s="18" t="inlineStr">
        <is>
          <t>10-15 anos reclusão. Hediondo (com resultado morte). §1º: culposo: 6m-2a detenção</t>
        </is>
      </c>
    </row>
    <row r="220">
      <c r="A220" s="7" t="inlineStr">
        <is>
          <t>CP</t>
        </is>
      </c>
      <c r="B220" s="7" t="inlineStr">
        <is>
          <t>Art. 271</t>
        </is>
      </c>
      <c r="C220" s="16" t="inlineStr">
        <is>
          <t>Corrupção ou poluição de água potável</t>
        </is>
      </c>
      <c r="D220" s="7" t="n">
        <v>24</v>
      </c>
      <c r="E220" s="7" t="n">
        <v>60</v>
      </c>
      <c r="F220" s="7" t="inlineStr">
        <is>
          <t>Reclusão</t>
        </is>
      </c>
      <c r="G220" s="7" t="inlineStr">
        <is>
          <t>Pública Incondicionada</t>
        </is>
      </c>
      <c r="H220" s="7" t="inlineStr">
        <is>
          <t>Não</t>
        </is>
      </c>
      <c r="I220" s="7" t="inlineStr">
        <is>
          <t>Doloso</t>
        </is>
      </c>
      <c r="J220" s="7" t="inlineStr">
        <is>
          <t>Sim</t>
        </is>
      </c>
      <c r="K220" s="7" t="inlineStr">
        <is>
          <t>Não</t>
        </is>
      </c>
      <c r="L220" s="7" t="inlineStr">
        <is>
          <t>Não</t>
        </is>
      </c>
      <c r="M220" s="7" t="inlineStr">
        <is>
          <t>Sim</t>
        </is>
      </c>
      <c r="N220" s="7" t="inlineStr">
        <is>
          <t>Não</t>
        </is>
      </c>
      <c r="O220" s="7" t="inlineStr">
        <is>
          <t>Sim</t>
        </is>
      </c>
      <c r="P220" s="16" t="inlineStr">
        <is>
          <t>2-5 anos reclusão</t>
        </is>
      </c>
    </row>
    <row r="221">
      <c r="A221" s="7" t="inlineStr">
        <is>
          <t>CP</t>
        </is>
      </c>
      <c r="B221" s="7" t="inlineStr">
        <is>
          <t>Art. 272</t>
        </is>
      </c>
      <c r="C221" s="16" t="inlineStr">
        <is>
          <t>Falsificação, corrupção, adulteração ou alteração de substância ou produtos alimentícios</t>
        </is>
      </c>
      <c r="D221" s="7" t="n">
        <v>48</v>
      </c>
      <c r="E221" s="7" t="n">
        <v>96</v>
      </c>
      <c r="F221" s="7" t="inlineStr">
        <is>
          <t>Reclusão</t>
        </is>
      </c>
      <c r="G221" s="7" t="inlineStr">
        <is>
          <t>Pública Incondicionada</t>
        </is>
      </c>
      <c r="H221" s="7" t="inlineStr">
        <is>
          <t>Não</t>
        </is>
      </c>
      <c r="I221" s="7" t="inlineStr">
        <is>
          <t>Doloso</t>
        </is>
      </c>
      <c r="J221" s="7" t="inlineStr">
        <is>
          <t>Sim</t>
        </is>
      </c>
      <c r="K221" s="7" t="inlineStr">
        <is>
          <t>Não</t>
        </is>
      </c>
      <c r="L221" s="7" t="inlineStr">
        <is>
          <t>Não</t>
        </is>
      </c>
      <c r="M221" s="7" t="inlineStr">
        <is>
          <t>Não</t>
        </is>
      </c>
      <c r="N221" s="7" t="inlineStr">
        <is>
          <t>Não</t>
        </is>
      </c>
      <c r="O221" s="7" t="inlineStr">
        <is>
          <t>Verificar</t>
        </is>
      </c>
      <c r="P221" s="16" t="inlineStr">
        <is>
          <t>4-8 anos reclusão + multa. §1º-A: incluem-se bebidas (Lei 9.677/98). Se culposo: 1-2 anos detenção</t>
        </is>
      </c>
    </row>
    <row r="222">
      <c r="A222" s="17" t="inlineStr">
        <is>
          <t>CP</t>
        </is>
      </c>
      <c r="B222" s="17" t="inlineStr">
        <is>
          <t>Art. 273</t>
        </is>
      </c>
      <c r="C222" s="18" t="inlineStr">
        <is>
          <t>Falsificação, corrupção, adulteração ou alteração de produto destinado a fins terapêuticos ou medicinais</t>
        </is>
      </c>
      <c r="D222" s="17" t="n">
        <v>120</v>
      </c>
      <c r="E222" s="17" t="n">
        <v>180</v>
      </c>
      <c r="F222" s="17" t="inlineStr">
        <is>
          <t>Reclusão</t>
        </is>
      </c>
      <c r="G222" s="17" t="inlineStr">
        <is>
          <t>Pública Incondicionada</t>
        </is>
      </c>
      <c r="H222" s="17" t="inlineStr">
        <is>
          <t>Sim</t>
        </is>
      </c>
      <c r="I222" s="17" t="inlineStr">
        <is>
          <t>Doloso</t>
        </is>
      </c>
      <c r="J222" s="17" t="inlineStr">
        <is>
          <t>Sim</t>
        </is>
      </c>
      <c r="K222" s="17" t="inlineStr">
        <is>
          <t>Não</t>
        </is>
      </c>
      <c r="L222" s="17" t="inlineStr">
        <is>
          <t>Não</t>
        </is>
      </c>
      <c r="M222" s="17" t="inlineStr">
        <is>
          <t>Não</t>
        </is>
      </c>
      <c r="N222" s="17" t="inlineStr">
        <is>
          <t>Não</t>
        </is>
      </c>
      <c r="O222" s="17" t="inlineStr">
        <is>
          <t>Verificar</t>
        </is>
      </c>
      <c r="P222" s="18" t="inlineStr">
        <is>
          <t>10-15 anos reclusão + multa. HEDIONDO. Inclui cosméticos e saneantes (§1º-A). §1º-B: inclui importar/vender/expor/manter em depósito produto sem registro/sem qualidade</t>
        </is>
      </c>
    </row>
    <row r="223">
      <c r="A223" s="7" t="inlineStr">
        <is>
          <t>CP</t>
        </is>
      </c>
      <c r="B223" s="7" t="inlineStr">
        <is>
          <t>Art. 274</t>
        </is>
      </c>
      <c r="C223" s="16" t="inlineStr">
        <is>
          <t>Emprego de processo proibido ou de substância não permitida (alimentos/bebidas)</t>
        </is>
      </c>
      <c r="D223" s="7" t="n">
        <v>48</v>
      </c>
      <c r="E223" s="7" t="n">
        <v>96</v>
      </c>
      <c r="F223" s="7" t="inlineStr">
        <is>
          <t>Reclusão</t>
        </is>
      </c>
      <c r="G223" s="7" t="inlineStr">
        <is>
          <t>Pública Incondicionada</t>
        </is>
      </c>
      <c r="H223" s="7" t="inlineStr">
        <is>
          <t>Não</t>
        </is>
      </c>
      <c r="I223" s="7" t="inlineStr">
        <is>
          <t>Doloso</t>
        </is>
      </c>
      <c r="J223" s="7" t="inlineStr">
        <is>
          <t>Sim</t>
        </is>
      </c>
      <c r="K223" s="7" t="inlineStr">
        <is>
          <t>Não</t>
        </is>
      </c>
      <c r="L223" s="7" t="inlineStr">
        <is>
          <t>Não</t>
        </is>
      </c>
      <c r="M223" s="7" t="inlineStr">
        <is>
          <t>Não</t>
        </is>
      </c>
      <c r="N223" s="7" t="inlineStr">
        <is>
          <t>Não</t>
        </is>
      </c>
      <c r="O223" s="7" t="inlineStr">
        <is>
          <t>Verificar</t>
        </is>
      </c>
      <c r="P223" s="16" t="inlineStr">
        <is>
          <t>4-8 anos reclusão + multa (redação Lei 9.677/98)</t>
        </is>
      </c>
    </row>
    <row r="224">
      <c r="A224" s="7" t="inlineStr">
        <is>
          <t>CP</t>
        </is>
      </c>
      <c r="B224" s="7" t="inlineStr">
        <is>
          <t>Art. 275</t>
        </is>
      </c>
      <c r="C224" s="16" t="inlineStr">
        <is>
          <t>Invólucro ou recipiente com falsa indicação</t>
        </is>
      </c>
      <c r="D224" s="7" t="n">
        <v>48</v>
      </c>
      <c r="E224" s="7" t="n">
        <v>96</v>
      </c>
      <c r="F224" s="7" t="inlineStr">
        <is>
          <t>Reclusão</t>
        </is>
      </c>
      <c r="G224" s="7" t="inlineStr">
        <is>
          <t>Pública Incondicionada</t>
        </is>
      </c>
      <c r="H224" s="7" t="inlineStr">
        <is>
          <t>Não</t>
        </is>
      </c>
      <c r="I224" s="7" t="inlineStr">
        <is>
          <t>Doloso</t>
        </is>
      </c>
      <c r="J224" s="7" t="inlineStr">
        <is>
          <t>Sim</t>
        </is>
      </c>
      <c r="K224" s="7" t="inlineStr">
        <is>
          <t>Não</t>
        </is>
      </c>
      <c r="L224" s="7" t="inlineStr">
        <is>
          <t>Não</t>
        </is>
      </c>
      <c r="M224" s="7" t="inlineStr">
        <is>
          <t>Não</t>
        </is>
      </c>
      <c r="N224" s="7" t="inlineStr">
        <is>
          <t>Não</t>
        </is>
      </c>
      <c r="O224" s="7" t="inlineStr">
        <is>
          <t>Verificar</t>
        </is>
      </c>
      <c r="P224" s="16" t="inlineStr">
        <is>
          <t>4-8 anos reclusão + multa</t>
        </is>
      </c>
    </row>
    <row r="225">
      <c r="A225" s="7" t="inlineStr">
        <is>
          <t>CP</t>
        </is>
      </c>
      <c r="B225" s="7" t="inlineStr">
        <is>
          <t>Art. 276</t>
        </is>
      </c>
      <c r="C225" s="16" t="inlineStr">
        <is>
          <t>Produto ou substância nas condições dos dois artigos anteriores (venda/exposição)</t>
        </is>
      </c>
      <c r="D225" s="7" t="n">
        <v>48</v>
      </c>
      <c r="E225" s="7" t="n">
        <v>96</v>
      </c>
      <c r="F225" s="7" t="inlineStr">
        <is>
          <t>Reclusão</t>
        </is>
      </c>
      <c r="G225" s="7" t="inlineStr">
        <is>
          <t>Pública Incondicionada</t>
        </is>
      </c>
      <c r="H225" s="7" t="inlineStr">
        <is>
          <t>Não</t>
        </is>
      </c>
      <c r="I225" s="7" t="inlineStr">
        <is>
          <t>Doloso</t>
        </is>
      </c>
      <c r="J225" s="7" t="inlineStr">
        <is>
          <t>Sim</t>
        </is>
      </c>
      <c r="K225" s="7" t="inlineStr">
        <is>
          <t>Não</t>
        </is>
      </c>
      <c r="L225" s="7" t="inlineStr">
        <is>
          <t>Não</t>
        </is>
      </c>
      <c r="M225" s="7" t="inlineStr">
        <is>
          <t>Não</t>
        </is>
      </c>
      <c r="N225" s="7" t="inlineStr">
        <is>
          <t>Não</t>
        </is>
      </c>
      <c r="O225" s="7" t="inlineStr">
        <is>
          <t>Verificar</t>
        </is>
      </c>
      <c r="P225" s="16" t="inlineStr">
        <is>
          <t>4-8 anos reclusão + multa. Vender/expor/ter em depósito para vender/ceder/entregar substância alimentícia ou medicinal nas condições dos Arts. 274/275</t>
        </is>
      </c>
    </row>
    <row r="226">
      <c r="A226" s="7" t="inlineStr">
        <is>
          <t>CP</t>
        </is>
      </c>
      <c r="B226" s="7" t="inlineStr">
        <is>
          <t>Art. 277</t>
        </is>
      </c>
      <c r="C226" s="16" t="inlineStr">
        <is>
          <t>Substância destinada à falsificação</t>
        </is>
      </c>
      <c r="D226" s="7" t="n">
        <v>12</v>
      </c>
      <c r="E226" s="7" t="n">
        <v>36</v>
      </c>
      <c r="F226" s="7" t="inlineStr">
        <is>
          <t>Reclusão</t>
        </is>
      </c>
      <c r="G226" s="7" t="inlineStr">
        <is>
          <t>Pública Incondicionada</t>
        </is>
      </c>
      <c r="H226" s="7" t="inlineStr">
        <is>
          <t>Não</t>
        </is>
      </c>
      <c r="I226" s="7" t="inlineStr">
        <is>
          <t>Doloso</t>
        </is>
      </c>
      <c r="J226" s="7" t="inlineStr">
        <is>
          <t>Sim</t>
        </is>
      </c>
      <c r="K226" s="7" t="inlineStr">
        <is>
          <t>Não</t>
        </is>
      </c>
      <c r="L226" s="7" t="inlineStr">
        <is>
          <t>Não</t>
        </is>
      </c>
      <c r="M226" s="7" t="inlineStr">
        <is>
          <t>Sim</t>
        </is>
      </c>
      <c r="N226" s="7" t="inlineStr">
        <is>
          <t>Sim</t>
        </is>
      </c>
      <c r="O226" s="7" t="inlineStr">
        <is>
          <t>Sim</t>
        </is>
      </c>
      <c r="P226" s="16" t="inlineStr">
        <is>
          <t>1-3 anos reclusão + multa. Vender/expor/ter em depósito matérias-primas destinadas à falsificação de produtos alimentícios ou terapêuticos</t>
        </is>
      </c>
    </row>
    <row r="227">
      <c r="A227" s="7" t="inlineStr">
        <is>
          <t>CP</t>
        </is>
      </c>
      <c r="B227" s="7" t="inlineStr">
        <is>
          <t>Art. 278</t>
        </is>
      </c>
      <c r="C227" s="16" t="inlineStr">
        <is>
          <t>Outras substâncias nocivas à saúde pública</t>
        </is>
      </c>
      <c r="D227" s="7" t="n">
        <v>12</v>
      </c>
      <c r="E227" s="7" t="n">
        <v>36</v>
      </c>
      <c r="F227" s="7" t="inlineStr">
        <is>
          <t>Detenção</t>
        </is>
      </c>
      <c r="G227" s="7" t="inlineStr">
        <is>
          <t>Pública Incondicionada</t>
        </is>
      </c>
      <c r="H227" s="7" t="inlineStr">
        <is>
          <t>Não</t>
        </is>
      </c>
      <c r="I227" s="7" t="inlineStr">
        <is>
          <t>Doloso</t>
        </is>
      </c>
      <c r="J227" s="7" t="inlineStr">
        <is>
          <t>Sim</t>
        </is>
      </c>
      <c r="K227" s="7" t="inlineStr">
        <is>
          <t>Não</t>
        </is>
      </c>
      <c r="L227" s="7" t="inlineStr">
        <is>
          <t>Não</t>
        </is>
      </c>
      <c r="M227" s="7" t="inlineStr">
        <is>
          <t>Sim</t>
        </is>
      </c>
      <c r="N227" s="7" t="inlineStr">
        <is>
          <t>Sim</t>
        </is>
      </c>
      <c r="O227" s="7" t="inlineStr">
        <is>
          <t>Sim</t>
        </is>
      </c>
      <c r="P227" s="16" t="inlineStr">
        <is>
          <t>1-3 anos detenção + multa. Fabricar/vender/expor/ter em depósito para vender ou entregar a consumo substância nociva à saúde. §único: culposo: 2m-6m detenção</t>
        </is>
      </c>
    </row>
    <row r="228">
      <c r="A228" s="7" t="inlineStr">
        <is>
          <t>CP</t>
        </is>
      </c>
      <c r="B228" s="7" t="inlineStr">
        <is>
          <t>Art. 280</t>
        </is>
      </c>
      <c r="C228" s="16" t="inlineStr">
        <is>
          <t>Medicamento em desacordo com receita médica</t>
        </is>
      </c>
      <c r="D228" s="7" t="n">
        <v>12</v>
      </c>
      <c r="E228" s="7" t="n">
        <v>36</v>
      </c>
      <c r="F228" s="7" t="inlineStr">
        <is>
          <t>Detenção</t>
        </is>
      </c>
      <c r="G228" s="7" t="inlineStr">
        <is>
          <t>Pública Incondicionada</t>
        </is>
      </c>
      <c r="H228" s="7" t="inlineStr">
        <is>
          <t>Não</t>
        </is>
      </c>
      <c r="I228" s="7" t="inlineStr">
        <is>
          <t>Doloso</t>
        </is>
      </c>
      <c r="J228" s="7" t="inlineStr">
        <is>
          <t>Sim</t>
        </is>
      </c>
      <c r="K228" s="7" t="inlineStr">
        <is>
          <t>Não</t>
        </is>
      </c>
      <c r="L228" s="7" t="inlineStr">
        <is>
          <t>Não</t>
        </is>
      </c>
      <c r="M228" s="7" t="inlineStr">
        <is>
          <t>Sim</t>
        </is>
      </c>
      <c r="N228" s="7" t="inlineStr">
        <is>
          <t>Sim</t>
        </is>
      </c>
      <c r="O228" s="7" t="inlineStr">
        <is>
          <t>Sim</t>
        </is>
      </c>
      <c r="P228" s="16" t="inlineStr">
        <is>
          <t>1-3 anos detenção + multa. Fornecer substância medicinal em desacordo com receita médica</t>
        </is>
      </c>
    </row>
    <row r="229">
      <c r="A229" s="7" t="inlineStr">
        <is>
          <t>CP</t>
        </is>
      </c>
      <c r="B229" s="7" t="inlineStr">
        <is>
          <t>Art. 282</t>
        </is>
      </c>
      <c r="C229" s="16" t="inlineStr">
        <is>
          <t>Exercício ilegal da medicina, arte dentária ou farmacêutica</t>
        </is>
      </c>
      <c r="D229" s="7" t="n">
        <v>6</v>
      </c>
      <c r="E229" s="7" t="n">
        <v>24</v>
      </c>
      <c r="F229" s="7" t="inlineStr">
        <is>
          <t>Detenção</t>
        </is>
      </c>
      <c r="G229" s="7" t="inlineStr">
        <is>
          <t>Pública Incondicionada</t>
        </is>
      </c>
      <c r="H229" s="7" t="inlineStr">
        <is>
          <t>Não</t>
        </is>
      </c>
      <c r="I229" s="7" t="inlineStr">
        <is>
          <t>Doloso</t>
        </is>
      </c>
      <c r="J229" s="7" t="inlineStr">
        <is>
          <t>Sim</t>
        </is>
      </c>
      <c r="K229" s="7" t="inlineStr">
        <is>
          <t>Não</t>
        </is>
      </c>
      <c r="L229" s="7" t="inlineStr">
        <is>
          <t>Não</t>
        </is>
      </c>
      <c r="M229" s="7" t="inlineStr">
        <is>
          <t>Sim</t>
        </is>
      </c>
      <c r="N229" s="7" t="inlineStr">
        <is>
          <t>Sim</t>
        </is>
      </c>
      <c r="O229" s="7" t="inlineStr">
        <is>
          <t>Sim</t>
        </is>
      </c>
      <c r="P229" s="16" t="inlineStr">
        <is>
          <t>6 meses a 2 anos detenção. Se para lucro: +1/3</t>
        </is>
      </c>
    </row>
    <row r="230">
      <c r="A230" s="7" t="inlineStr">
        <is>
          <t>CP</t>
        </is>
      </c>
      <c r="B230" s="7" t="inlineStr">
        <is>
          <t>Art. 283</t>
        </is>
      </c>
      <c r="C230" s="16" t="inlineStr">
        <is>
          <t>Charlatanismo</t>
        </is>
      </c>
      <c r="D230" s="7" t="n">
        <v>3</v>
      </c>
      <c r="E230" s="7" t="n">
        <v>12</v>
      </c>
      <c r="F230" s="7" t="inlineStr">
        <is>
          <t>Detenção</t>
        </is>
      </c>
      <c r="G230" s="7" t="inlineStr">
        <is>
          <t>Pública Incondicionada</t>
        </is>
      </c>
      <c r="H230" s="7" t="inlineStr">
        <is>
          <t>Não</t>
        </is>
      </c>
      <c r="I230" s="7" t="inlineStr">
        <is>
          <t>Doloso</t>
        </is>
      </c>
      <c r="J230" s="7" t="inlineStr">
        <is>
          <t>Sim</t>
        </is>
      </c>
      <c r="K230" s="7" t="inlineStr">
        <is>
          <t>Não</t>
        </is>
      </c>
      <c r="L230" s="7" t="inlineStr">
        <is>
          <t>Não</t>
        </is>
      </c>
      <c r="M230" s="7" t="inlineStr">
        <is>
          <t>Sim</t>
        </is>
      </c>
      <c r="N230" s="7" t="inlineStr">
        <is>
          <t>Sim</t>
        </is>
      </c>
      <c r="O230" s="7" t="inlineStr">
        <is>
          <t>Sim</t>
        </is>
      </c>
      <c r="P230" s="16" t="inlineStr">
        <is>
          <t>3 meses a 1 ano detenção + multa. Inculcar ou anunciar cura por meio secreto ou infalível</t>
        </is>
      </c>
    </row>
    <row r="231">
      <c r="A231" s="7" t="inlineStr">
        <is>
          <t>CP</t>
        </is>
      </c>
      <c r="B231" s="7" t="inlineStr">
        <is>
          <t>Art. 284</t>
        </is>
      </c>
      <c r="C231" s="16" t="inlineStr">
        <is>
          <t>Curandeirismo</t>
        </is>
      </c>
      <c r="D231" s="7" t="n">
        <v>6</v>
      </c>
      <c r="E231" s="7" t="n">
        <v>24</v>
      </c>
      <c r="F231" s="7" t="inlineStr">
        <is>
          <t>Detenção</t>
        </is>
      </c>
      <c r="G231" s="7" t="inlineStr">
        <is>
          <t>Pública Incondicionada</t>
        </is>
      </c>
      <c r="H231" s="7" t="inlineStr">
        <is>
          <t>Não</t>
        </is>
      </c>
      <c r="I231" s="7" t="inlineStr">
        <is>
          <t>Doloso</t>
        </is>
      </c>
      <c r="J231" s="7" t="inlineStr">
        <is>
          <t>Sim</t>
        </is>
      </c>
      <c r="K231" s="7" t="inlineStr">
        <is>
          <t>Não</t>
        </is>
      </c>
      <c r="L231" s="7" t="inlineStr">
        <is>
          <t>Não</t>
        </is>
      </c>
      <c r="M231" s="7" t="inlineStr">
        <is>
          <t>Sim</t>
        </is>
      </c>
      <c r="N231" s="7" t="inlineStr">
        <is>
          <t>Sim</t>
        </is>
      </c>
      <c r="O231" s="7" t="inlineStr">
        <is>
          <t>Sim</t>
        </is>
      </c>
      <c r="P231" s="16" t="inlineStr">
        <is>
          <t>6 meses a 2 anos detenção. I - prescrever/ministrar/aplicar habitual ou profissionalmente substância; II - usar gestos/palavras/qualquer outro meio; III - fazer diagnósticos. +1/3 se mediante remuneração</t>
        </is>
      </c>
    </row>
    <row r="232">
      <c r="A232" s="7" t="inlineStr">
        <is>
          <t>CP</t>
        </is>
      </c>
      <c r="B232" s="7" t="inlineStr">
        <is>
          <t>Art. 286</t>
        </is>
      </c>
      <c r="C232" s="16" t="inlineStr">
        <is>
          <t>Incitação ao crime</t>
        </is>
      </c>
      <c r="D232" s="7" t="n">
        <v>3</v>
      </c>
      <c r="E232" s="7" t="n">
        <v>6</v>
      </c>
      <c r="F232" s="7" t="inlineStr">
        <is>
          <t>Detenção</t>
        </is>
      </c>
      <c r="G232" s="7" t="inlineStr">
        <is>
          <t>Pública Incondicionada</t>
        </is>
      </c>
      <c r="H232" s="7" t="inlineStr">
        <is>
          <t>Não</t>
        </is>
      </c>
      <c r="I232" s="7" t="inlineStr">
        <is>
          <t>Doloso</t>
        </is>
      </c>
      <c r="J232" s="7" t="inlineStr">
        <is>
          <t>Sim</t>
        </is>
      </c>
      <c r="K232" s="7" t="inlineStr">
        <is>
          <t>Não</t>
        </is>
      </c>
      <c r="L232" s="7" t="inlineStr">
        <is>
          <t>Não</t>
        </is>
      </c>
      <c r="M232" s="7" t="inlineStr">
        <is>
          <t>Sim</t>
        </is>
      </c>
      <c r="N232" s="7" t="inlineStr">
        <is>
          <t>Sim</t>
        </is>
      </c>
      <c r="O232" s="7" t="inlineStr">
        <is>
          <t>Sim</t>
        </is>
      </c>
      <c r="P232" s="16" t="inlineStr">
        <is>
          <t>3-6 meses detenção ou multa. §único: +1/3 se por meio de rede social ou transmissão em tempo real (Lei 14.197/2021)</t>
        </is>
      </c>
    </row>
    <row r="233">
      <c r="A233" s="7" t="inlineStr">
        <is>
          <t>CP</t>
        </is>
      </c>
      <c r="B233" s="7" t="inlineStr">
        <is>
          <t>Art. 287</t>
        </is>
      </c>
      <c r="C233" s="16" t="inlineStr">
        <is>
          <t>Apologia de crime ou criminoso</t>
        </is>
      </c>
      <c r="D233" s="7" t="n">
        <v>3</v>
      </c>
      <c r="E233" s="7" t="n">
        <v>6</v>
      </c>
      <c r="F233" s="7" t="inlineStr">
        <is>
          <t>Detenção</t>
        </is>
      </c>
      <c r="G233" s="7" t="inlineStr">
        <is>
          <t>Pública Incondicionada</t>
        </is>
      </c>
      <c r="H233" s="7" t="inlineStr">
        <is>
          <t>Não</t>
        </is>
      </c>
      <c r="I233" s="7" t="inlineStr">
        <is>
          <t>Doloso</t>
        </is>
      </c>
      <c r="J233" s="7" t="inlineStr">
        <is>
          <t>Sim</t>
        </is>
      </c>
      <c r="K233" s="7" t="inlineStr">
        <is>
          <t>Não</t>
        </is>
      </c>
      <c r="L233" s="7" t="inlineStr">
        <is>
          <t>Não</t>
        </is>
      </c>
      <c r="M233" s="7" t="inlineStr">
        <is>
          <t>Sim</t>
        </is>
      </c>
      <c r="N233" s="7" t="inlineStr">
        <is>
          <t>Sim</t>
        </is>
      </c>
      <c r="O233" s="7" t="inlineStr">
        <is>
          <t>Sim</t>
        </is>
      </c>
      <c r="P233" s="16" t="inlineStr">
        <is>
          <t>3-6 meses detenção ou multa</t>
        </is>
      </c>
    </row>
    <row r="234">
      <c r="A234" s="7" t="inlineStr">
        <is>
          <t>CP</t>
        </is>
      </c>
      <c r="B234" s="7" t="inlineStr">
        <is>
          <t>Art. 288</t>
        </is>
      </c>
      <c r="C234" s="16" t="inlineStr">
        <is>
          <t>Associação criminosa</t>
        </is>
      </c>
      <c r="D234" s="7" t="n">
        <v>12</v>
      </c>
      <c r="E234" s="7" t="n">
        <v>36</v>
      </c>
      <c r="F234" s="7" t="inlineStr">
        <is>
          <t>Reclusão</t>
        </is>
      </c>
      <c r="G234" s="7" t="inlineStr">
        <is>
          <t>Pública Incondicionada</t>
        </is>
      </c>
      <c r="H234" s="7" t="inlineStr">
        <is>
          <t>Não</t>
        </is>
      </c>
      <c r="I234" s="7" t="inlineStr">
        <is>
          <t>Doloso</t>
        </is>
      </c>
      <c r="J234" s="7" t="inlineStr">
        <is>
          <t>Não</t>
        </is>
      </c>
      <c r="K234" s="7" t="inlineStr">
        <is>
          <t>Não</t>
        </is>
      </c>
      <c r="L234" s="7" t="inlineStr">
        <is>
          <t>Não</t>
        </is>
      </c>
      <c r="M234" s="7" t="inlineStr">
        <is>
          <t>Sim</t>
        </is>
      </c>
      <c r="N234" s="7" t="inlineStr">
        <is>
          <t>Sim</t>
        </is>
      </c>
      <c r="O234" s="7" t="inlineStr">
        <is>
          <t>Sim</t>
        </is>
      </c>
      <c r="P234" s="16" t="inlineStr">
        <is>
          <t>1-3 anos reclusão. Associarem-se 3+ pessoas para fim específico de cometer crimes. §único: +1/2 se armada ou com participação de criança/adolescente</t>
        </is>
      </c>
    </row>
    <row r="235">
      <c r="A235" s="26" t="inlineStr">
        <is>
          <t>CP</t>
        </is>
      </c>
      <c r="B235" s="26" t="inlineStr">
        <is>
          <t>Art. 288-A</t>
        </is>
      </c>
      <c r="C235" s="27" t="inlineStr">
        <is>
          <t>Constituição de milícia privada</t>
        </is>
      </c>
      <c r="D235" s="26" t="n">
        <v>48</v>
      </c>
      <c r="E235" s="26" t="n">
        <v>96</v>
      </c>
      <c r="F235" s="26" t="inlineStr">
        <is>
          <t>Reclusão</t>
        </is>
      </c>
      <c r="G235" s="26" t="inlineStr">
        <is>
          <t>Pública Incondicionada</t>
        </is>
      </c>
      <c r="H235" s="26" t="inlineStr">
        <is>
          <t>Não</t>
        </is>
      </c>
      <c r="I235" s="26" t="inlineStr">
        <is>
          <t>Doloso</t>
        </is>
      </c>
      <c r="J235" s="26" t="inlineStr">
        <is>
          <t>Não</t>
        </is>
      </c>
      <c r="K235" s="26" t="inlineStr">
        <is>
          <t>Sim</t>
        </is>
      </c>
      <c r="L235" s="26" t="inlineStr">
        <is>
          <t>Sim</t>
        </is>
      </c>
      <c r="M235" s="26" t="inlineStr">
        <is>
          <t>Não</t>
        </is>
      </c>
      <c r="N235" s="26" t="inlineStr">
        <is>
          <t>Não</t>
        </is>
      </c>
      <c r="O235" s="26" t="inlineStr">
        <is>
          <t>Verificar</t>
        </is>
      </c>
      <c r="P235" s="27" t="inlineStr">
        <is>
          <t>4-8 anos reclusão. Constituir, organizar, integrar, manter ou custear organização paramilitar, milícia particular, grupo ou esquadrão com a finalidade de praticar qualquer dos crimes previstos neste Código</t>
        </is>
      </c>
    </row>
    <row r="236">
      <c r="A236" s="7" t="inlineStr">
        <is>
          <t>CP</t>
        </is>
      </c>
      <c r="B236" s="7" t="inlineStr">
        <is>
          <t>Art. 289</t>
        </is>
      </c>
      <c r="C236" s="16" t="inlineStr">
        <is>
          <t>Moeda falsa</t>
        </is>
      </c>
      <c r="D236" s="7" t="n">
        <v>36</v>
      </c>
      <c r="E236" s="7" t="n">
        <v>144</v>
      </c>
      <c r="F236" s="7" t="inlineStr">
        <is>
          <t>Reclusão</t>
        </is>
      </c>
      <c r="G236" s="7" t="inlineStr">
        <is>
          <t>Pública Incondicionada</t>
        </is>
      </c>
      <c r="H236" s="7" t="inlineStr">
        <is>
          <t>Não</t>
        </is>
      </c>
      <c r="I236" s="7" t="inlineStr">
        <is>
          <t>Doloso</t>
        </is>
      </c>
      <c r="J236" s="7" t="inlineStr">
        <is>
          <t>Sim</t>
        </is>
      </c>
      <c r="K236" s="7" t="inlineStr">
        <is>
          <t>Não</t>
        </is>
      </c>
      <c r="L236" s="7" t="inlineStr">
        <is>
          <t>Não</t>
        </is>
      </c>
      <c r="M236" s="7" t="inlineStr">
        <is>
          <t>Sim</t>
        </is>
      </c>
      <c r="N236" s="7" t="inlineStr">
        <is>
          <t>Não</t>
        </is>
      </c>
      <c r="O236" s="7" t="inlineStr">
        <is>
          <t>Verificar</t>
        </is>
      </c>
      <c r="P236" s="16" t="inlineStr">
        <is>
          <t>3-12 anos reclusão + multa. Falsificar, fabricando-a ou alterando-a, moeda metálica ou papel-moeda de curso legal</t>
        </is>
      </c>
    </row>
    <row r="237">
      <c r="A237" s="7" t="inlineStr">
        <is>
          <t>CP</t>
        </is>
      </c>
      <c r="B237" s="7" t="inlineStr">
        <is>
          <t>Art. 289, §1º</t>
        </is>
      </c>
      <c r="C237" s="16" t="inlineStr">
        <is>
          <t>Moeda falsa — circulação (quem introduz ou restitui à circulação)</t>
        </is>
      </c>
      <c r="D237" s="7" t="n">
        <v>36</v>
      </c>
      <c r="E237" s="7" t="n">
        <v>144</v>
      </c>
      <c r="F237" s="7" t="inlineStr">
        <is>
          <t>Reclusão</t>
        </is>
      </c>
      <c r="G237" s="7" t="inlineStr">
        <is>
          <t>Pública Incondicionada</t>
        </is>
      </c>
      <c r="H237" s="7" t="inlineStr">
        <is>
          <t>Não</t>
        </is>
      </c>
      <c r="I237" s="7" t="inlineStr">
        <is>
          <t>Doloso</t>
        </is>
      </c>
      <c r="J237" s="7" t="inlineStr">
        <is>
          <t>Sim</t>
        </is>
      </c>
      <c r="K237" s="7" t="inlineStr">
        <is>
          <t>Não</t>
        </is>
      </c>
      <c r="L237" s="7" t="inlineStr">
        <is>
          <t>Não</t>
        </is>
      </c>
      <c r="M237" s="7" t="inlineStr">
        <is>
          <t>Sim</t>
        </is>
      </c>
      <c r="N237" s="7" t="inlineStr">
        <is>
          <t>Não</t>
        </is>
      </c>
      <c r="O237" s="7" t="inlineStr">
        <is>
          <t>Verificar</t>
        </is>
      </c>
      <c r="P237" s="16" t="inlineStr">
        <is>
          <t>Mesma pena do caput</t>
        </is>
      </c>
    </row>
    <row r="238">
      <c r="A238" s="7" t="inlineStr">
        <is>
          <t>CP</t>
        </is>
      </c>
      <c r="B238" s="7" t="inlineStr">
        <is>
          <t>Art. 289, §2º</t>
        </is>
      </c>
      <c r="C238" s="16" t="inlineStr">
        <is>
          <t>Moeda falsa — circulação de boa-fé recebida (quem recebeu de boa-fé e restitui à circulação)</t>
        </is>
      </c>
      <c r="D238" s="7" t="n">
        <v>6</v>
      </c>
      <c r="E238" s="7" t="n">
        <v>24</v>
      </c>
      <c r="F238" s="7" t="inlineStr">
        <is>
          <t>Detenção</t>
        </is>
      </c>
      <c r="G238" s="7" t="inlineStr">
        <is>
          <t>Pública Incondicionada</t>
        </is>
      </c>
      <c r="H238" s="7" t="inlineStr">
        <is>
          <t>Não</t>
        </is>
      </c>
      <c r="I238" s="7" t="inlineStr">
        <is>
          <t>Doloso</t>
        </is>
      </c>
      <c r="J238" s="7" t="inlineStr">
        <is>
          <t>Sim</t>
        </is>
      </c>
      <c r="K238" s="7" t="inlineStr">
        <is>
          <t>Não</t>
        </is>
      </c>
      <c r="L238" s="7" t="inlineStr">
        <is>
          <t>Não</t>
        </is>
      </c>
      <c r="M238" s="7" t="inlineStr">
        <is>
          <t>Sim</t>
        </is>
      </c>
      <c r="N238" s="7" t="inlineStr">
        <is>
          <t>Sim</t>
        </is>
      </c>
      <c r="O238" s="7" t="inlineStr">
        <is>
          <t>Sim</t>
        </is>
      </c>
      <c r="P238" s="16" t="inlineStr">
        <is>
          <t>6 meses a 2 anos detenção + multa. Quem tendo recebido de boa-fé moeda falsa, depois de conhecer a falsidade, a restitui à circulação</t>
        </is>
      </c>
    </row>
    <row r="239">
      <c r="A239" s="7" t="inlineStr">
        <is>
          <t>CP</t>
        </is>
      </c>
      <c r="B239" s="7" t="inlineStr">
        <is>
          <t>Art. 290</t>
        </is>
      </c>
      <c r="C239" s="16" t="inlineStr">
        <is>
          <t>Crimes assimilados ao de moeda falsa</t>
        </is>
      </c>
      <c r="D239" s="7" t="n">
        <v>24</v>
      </c>
      <c r="E239" s="7" t="n">
        <v>96</v>
      </c>
      <c r="F239" s="7" t="inlineStr">
        <is>
          <t>Reclusão</t>
        </is>
      </c>
      <c r="G239" s="7" t="inlineStr">
        <is>
          <t>Pública Incondicionada</t>
        </is>
      </c>
      <c r="H239" s="7" t="inlineStr">
        <is>
          <t>Não</t>
        </is>
      </c>
      <c r="I239" s="7" t="inlineStr">
        <is>
          <t>Doloso</t>
        </is>
      </c>
      <c r="J239" s="7" t="inlineStr">
        <is>
          <t>Sim</t>
        </is>
      </c>
      <c r="K239" s="7" t="inlineStr">
        <is>
          <t>Não</t>
        </is>
      </c>
      <c r="L239" s="7" t="inlineStr">
        <is>
          <t>Não</t>
        </is>
      </c>
      <c r="M239" s="7" t="inlineStr">
        <is>
          <t>Sim</t>
        </is>
      </c>
      <c r="N239" s="7" t="inlineStr">
        <is>
          <t>Não</t>
        </is>
      </c>
      <c r="O239" s="7" t="inlineStr">
        <is>
          <t>Sim</t>
        </is>
      </c>
      <c r="P239" s="16" t="inlineStr">
        <is>
          <t>2-8 anos reclusão + multa. Formar cédula/moeda/nota com fragmentos de cédulas/moedas/notas verdadeiras; suprimir sinal indicativo de inutilização; restituir à circulação moeda recolhida</t>
        </is>
      </c>
    </row>
    <row r="240">
      <c r="A240" s="7" t="inlineStr">
        <is>
          <t>CP</t>
        </is>
      </c>
      <c r="B240" s="7" t="inlineStr">
        <is>
          <t>Art. 291</t>
        </is>
      </c>
      <c r="C240" s="16" t="inlineStr">
        <is>
          <t>Petrechos para falsificação de moeda</t>
        </is>
      </c>
      <c r="D240" s="7" t="n">
        <v>24</v>
      </c>
      <c r="E240" s="7" t="n">
        <v>72</v>
      </c>
      <c r="F240" s="7" t="inlineStr">
        <is>
          <t>Reclusão</t>
        </is>
      </c>
      <c r="G240" s="7" t="inlineStr">
        <is>
          <t>Pública Incondicionada</t>
        </is>
      </c>
      <c r="H240" s="7" t="inlineStr">
        <is>
          <t>Não</t>
        </is>
      </c>
      <c r="I240" s="7" t="inlineStr">
        <is>
          <t>Doloso</t>
        </is>
      </c>
      <c r="J240" s="7" t="inlineStr">
        <is>
          <t>Sim</t>
        </is>
      </c>
      <c r="K240" s="7" t="inlineStr">
        <is>
          <t>Não</t>
        </is>
      </c>
      <c r="L240" s="7" t="inlineStr">
        <is>
          <t>Não</t>
        </is>
      </c>
      <c r="M240" s="7" t="inlineStr">
        <is>
          <t>Sim</t>
        </is>
      </c>
      <c r="N240" s="7" t="inlineStr">
        <is>
          <t>Não</t>
        </is>
      </c>
      <c r="O240" s="7" t="inlineStr">
        <is>
          <t>Sim</t>
        </is>
      </c>
      <c r="P240" s="16" t="inlineStr">
        <is>
          <t>2-6 anos reclusão + multa</t>
        </is>
      </c>
    </row>
    <row r="241">
      <c r="A241" s="7" t="inlineStr">
        <is>
          <t>CP</t>
        </is>
      </c>
      <c r="B241" s="7" t="inlineStr">
        <is>
          <t>Art. 292</t>
        </is>
      </c>
      <c r="C241" s="16" t="inlineStr">
        <is>
          <t>Emissão de título ao portador sem permissão legal</t>
        </is>
      </c>
      <c r="D241" s="7" t="n">
        <v>12</v>
      </c>
      <c r="E241" s="7" t="n">
        <v>24</v>
      </c>
      <c r="F241" s="7" t="inlineStr">
        <is>
          <t>Detenção</t>
        </is>
      </c>
      <c r="G241" s="7" t="inlineStr">
        <is>
          <t>Pública Incondicionada</t>
        </is>
      </c>
      <c r="H241" s="7" t="inlineStr">
        <is>
          <t>Não</t>
        </is>
      </c>
      <c r="I241" s="7" t="inlineStr">
        <is>
          <t>Doloso</t>
        </is>
      </c>
      <c r="J241" s="7" t="inlineStr">
        <is>
          <t>Sim</t>
        </is>
      </c>
      <c r="K241" s="7" t="inlineStr">
        <is>
          <t>Não</t>
        </is>
      </c>
      <c r="L241" s="7" t="inlineStr">
        <is>
          <t>Não</t>
        </is>
      </c>
      <c r="M241" s="7" t="inlineStr">
        <is>
          <t>Sim</t>
        </is>
      </c>
      <c r="N241" s="7" t="inlineStr">
        <is>
          <t>Sim</t>
        </is>
      </c>
      <c r="O241" s="7" t="inlineStr">
        <is>
          <t>Sim</t>
        </is>
      </c>
      <c r="P241" s="16" t="inlineStr">
        <is>
          <t>1-2 anos detenção + multa</t>
        </is>
      </c>
    </row>
    <row r="242">
      <c r="A242" s="7" t="inlineStr">
        <is>
          <t>CP</t>
        </is>
      </c>
      <c r="B242" s="7" t="inlineStr">
        <is>
          <t>Art. 293</t>
        </is>
      </c>
      <c r="C242" s="16" t="inlineStr">
        <is>
          <t>Falsificação de papéis públicos</t>
        </is>
      </c>
      <c r="D242" s="7" t="n">
        <v>24</v>
      </c>
      <c r="E242" s="7" t="n">
        <v>96</v>
      </c>
      <c r="F242" s="7" t="inlineStr">
        <is>
          <t>Reclusão</t>
        </is>
      </c>
      <c r="G242" s="7" t="inlineStr">
        <is>
          <t>Pública Incondicionada</t>
        </is>
      </c>
      <c r="H242" s="7" t="inlineStr">
        <is>
          <t>Não</t>
        </is>
      </c>
      <c r="I242" s="7" t="inlineStr">
        <is>
          <t>Doloso</t>
        </is>
      </c>
      <c r="J242" s="7" t="inlineStr">
        <is>
          <t>Sim</t>
        </is>
      </c>
      <c r="K242" s="7" t="inlineStr">
        <is>
          <t>Não</t>
        </is>
      </c>
      <c r="L242" s="7" t="inlineStr">
        <is>
          <t>Não</t>
        </is>
      </c>
      <c r="M242" s="7" t="inlineStr">
        <is>
          <t>Sim</t>
        </is>
      </c>
      <c r="N242" s="7" t="inlineStr">
        <is>
          <t>Não</t>
        </is>
      </c>
      <c r="O242" s="7" t="inlineStr">
        <is>
          <t>Sim</t>
        </is>
      </c>
      <c r="P242" s="16" t="inlineStr">
        <is>
          <t>2-8 anos reclusão + multa. Selo destinado a controle tributário, papel selado ou qualquer papel de emissão legal destinado à arrecadação de tributo</t>
        </is>
      </c>
    </row>
    <row r="243">
      <c r="A243" s="7" t="inlineStr">
        <is>
          <t>CP</t>
        </is>
      </c>
      <c r="B243" s="7" t="inlineStr">
        <is>
          <t>Art. 294</t>
        </is>
      </c>
      <c r="C243" s="16" t="inlineStr">
        <is>
          <t>Petrechos de falsificação</t>
        </is>
      </c>
      <c r="D243" s="7" t="n">
        <v>12</v>
      </c>
      <c r="E243" s="7" t="n">
        <v>36</v>
      </c>
      <c r="F243" s="7" t="inlineStr">
        <is>
          <t>Detenção</t>
        </is>
      </c>
      <c r="G243" s="7" t="inlineStr">
        <is>
          <t>Pública Incondicionada</t>
        </is>
      </c>
      <c r="H243" s="7" t="inlineStr">
        <is>
          <t>Não</t>
        </is>
      </c>
      <c r="I243" s="7" t="inlineStr">
        <is>
          <t>Doloso</t>
        </is>
      </c>
      <c r="J243" s="7" t="inlineStr">
        <is>
          <t>Sim</t>
        </is>
      </c>
      <c r="K243" s="7" t="inlineStr">
        <is>
          <t>Não</t>
        </is>
      </c>
      <c r="L243" s="7" t="inlineStr">
        <is>
          <t>Não</t>
        </is>
      </c>
      <c r="M243" s="7" t="inlineStr">
        <is>
          <t>Sim</t>
        </is>
      </c>
      <c r="N243" s="7" t="inlineStr">
        <is>
          <t>Sim</t>
        </is>
      </c>
      <c r="O243" s="7" t="inlineStr">
        <is>
          <t>Sim</t>
        </is>
      </c>
      <c r="P243" s="16" t="inlineStr">
        <is>
          <t>1-3 anos detenção + multa</t>
        </is>
      </c>
    </row>
    <row r="244">
      <c r="A244" s="7" t="inlineStr">
        <is>
          <t>CP</t>
        </is>
      </c>
      <c r="B244" s="7" t="inlineStr">
        <is>
          <t>Art. 296</t>
        </is>
      </c>
      <c r="C244" s="16" t="inlineStr">
        <is>
          <t>Falsificação do selo ou sinal público</t>
        </is>
      </c>
      <c r="D244" s="7" t="n">
        <v>24</v>
      </c>
      <c r="E244" s="7" t="n">
        <v>72</v>
      </c>
      <c r="F244" s="7" t="inlineStr">
        <is>
          <t>Reclusão</t>
        </is>
      </c>
      <c r="G244" s="7" t="inlineStr">
        <is>
          <t>Pública Incondicionada</t>
        </is>
      </c>
      <c r="H244" s="7" t="inlineStr">
        <is>
          <t>Não</t>
        </is>
      </c>
      <c r="I244" s="7" t="inlineStr">
        <is>
          <t>Doloso</t>
        </is>
      </c>
      <c r="J244" s="7" t="inlineStr">
        <is>
          <t>Sim</t>
        </is>
      </c>
      <c r="K244" s="7" t="inlineStr">
        <is>
          <t>Não</t>
        </is>
      </c>
      <c r="L244" s="7" t="inlineStr">
        <is>
          <t>Não</t>
        </is>
      </c>
      <c r="M244" s="7" t="inlineStr">
        <is>
          <t>Sim</t>
        </is>
      </c>
      <c r="N244" s="7" t="inlineStr">
        <is>
          <t>Não</t>
        </is>
      </c>
      <c r="O244" s="7" t="inlineStr">
        <is>
          <t>Sim</t>
        </is>
      </c>
      <c r="P244" s="16" t="inlineStr">
        <is>
          <t>2-6 anos reclusão + multa</t>
        </is>
      </c>
    </row>
    <row r="245">
      <c r="A245" s="7" t="inlineStr">
        <is>
          <t>CP</t>
        </is>
      </c>
      <c r="B245" s="7" t="inlineStr">
        <is>
          <t>Art. 297</t>
        </is>
      </c>
      <c r="C245" s="16" t="inlineStr">
        <is>
          <t>Falsificação de documento público</t>
        </is>
      </c>
      <c r="D245" s="7" t="n">
        <v>24</v>
      </c>
      <c r="E245" s="7" t="n">
        <v>72</v>
      </c>
      <c r="F245" s="7" t="inlineStr">
        <is>
          <t>Reclusão</t>
        </is>
      </c>
      <c r="G245" s="7" t="inlineStr">
        <is>
          <t>Pública Incondicionada</t>
        </is>
      </c>
      <c r="H245" s="7" t="inlineStr">
        <is>
          <t>Não</t>
        </is>
      </c>
      <c r="I245" s="7" t="inlineStr">
        <is>
          <t>Doloso</t>
        </is>
      </c>
      <c r="J245" s="7" t="inlineStr">
        <is>
          <t>Sim</t>
        </is>
      </c>
      <c r="K245" s="7" t="inlineStr">
        <is>
          <t>Não</t>
        </is>
      </c>
      <c r="L245" s="7" t="inlineStr">
        <is>
          <t>Não</t>
        </is>
      </c>
      <c r="M245" s="7" t="inlineStr">
        <is>
          <t>Sim</t>
        </is>
      </c>
      <c r="N245" s="7" t="inlineStr">
        <is>
          <t>Não</t>
        </is>
      </c>
      <c r="O245" s="7" t="inlineStr">
        <is>
          <t>Sim</t>
        </is>
      </c>
      <c r="P245" s="16" t="inlineStr">
        <is>
          <t>2-6 anos reclusão + multa. §§3º-4º: equipara-se ao público para fins penais: CTPS, registro de funcionário, livro de registro de ações nominativas, caderneta de depósito em caixa econômica</t>
        </is>
      </c>
    </row>
    <row r="246">
      <c r="A246" s="7" t="inlineStr">
        <is>
          <t>CP</t>
        </is>
      </c>
      <c r="B246" s="7" t="inlineStr">
        <is>
          <t>Art. 298</t>
        </is>
      </c>
      <c r="C246" s="16" t="inlineStr">
        <is>
          <t>Falsificação de documento particular</t>
        </is>
      </c>
      <c r="D246" s="7" t="n">
        <v>12</v>
      </c>
      <c r="E246" s="7" t="n">
        <v>60</v>
      </c>
      <c r="F246" s="7" t="inlineStr">
        <is>
          <t>Reclusão</t>
        </is>
      </c>
      <c r="G246" s="7" t="inlineStr">
        <is>
          <t>Pública Incondicionada</t>
        </is>
      </c>
      <c r="H246" s="7" t="inlineStr">
        <is>
          <t>Não</t>
        </is>
      </c>
      <c r="I246" s="7" t="inlineStr">
        <is>
          <t>Doloso</t>
        </is>
      </c>
      <c r="J246" s="7" t="inlineStr">
        <is>
          <t>Sim</t>
        </is>
      </c>
      <c r="K246" s="7" t="inlineStr">
        <is>
          <t>Não</t>
        </is>
      </c>
      <c r="L246" s="7" t="inlineStr">
        <is>
          <t>Não</t>
        </is>
      </c>
      <c r="M246" s="7" t="inlineStr">
        <is>
          <t>Sim</t>
        </is>
      </c>
      <c r="N246" s="7" t="inlineStr">
        <is>
          <t>Sim</t>
        </is>
      </c>
      <c r="O246" s="7" t="inlineStr">
        <is>
          <t>Sim</t>
        </is>
      </c>
      <c r="P246" s="16" t="inlineStr">
        <is>
          <t>1-5 anos reclusão + multa. §único: equipara-se a documento particular o cartão de crédito ou débito (Lei 12.737/2012)</t>
        </is>
      </c>
    </row>
    <row r="247">
      <c r="A247" s="7" t="inlineStr">
        <is>
          <t>CP</t>
        </is>
      </c>
      <c r="B247" s="7" t="inlineStr">
        <is>
          <t>Art. 299</t>
        </is>
      </c>
      <c r="C247" s="16" t="inlineStr">
        <is>
          <t>Falsidade ideológica</t>
        </is>
      </c>
      <c r="D247" s="7" t="n">
        <v>12</v>
      </c>
      <c r="E247" s="7" t="n">
        <v>60</v>
      </c>
      <c r="F247" s="7" t="inlineStr">
        <is>
          <t>Reclusão</t>
        </is>
      </c>
      <c r="G247" s="7" t="inlineStr">
        <is>
          <t>Pública Incondicionada</t>
        </is>
      </c>
      <c r="H247" s="7" t="inlineStr">
        <is>
          <t>Não</t>
        </is>
      </c>
      <c r="I247" s="7" t="inlineStr">
        <is>
          <t>Doloso</t>
        </is>
      </c>
      <c r="J247" s="7" t="inlineStr">
        <is>
          <t>Sim</t>
        </is>
      </c>
      <c r="K247" s="7" t="inlineStr">
        <is>
          <t>Não</t>
        </is>
      </c>
      <c r="L247" s="7" t="inlineStr">
        <is>
          <t>Não</t>
        </is>
      </c>
      <c r="M247" s="7" t="inlineStr">
        <is>
          <t>Sim</t>
        </is>
      </c>
      <c r="N247" s="7" t="inlineStr">
        <is>
          <t>Sim</t>
        </is>
      </c>
      <c r="O247" s="7" t="inlineStr">
        <is>
          <t>Sim</t>
        </is>
      </c>
      <c r="P247" s="16" t="inlineStr">
        <is>
          <t>1-5 anos reclusão + multa se documento público. 1-3 anos + multa se documento particular</t>
        </is>
      </c>
    </row>
    <row r="248">
      <c r="A248" s="7" t="inlineStr">
        <is>
          <t>CP</t>
        </is>
      </c>
      <c r="B248" s="7" t="inlineStr">
        <is>
          <t>Art. 300</t>
        </is>
      </c>
      <c r="C248" s="16" t="inlineStr">
        <is>
          <t>Falso reconhecimento de firma ou letra</t>
        </is>
      </c>
      <c r="D248" s="7" t="n">
        <v>12</v>
      </c>
      <c r="E248" s="7" t="n">
        <v>36</v>
      </c>
      <c r="F248" s="7" t="inlineStr">
        <is>
          <t>Reclusão</t>
        </is>
      </c>
      <c r="G248" s="7" t="inlineStr">
        <is>
          <t>Pública Incondicionada</t>
        </is>
      </c>
      <c r="H248" s="7" t="inlineStr">
        <is>
          <t>Não</t>
        </is>
      </c>
      <c r="I248" s="7" t="inlineStr">
        <is>
          <t>Doloso</t>
        </is>
      </c>
      <c r="J248" s="7" t="inlineStr">
        <is>
          <t>Sim</t>
        </is>
      </c>
      <c r="K248" s="7" t="inlineStr">
        <is>
          <t>Não</t>
        </is>
      </c>
      <c r="L248" s="7" t="inlineStr">
        <is>
          <t>Não</t>
        </is>
      </c>
      <c r="M248" s="7" t="inlineStr">
        <is>
          <t>Sim</t>
        </is>
      </c>
      <c r="N248" s="7" t="inlineStr">
        <is>
          <t>Sim</t>
        </is>
      </c>
      <c r="O248" s="7" t="inlineStr">
        <is>
          <t>Sim</t>
        </is>
      </c>
      <c r="P248" s="16" t="inlineStr">
        <is>
          <t>1-3 anos reclusão + multa</t>
        </is>
      </c>
    </row>
    <row r="249">
      <c r="A249" s="7" t="inlineStr">
        <is>
          <t>CP</t>
        </is>
      </c>
      <c r="B249" s="7" t="inlineStr">
        <is>
          <t>Art. 301</t>
        </is>
      </c>
      <c r="C249" s="16" t="inlineStr">
        <is>
          <t>Certidão ou atestado ideologicamente falso</t>
        </is>
      </c>
      <c r="D249" s="7" t="n">
        <v>12</v>
      </c>
      <c r="E249" s="7" t="n">
        <v>36</v>
      </c>
      <c r="F249" s="7" t="inlineStr">
        <is>
          <t>Detenção</t>
        </is>
      </c>
      <c r="G249" s="7" t="inlineStr">
        <is>
          <t>Pública Incondicionada</t>
        </is>
      </c>
      <c r="H249" s="7" t="inlineStr">
        <is>
          <t>Não</t>
        </is>
      </c>
      <c r="I249" s="7" t="inlineStr">
        <is>
          <t>Doloso</t>
        </is>
      </c>
      <c r="J249" s="7" t="inlineStr">
        <is>
          <t>Sim</t>
        </is>
      </c>
      <c r="K249" s="7" t="inlineStr">
        <is>
          <t>Não</t>
        </is>
      </c>
      <c r="L249" s="7" t="inlineStr">
        <is>
          <t>Não</t>
        </is>
      </c>
      <c r="M249" s="7" t="inlineStr">
        <is>
          <t>Sim</t>
        </is>
      </c>
      <c r="N249" s="7" t="inlineStr">
        <is>
          <t>Sim</t>
        </is>
      </c>
      <c r="O249" s="7" t="inlineStr">
        <is>
          <t>Sim</t>
        </is>
      </c>
      <c r="P249" s="16" t="inlineStr">
        <is>
          <t>1-3 anos detenção. §1º: falsidade material de atestado/certidão: 2m-1a detenção</t>
        </is>
      </c>
    </row>
    <row r="250">
      <c r="A250" s="7" t="inlineStr">
        <is>
          <t>CP</t>
        </is>
      </c>
      <c r="B250" s="7" t="inlineStr">
        <is>
          <t>Art. 302</t>
        </is>
      </c>
      <c r="C250" s="16" t="inlineStr">
        <is>
          <t>Falsidade de atestado médico</t>
        </is>
      </c>
      <c r="D250" s="7" t="n">
        <v>1</v>
      </c>
      <c r="E250" s="7" t="n">
        <v>12</v>
      </c>
      <c r="F250" s="7" t="inlineStr">
        <is>
          <t>Detenção</t>
        </is>
      </c>
      <c r="G250" s="7" t="inlineStr">
        <is>
          <t>Pública Incondicionada</t>
        </is>
      </c>
      <c r="H250" s="7" t="inlineStr">
        <is>
          <t>Não</t>
        </is>
      </c>
      <c r="I250" s="7" t="inlineStr">
        <is>
          <t>Doloso</t>
        </is>
      </c>
      <c r="J250" s="7" t="inlineStr">
        <is>
          <t>Sim</t>
        </is>
      </c>
      <c r="K250" s="7" t="inlineStr">
        <is>
          <t>Não</t>
        </is>
      </c>
      <c r="L250" s="7" t="inlineStr">
        <is>
          <t>Não</t>
        </is>
      </c>
      <c r="M250" s="7" t="inlineStr">
        <is>
          <t>Sim</t>
        </is>
      </c>
      <c r="N250" s="7" t="inlineStr">
        <is>
          <t>Sim</t>
        </is>
      </c>
      <c r="O250" s="7" t="inlineStr">
        <is>
          <t>Sim</t>
        </is>
      </c>
      <c r="P250" s="16" t="inlineStr">
        <is>
          <t>1-12 meses detenção. Crime próprio (médico). Se para lucro: +1/3</t>
        </is>
      </c>
    </row>
    <row r="251">
      <c r="A251" s="7" t="inlineStr">
        <is>
          <t>CP</t>
        </is>
      </c>
      <c r="B251" s="7" t="inlineStr">
        <is>
          <t>Art. 304</t>
        </is>
      </c>
      <c r="C251" s="16" t="inlineStr">
        <is>
          <t>Uso de documento falso</t>
        </is>
      </c>
      <c r="D251" s="7" t="n">
        <v>12</v>
      </c>
      <c r="E251" s="7" t="n">
        <v>72</v>
      </c>
      <c r="F251" s="7" t="inlineStr">
        <is>
          <t>Reclusão</t>
        </is>
      </c>
      <c r="G251" s="7" t="inlineStr">
        <is>
          <t>Pública Incondicionada</t>
        </is>
      </c>
      <c r="H251" s="7" t="inlineStr">
        <is>
          <t>Não</t>
        </is>
      </c>
      <c r="I251" s="7" t="inlineStr">
        <is>
          <t>Doloso</t>
        </is>
      </c>
      <c r="J251" s="7" t="inlineStr">
        <is>
          <t>Sim</t>
        </is>
      </c>
      <c r="K251" s="7" t="inlineStr">
        <is>
          <t>Não</t>
        </is>
      </c>
      <c r="L251" s="7" t="inlineStr">
        <is>
          <t>Não</t>
        </is>
      </c>
      <c r="M251" s="7" t="inlineStr">
        <is>
          <t>Sim</t>
        </is>
      </c>
      <c r="N251" s="7" t="inlineStr">
        <is>
          <t>Sim</t>
        </is>
      </c>
      <c r="O251" s="7" t="inlineStr">
        <is>
          <t>Sim</t>
        </is>
      </c>
      <c r="P251" s="16" t="inlineStr">
        <is>
          <t>Pena cominada à falsificação. Quem faz uso de documento falso ou alterado como se fosse verdadeiro</t>
        </is>
      </c>
    </row>
    <row r="252">
      <c r="A252" s="7" t="inlineStr">
        <is>
          <t>CP</t>
        </is>
      </c>
      <c r="B252" s="7" t="inlineStr">
        <is>
          <t>Art. 305</t>
        </is>
      </c>
      <c r="C252" s="16" t="inlineStr">
        <is>
          <t>Supressão de documento</t>
        </is>
      </c>
      <c r="D252" s="7" t="n">
        <v>24</v>
      </c>
      <c r="E252" s="7" t="n">
        <v>72</v>
      </c>
      <c r="F252" s="7" t="inlineStr">
        <is>
          <t>Reclusão</t>
        </is>
      </c>
      <c r="G252" s="7" t="inlineStr">
        <is>
          <t>Pública Incondicionada</t>
        </is>
      </c>
      <c r="H252" s="7" t="inlineStr">
        <is>
          <t>Não</t>
        </is>
      </c>
      <c r="I252" s="7" t="inlineStr">
        <is>
          <t>Doloso</t>
        </is>
      </c>
      <c r="J252" s="7" t="inlineStr">
        <is>
          <t>Sim</t>
        </is>
      </c>
      <c r="K252" s="7" t="inlineStr">
        <is>
          <t>Não</t>
        </is>
      </c>
      <c r="L252" s="7" t="inlineStr">
        <is>
          <t>Não</t>
        </is>
      </c>
      <c r="M252" s="7" t="inlineStr">
        <is>
          <t>Sim</t>
        </is>
      </c>
      <c r="N252" s="7" t="inlineStr">
        <is>
          <t>Não</t>
        </is>
      </c>
      <c r="O252" s="7" t="inlineStr">
        <is>
          <t>Sim</t>
        </is>
      </c>
      <c r="P252" s="16" t="inlineStr">
        <is>
          <t>2-6 anos reclusão + multa se documento público. 1-5 anos reclusão + multa se particular</t>
        </is>
      </c>
    </row>
    <row r="253">
      <c r="A253" s="7" t="inlineStr">
        <is>
          <t>CP</t>
        </is>
      </c>
      <c r="B253" s="7" t="inlineStr">
        <is>
          <t>Art. 306</t>
        </is>
      </c>
      <c r="C253" s="16" t="inlineStr">
        <is>
          <t>Falsificação do sinal empregado no contraste de metal precioso</t>
        </is>
      </c>
      <c r="D253" s="7" t="n">
        <v>24</v>
      </c>
      <c r="E253" s="7" t="n">
        <v>72</v>
      </c>
      <c r="F253" s="7" t="inlineStr">
        <is>
          <t>Reclusão</t>
        </is>
      </c>
      <c r="G253" s="7" t="inlineStr">
        <is>
          <t>Pública Incondicionada</t>
        </is>
      </c>
      <c r="H253" s="7" t="inlineStr">
        <is>
          <t>Não</t>
        </is>
      </c>
      <c r="I253" s="7" t="inlineStr">
        <is>
          <t>Doloso</t>
        </is>
      </c>
      <c r="J253" s="7" t="inlineStr">
        <is>
          <t>Sim</t>
        </is>
      </c>
      <c r="K253" s="7" t="inlineStr">
        <is>
          <t>Não</t>
        </is>
      </c>
      <c r="L253" s="7" t="inlineStr">
        <is>
          <t>Não</t>
        </is>
      </c>
      <c r="M253" s="7" t="inlineStr">
        <is>
          <t>Sim</t>
        </is>
      </c>
      <c r="N253" s="7" t="inlineStr">
        <is>
          <t>Não</t>
        </is>
      </c>
      <c r="O253" s="7" t="inlineStr">
        <is>
          <t>Sim</t>
        </is>
      </c>
      <c r="P253" s="16" t="inlineStr">
        <is>
          <t>2-6 anos reclusão + multa</t>
        </is>
      </c>
    </row>
    <row r="254">
      <c r="A254" s="7" t="inlineStr">
        <is>
          <t>CP</t>
        </is>
      </c>
      <c r="B254" s="7" t="inlineStr">
        <is>
          <t>Art. 307</t>
        </is>
      </c>
      <c r="C254" s="16" t="inlineStr">
        <is>
          <t>Falsa identidade</t>
        </is>
      </c>
      <c r="D254" s="7" t="n">
        <v>3</v>
      </c>
      <c r="E254" s="7" t="n">
        <v>12</v>
      </c>
      <c r="F254" s="7" t="inlineStr">
        <is>
          <t>Detenção</t>
        </is>
      </c>
      <c r="G254" s="7" t="inlineStr">
        <is>
          <t>Pública Incondicionada</t>
        </is>
      </c>
      <c r="H254" s="7" t="inlineStr">
        <is>
          <t>Não</t>
        </is>
      </c>
      <c r="I254" s="7" t="inlineStr">
        <is>
          <t>Doloso</t>
        </is>
      </c>
      <c r="J254" s="7" t="inlineStr">
        <is>
          <t>Sim</t>
        </is>
      </c>
      <c r="K254" s="7" t="inlineStr">
        <is>
          <t>Não</t>
        </is>
      </c>
      <c r="L254" s="7" t="inlineStr">
        <is>
          <t>Não</t>
        </is>
      </c>
      <c r="M254" s="7" t="inlineStr">
        <is>
          <t>Sim</t>
        </is>
      </c>
      <c r="N254" s="7" t="inlineStr">
        <is>
          <t>Sim</t>
        </is>
      </c>
      <c r="O254" s="7" t="inlineStr">
        <is>
          <t>Sim</t>
        </is>
      </c>
      <c r="P254" s="16" t="inlineStr">
        <is>
          <t>3 meses a 1 ano detenção + multa. Atribuir-se ou atribuir a terceiro falsa identidade para obter vantagem ou causar dano</t>
        </is>
      </c>
    </row>
    <row r="255">
      <c r="A255" s="7" t="inlineStr">
        <is>
          <t>CP</t>
        </is>
      </c>
      <c r="B255" s="7" t="inlineStr">
        <is>
          <t>Art. 308</t>
        </is>
      </c>
      <c r="C255" s="16" t="inlineStr">
        <is>
          <t>Uso de documento de identidade alheio</t>
        </is>
      </c>
      <c r="D255" s="7" t="n">
        <v>3</v>
      </c>
      <c r="E255" s="7" t="n">
        <v>12</v>
      </c>
      <c r="F255" s="7" t="inlineStr">
        <is>
          <t>Detenção</t>
        </is>
      </c>
      <c r="G255" s="7" t="inlineStr">
        <is>
          <t>Pública Incondicionada</t>
        </is>
      </c>
      <c r="H255" s="7" t="inlineStr">
        <is>
          <t>Não</t>
        </is>
      </c>
      <c r="I255" s="7" t="inlineStr">
        <is>
          <t>Doloso</t>
        </is>
      </c>
      <c r="J255" s="7" t="inlineStr">
        <is>
          <t>Sim</t>
        </is>
      </c>
      <c r="K255" s="7" t="inlineStr">
        <is>
          <t>Não</t>
        </is>
      </c>
      <c r="L255" s="7" t="inlineStr">
        <is>
          <t>Não</t>
        </is>
      </c>
      <c r="M255" s="7" t="inlineStr">
        <is>
          <t>Sim</t>
        </is>
      </c>
      <c r="N255" s="7" t="inlineStr">
        <is>
          <t>Sim</t>
        </is>
      </c>
      <c r="O255" s="7" t="inlineStr">
        <is>
          <t>Sim</t>
        </is>
      </c>
      <c r="P255" s="16" t="inlineStr">
        <is>
          <t>3 meses a 1 ano detenção + multa se não constitui elemento de crime mais grave</t>
        </is>
      </c>
    </row>
    <row r="256">
      <c r="A256" s="7" t="inlineStr">
        <is>
          <t>CP</t>
        </is>
      </c>
      <c r="B256" s="7" t="inlineStr">
        <is>
          <t>Art. 309</t>
        </is>
      </c>
      <c r="C256" s="16" t="inlineStr">
        <is>
          <t>Fraude de lei sobre estrangeiros</t>
        </is>
      </c>
      <c r="D256" s="7" t="n">
        <v>12</v>
      </c>
      <c r="E256" s="7" t="n">
        <v>48</v>
      </c>
      <c r="F256" s="7" t="inlineStr">
        <is>
          <t>Detenção</t>
        </is>
      </c>
      <c r="G256" s="7" t="inlineStr">
        <is>
          <t>Pública Incondicionada</t>
        </is>
      </c>
      <c r="H256" s="7" t="inlineStr">
        <is>
          <t>Não</t>
        </is>
      </c>
      <c r="I256" s="7" t="inlineStr">
        <is>
          <t>Doloso</t>
        </is>
      </c>
      <c r="J256" s="7" t="inlineStr">
        <is>
          <t>Sim</t>
        </is>
      </c>
      <c r="K256" s="7" t="inlineStr">
        <is>
          <t>Não</t>
        </is>
      </c>
      <c r="L256" s="7" t="inlineStr">
        <is>
          <t>Não</t>
        </is>
      </c>
      <c r="M256" s="7" t="inlineStr">
        <is>
          <t>Sim</t>
        </is>
      </c>
      <c r="N256" s="7" t="inlineStr">
        <is>
          <t>Sim</t>
        </is>
      </c>
      <c r="O256" s="7" t="inlineStr">
        <is>
          <t>Sim</t>
        </is>
      </c>
      <c r="P256" s="16" t="inlineStr">
        <is>
          <t>1-4 anos detenção + multa</t>
        </is>
      </c>
    </row>
    <row r="257">
      <c r="A257" s="7" t="inlineStr">
        <is>
          <t>CP</t>
        </is>
      </c>
      <c r="B257" s="7" t="inlineStr">
        <is>
          <t>Art. 310</t>
        </is>
      </c>
      <c r="C257" s="16" t="inlineStr">
        <is>
          <t>Prestar-se a figurar como proprietário ou possuidor de ação/título/bem (testa de ferro)</t>
        </is>
      </c>
      <c r="D257" s="7" t="n">
        <v>6</v>
      </c>
      <c r="E257" s="7" t="n">
        <v>36</v>
      </c>
      <c r="F257" s="7" t="inlineStr">
        <is>
          <t>Detenção</t>
        </is>
      </c>
      <c r="G257" s="7" t="inlineStr">
        <is>
          <t>Pública Incondicionada</t>
        </is>
      </c>
      <c r="H257" s="7" t="inlineStr">
        <is>
          <t>Não</t>
        </is>
      </c>
      <c r="I257" s="7" t="inlineStr">
        <is>
          <t>Doloso</t>
        </is>
      </c>
      <c r="J257" s="7" t="inlineStr">
        <is>
          <t>Sim</t>
        </is>
      </c>
      <c r="K257" s="7" t="inlineStr">
        <is>
          <t>Não</t>
        </is>
      </c>
      <c r="L257" s="7" t="inlineStr">
        <is>
          <t>Não</t>
        </is>
      </c>
      <c r="M257" s="7" t="inlineStr">
        <is>
          <t>Sim</t>
        </is>
      </c>
      <c r="N257" s="7" t="inlineStr">
        <is>
          <t>Sim</t>
        </is>
      </c>
      <c r="O257" s="7" t="inlineStr">
        <is>
          <t>Sim</t>
        </is>
      </c>
      <c r="P257" s="16" t="inlineStr">
        <is>
          <t>6 meses a 3 anos detenção + multa</t>
        </is>
      </c>
    </row>
    <row r="258">
      <c r="A258" s="7" t="inlineStr">
        <is>
          <t>CP</t>
        </is>
      </c>
      <c r="B258" s="7" t="inlineStr">
        <is>
          <t>Art. 311</t>
        </is>
      </c>
      <c r="C258" s="16" t="inlineStr">
        <is>
          <t>Adulteração de sinal identificador de veículo automotor</t>
        </is>
      </c>
      <c r="D258" s="7" t="n">
        <v>36</v>
      </c>
      <c r="E258" s="7" t="n">
        <v>72</v>
      </c>
      <c r="F258" s="7" t="inlineStr">
        <is>
          <t>Reclusão</t>
        </is>
      </c>
      <c r="G258" s="7" t="inlineStr">
        <is>
          <t>Pública Incondicionada</t>
        </is>
      </c>
      <c r="H258" s="7" t="inlineStr">
        <is>
          <t>Não</t>
        </is>
      </c>
      <c r="I258" s="7" t="inlineStr">
        <is>
          <t>Doloso</t>
        </is>
      </c>
      <c r="J258" s="7" t="inlineStr">
        <is>
          <t>Sim</t>
        </is>
      </c>
      <c r="K258" s="7" t="inlineStr">
        <is>
          <t>Não</t>
        </is>
      </c>
      <c r="L258" s="7" t="inlineStr">
        <is>
          <t>Não</t>
        </is>
      </c>
      <c r="M258" s="7" t="inlineStr">
        <is>
          <t>Sim</t>
        </is>
      </c>
      <c r="N258" s="7" t="inlineStr">
        <is>
          <t>Não</t>
        </is>
      </c>
      <c r="O258" s="7" t="inlineStr">
        <is>
          <t>Verificar</t>
        </is>
      </c>
      <c r="P258" s="16" t="inlineStr">
        <is>
          <t>3-6 anos reclusão + multa. Adulterar ou remarcar número de chassi, placa de identificação, registro de veículo ou qualquer sinal identificador</t>
        </is>
      </c>
    </row>
    <row r="259">
      <c r="A259" s="7" t="inlineStr">
        <is>
          <t>CP</t>
        </is>
      </c>
      <c r="B259" s="7" t="inlineStr">
        <is>
          <t>Art. 311-A</t>
        </is>
      </c>
      <c r="C259" s="16" t="inlineStr">
        <is>
          <t>Fraudes em certames de interesse público</t>
        </is>
      </c>
      <c r="D259" s="7" t="n">
        <v>12</v>
      </c>
      <c r="E259" s="7" t="n">
        <v>36</v>
      </c>
      <c r="F259" s="7" t="inlineStr">
        <is>
          <t>Reclusão</t>
        </is>
      </c>
      <c r="G259" s="7" t="inlineStr">
        <is>
          <t>Pública Incondicionada</t>
        </is>
      </c>
      <c r="H259" s="7" t="inlineStr">
        <is>
          <t>Não</t>
        </is>
      </c>
      <c r="I259" s="7" t="inlineStr">
        <is>
          <t>Doloso</t>
        </is>
      </c>
      <c r="J259" s="7" t="inlineStr">
        <is>
          <t>Sim</t>
        </is>
      </c>
      <c r="K259" s="7" t="inlineStr">
        <is>
          <t>Não</t>
        </is>
      </c>
      <c r="L259" s="7" t="inlineStr">
        <is>
          <t>Não</t>
        </is>
      </c>
      <c r="M259" s="7" t="inlineStr">
        <is>
          <t>Sim</t>
        </is>
      </c>
      <c r="N259" s="7" t="inlineStr">
        <is>
          <t>Sim</t>
        </is>
      </c>
      <c r="O259" s="7" t="inlineStr">
        <is>
          <t>Sim</t>
        </is>
      </c>
      <c r="P259" s="16" t="inlineStr">
        <is>
          <t>1-3 anos reclusão + multa. Utilizar ou divulgar, indevidamente, conteúdo sigiloso de concurso público, avaliação ou exame, bem como vestibular. §1º: +1/3 se funcionário público. §2º: se resultar nulidade do certame ou proveito indevido: 2-5 anos reclusão + multa</t>
        </is>
      </c>
    </row>
    <row r="260">
      <c r="A260" s="7" t="inlineStr">
        <is>
          <t>CP</t>
        </is>
      </c>
      <c r="B260" s="7" t="inlineStr">
        <is>
          <t>Art. 312, caput</t>
        </is>
      </c>
      <c r="C260" s="16" t="inlineStr">
        <is>
          <t>Peculato (apropriação)</t>
        </is>
      </c>
      <c r="D260" s="7" t="n">
        <v>24</v>
      </c>
      <c r="E260" s="7" t="n">
        <v>144</v>
      </c>
      <c r="F260" s="7" t="inlineStr">
        <is>
          <t>Reclusão</t>
        </is>
      </c>
      <c r="G260" s="7" t="inlineStr">
        <is>
          <t>Pública Incondicionada</t>
        </is>
      </c>
      <c r="H260" s="7" t="inlineStr">
        <is>
          <t>Não</t>
        </is>
      </c>
      <c r="I260" s="7" t="inlineStr">
        <is>
          <t>Doloso</t>
        </is>
      </c>
      <c r="J260" s="7" t="inlineStr">
        <is>
          <t>Sim</t>
        </is>
      </c>
      <c r="K260" s="7" t="inlineStr">
        <is>
          <t>Não</t>
        </is>
      </c>
      <c r="L260" s="7" t="inlineStr">
        <is>
          <t>Não</t>
        </is>
      </c>
      <c r="M260" s="7" t="inlineStr">
        <is>
          <t>Sim</t>
        </is>
      </c>
      <c r="N260" s="7" t="inlineStr">
        <is>
          <t>Não</t>
        </is>
      </c>
      <c r="O260" s="7" t="inlineStr">
        <is>
          <t>Sim</t>
        </is>
      </c>
      <c r="P260" s="16" t="inlineStr">
        <is>
          <t>2-12 anos reclusão + multa. Apropriar-se de dinheiro/valor/bem móvel público ou particular de que tem posse em razão do cargo, ou desviá-lo em proveito próprio ou alheio</t>
        </is>
      </c>
    </row>
    <row r="261">
      <c r="A261" s="7" t="inlineStr">
        <is>
          <t>CP</t>
        </is>
      </c>
      <c r="B261" s="7" t="inlineStr">
        <is>
          <t>Art. 312, §1º</t>
        </is>
      </c>
      <c r="C261" s="16" t="inlineStr">
        <is>
          <t>Peculato-furto</t>
        </is>
      </c>
      <c r="D261" s="7" t="n">
        <v>24</v>
      </c>
      <c r="E261" s="7" t="n">
        <v>144</v>
      </c>
      <c r="F261" s="7" t="inlineStr">
        <is>
          <t>Reclusão</t>
        </is>
      </c>
      <c r="G261" s="7" t="inlineStr">
        <is>
          <t>Pública Incondicionada</t>
        </is>
      </c>
      <c r="H261" s="7" t="inlineStr">
        <is>
          <t>Não</t>
        </is>
      </c>
      <c r="I261" s="7" t="inlineStr">
        <is>
          <t>Doloso</t>
        </is>
      </c>
      <c r="J261" s="7" t="inlineStr">
        <is>
          <t>Sim</t>
        </is>
      </c>
      <c r="K261" s="7" t="inlineStr">
        <is>
          <t>Não</t>
        </is>
      </c>
      <c r="L261" s="7" t="inlineStr">
        <is>
          <t>Não</t>
        </is>
      </c>
      <c r="M261" s="7" t="inlineStr">
        <is>
          <t>Sim</t>
        </is>
      </c>
      <c r="N261" s="7" t="inlineStr">
        <is>
          <t>Não</t>
        </is>
      </c>
      <c r="O261" s="7" t="inlineStr">
        <is>
          <t>Sim</t>
        </is>
      </c>
      <c r="P261" s="16" t="inlineStr">
        <is>
          <t>Mesma pena. Subtrair ou concorrer para que seja subtraído, valendo-se de facilidade que lhe proporciona a qualidade de funcionário</t>
        </is>
      </c>
    </row>
    <row r="262">
      <c r="A262" s="7" t="inlineStr">
        <is>
          <t>CP</t>
        </is>
      </c>
      <c r="B262" s="7" t="inlineStr">
        <is>
          <t>Art. 312, §2º</t>
        </is>
      </c>
      <c r="C262" s="16" t="inlineStr">
        <is>
          <t>Peculato culposo</t>
        </is>
      </c>
      <c r="D262" s="7" t="n">
        <v>3</v>
      </c>
      <c r="E262" s="7" t="n">
        <v>12</v>
      </c>
      <c r="F262" s="7" t="inlineStr">
        <is>
          <t>Detenção</t>
        </is>
      </c>
      <c r="G262" s="7" t="inlineStr">
        <is>
          <t>Pública Incondicionada</t>
        </is>
      </c>
      <c r="H262" s="7" t="inlineStr">
        <is>
          <t>Não</t>
        </is>
      </c>
      <c r="I262" s="7" t="inlineStr">
        <is>
          <t>Culposo</t>
        </is>
      </c>
      <c r="J262" s="7" t="inlineStr">
        <is>
          <t>Não</t>
        </is>
      </c>
      <c r="K262" s="7" t="inlineStr">
        <is>
          <t>Não</t>
        </is>
      </c>
      <c r="L262" s="7" t="inlineStr">
        <is>
          <t>Não</t>
        </is>
      </c>
      <c r="M262" s="7" t="inlineStr">
        <is>
          <t>Sim</t>
        </is>
      </c>
      <c r="N262" s="7" t="inlineStr">
        <is>
          <t>Sim</t>
        </is>
      </c>
      <c r="O262" s="7" t="inlineStr">
        <is>
          <t>Sim</t>
        </is>
      </c>
      <c r="P262" s="16" t="inlineStr">
        <is>
          <t>3 meses a 1 ano detenção. §3º: extinta a punibilidade se a reparação do dano precede à sentença irrecorrível</t>
        </is>
      </c>
    </row>
    <row r="263">
      <c r="A263" s="7" t="inlineStr">
        <is>
          <t>CP</t>
        </is>
      </c>
      <c r="B263" s="7" t="inlineStr">
        <is>
          <t>Art. 312, §3º-A</t>
        </is>
      </c>
      <c r="C263" s="16" t="inlineStr">
        <is>
          <t>Peculato mediante erro de outrem (peculato-estelionato)</t>
        </is>
      </c>
      <c r="D263" s="7" t="n">
        <v>24</v>
      </c>
      <c r="E263" s="7" t="n">
        <v>144</v>
      </c>
      <c r="F263" s="7" t="inlineStr">
        <is>
          <t>Reclusão</t>
        </is>
      </c>
      <c r="G263" s="7" t="inlineStr">
        <is>
          <t>Pública Incondicionada</t>
        </is>
      </c>
      <c r="H263" s="7" t="inlineStr">
        <is>
          <t>Não</t>
        </is>
      </c>
      <c r="I263" s="7" t="inlineStr">
        <is>
          <t>Doloso</t>
        </is>
      </c>
      <c r="J263" s="7" t="inlineStr">
        <is>
          <t>Sim</t>
        </is>
      </c>
      <c r="K263" s="7" t="inlineStr">
        <is>
          <t>Não</t>
        </is>
      </c>
      <c r="L263" s="7" t="inlineStr">
        <is>
          <t>Não</t>
        </is>
      </c>
      <c r="M263" s="7" t="inlineStr">
        <is>
          <t>Sim</t>
        </is>
      </c>
      <c r="N263" s="7" t="inlineStr">
        <is>
          <t>Não</t>
        </is>
      </c>
      <c r="O263" s="7" t="inlineStr">
        <is>
          <t>Sim</t>
        </is>
      </c>
      <c r="P263" s="16" t="inlineStr">
        <is>
          <t>Apropriar-se de dinheiro ou qualquer utilidade que, no exercício do cargo, recebeu por erro de outrem</t>
        </is>
      </c>
    </row>
    <row r="264">
      <c r="A264" s="7" t="inlineStr">
        <is>
          <t>CP</t>
        </is>
      </c>
      <c r="B264" s="7" t="inlineStr">
        <is>
          <t>Art. 313-A</t>
        </is>
      </c>
      <c r="C264" s="16" t="inlineStr">
        <is>
          <t>Inserção de dados falsos em sistema de informações</t>
        </is>
      </c>
      <c r="D264" s="7" t="n">
        <v>24</v>
      </c>
      <c r="E264" s="7" t="n">
        <v>144</v>
      </c>
      <c r="F264" s="7" t="inlineStr">
        <is>
          <t>Reclusão</t>
        </is>
      </c>
      <c r="G264" s="7" t="inlineStr">
        <is>
          <t>Pública Incondicionada</t>
        </is>
      </c>
      <c r="H264" s="7" t="inlineStr">
        <is>
          <t>Não</t>
        </is>
      </c>
      <c r="I264" s="7" t="inlineStr">
        <is>
          <t>Doloso</t>
        </is>
      </c>
      <c r="J264" s="7" t="inlineStr">
        <is>
          <t>Sim</t>
        </is>
      </c>
      <c r="K264" s="7" t="inlineStr">
        <is>
          <t>Não</t>
        </is>
      </c>
      <c r="L264" s="7" t="inlineStr">
        <is>
          <t>Não</t>
        </is>
      </c>
      <c r="M264" s="7" t="inlineStr">
        <is>
          <t>Sim</t>
        </is>
      </c>
      <c r="N264" s="7" t="inlineStr">
        <is>
          <t>Não</t>
        </is>
      </c>
      <c r="O264" s="7" t="inlineStr">
        <is>
          <t>Sim</t>
        </is>
      </c>
      <c r="P264" s="16" t="inlineStr">
        <is>
          <t>2-12 anos reclusão + multa. Inserir ou facilitar a inserção de dados falsos, alterar ou excluir indevidamente dados corretos nos sistemas informatizados ou bancos de dados da Administração Pública</t>
        </is>
      </c>
    </row>
    <row r="265">
      <c r="A265" s="7" t="inlineStr">
        <is>
          <t>CP</t>
        </is>
      </c>
      <c r="B265" s="7" t="inlineStr">
        <is>
          <t>Art. 313-B</t>
        </is>
      </c>
      <c r="C265" s="16" t="inlineStr">
        <is>
          <t>Modificação ou alteração não autorizada de sistema de informações</t>
        </is>
      </c>
      <c r="D265" s="7" t="n">
        <v>3</v>
      </c>
      <c r="E265" s="7" t="n">
        <v>24</v>
      </c>
      <c r="F265" s="7" t="inlineStr">
        <is>
          <t>Detenção</t>
        </is>
      </c>
      <c r="G265" s="7" t="inlineStr">
        <is>
          <t>Pública Incondicionada</t>
        </is>
      </c>
      <c r="H265" s="7" t="inlineStr">
        <is>
          <t>Não</t>
        </is>
      </c>
      <c r="I265" s="7" t="inlineStr">
        <is>
          <t>Doloso</t>
        </is>
      </c>
      <c r="J265" s="7" t="inlineStr">
        <is>
          <t>Sim</t>
        </is>
      </c>
      <c r="K265" s="7" t="inlineStr">
        <is>
          <t>Não</t>
        </is>
      </c>
      <c r="L265" s="7" t="inlineStr">
        <is>
          <t>Não</t>
        </is>
      </c>
      <c r="M265" s="7" t="inlineStr">
        <is>
          <t>Sim</t>
        </is>
      </c>
      <c r="N265" s="7" t="inlineStr">
        <is>
          <t>Sim</t>
        </is>
      </c>
      <c r="O265" s="7" t="inlineStr">
        <is>
          <t>Sim</t>
        </is>
      </c>
      <c r="P265" s="16" t="inlineStr">
        <is>
          <t>3 meses a 2 anos detenção + multa. Se resulta dano para a Administração ou para o administrado: 1-4 anos detenção + multa</t>
        </is>
      </c>
    </row>
    <row r="266">
      <c r="A266" s="7" t="inlineStr">
        <is>
          <t>CP</t>
        </is>
      </c>
      <c r="B266" s="7" t="inlineStr">
        <is>
          <t>Art. 314</t>
        </is>
      </c>
      <c r="C266" s="16" t="inlineStr">
        <is>
          <t>Extravio, sonegação ou inutilização de livro ou documento</t>
        </is>
      </c>
      <c r="D266" s="7" t="n">
        <v>12</v>
      </c>
      <c r="E266" s="7" t="n">
        <v>48</v>
      </c>
      <c r="F266" s="7" t="inlineStr">
        <is>
          <t>Reclusão</t>
        </is>
      </c>
      <c r="G266" s="7" t="inlineStr">
        <is>
          <t>Pública Incondicionada</t>
        </is>
      </c>
      <c r="H266" s="7" t="inlineStr">
        <is>
          <t>Não</t>
        </is>
      </c>
      <c r="I266" s="7" t="inlineStr">
        <is>
          <t>Doloso</t>
        </is>
      </c>
      <c r="J266" s="7" t="inlineStr">
        <is>
          <t>Sim</t>
        </is>
      </c>
      <c r="K266" s="7" t="inlineStr">
        <is>
          <t>Não</t>
        </is>
      </c>
      <c r="L266" s="7" t="inlineStr">
        <is>
          <t>Não</t>
        </is>
      </c>
      <c r="M266" s="7" t="inlineStr">
        <is>
          <t>Sim</t>
        </is>
      </c>
      <c r="N266" s="7" t="inlineStr">
        <is>
          <t>Sim</t>
        </is>
      </c>
      <c r="O266" s="7" t="inlineStr">
        <is>
          <t>Sim</t>
        </is>
      </c>
      <c r="P266" s="16" t="inlineStr">
        <is>
          <t>1-4 anos reclusão + multa</t>
        </is>
      </c>
    </row>
    <row r="267">
      <c r="A267" s="7" t="inlineStr">
        <is>
          <t>CP</t>
        </is>
      </c>
      <c r="B267" s="7" t="inlineStr">
        <is>
          <t>Art. 315</t>
        </is>
      </c>
      <c r="C267" s="16" t="inlineStr">
        <is>
          <t>Emprego irregular de verbas ou rendas públicas</t>
        </is>
      </c>
      <c r="D267" s="7" t="n">
        <v>1</v>
      </c>
      <c r="E267" s="7" t="n">
        <v>3</v>
      </c>
      <c r="F267" s="7" t="inlineStr">
        <is>
          <t>Detenção</t>
        </is>
      </c>
      <c r="G267" s="7" t="inlineStr">
        <is>
          <t>Pública Incondicionada</t>
        </is>
      </c>
      <c r="H267" s="7" t="inlineStr">
        <is>
          <t>Não</t>
        </is>
      </c>
      <c r="I267" s="7" t="inlineStr">
        <is>
          <t>Doloso</t>
        </is>
      </c>
      <c r="J267" s="7" t="inlineStr">
        <is>
          <t>Sim</t>
        </is>
      </c>
      <c r="K267" s="7" t="inlineStr">
        <is>
          <t>Não</t>
        </is>
      </c>
      <c r="L267" s="7" t="inlineStr">
        <is>
          <t>Não</t>
        </is>
      </c>
      <c r="M267" s="7" t="inlineStr">
        <is>
          <t>Sim</t>
        </is>
      </c>
      <c r="N267" s="7" t="inlineStr">
        <is>
          <t>Sim</t>
        </is>
      </c>
      <c r="O267" s="7" t="inlineStr">
        <is>
          <t>Sim</t>
        </is>
      </c>
      <c r="P267" s="16" t="inlineStr">
        <is>
          <t>1-3 meses detenção ou multa</t>
        </is>
      </c>
    </row>
    <row r="268">
      <c r="A268" s="26" t="inlineStr">
        <is>
          <t>CP</t>
        </is>
      </c>
      <c r="B268" s="26" t="inlineStr">
        <is>
          <t>Art. 316, caput</t>
        </is>
      </c>
      <c r="C268" s="27" t="inlineStr">
        <is>
          <t>Concussão</t>
        </is>
      </c>
      <c r="D268" s="26" t="n">
        <v>24</v>
      </c>
      <c r="E268" s="26" t="n">
        <v>96</v>
      </c>
      <c r="F268" s="26" t="inlineStr">
        <is>
          <t>Reclusão</t>
        </is>
      </c>
      <c r="G268" s="26" t="inlineStr">
        <is>
          <t>Pública Incondicionada</t>
        </is>
      </c>
      <c r="H268" s="26" t="inlineStr">
        <is>
          <t>Não</t>
        </is>
      </c>
      <c r="I268" s="26" t="inlineStr">
        <is>
          <t>Doloso</t>
        </is>
      </c>
      <c r="J268" s="26" t="inlineStr">
        <is>
          <t>Sim</t>
        </is>
      </c>
      <c r="K268" s="26" t="inlineStr">
        <is>
          <t>Não</t>
        </is>
      </c>
      <c r="L268" s="26" t="inlineStr">
        <is>
          <t>Sim</t>
        </is>
      </c>
      <c r="M268" s="26" t="inlineStr">
        <is>
          <t>Não</t>
        </is>
      </c>
      <c r="N268" s="26" t="inlineStr">
        <is>
          <t>Não</t>
        </is>
      </c>
      <c r="O268" s="26" t="inlineStr">
        <is>
          <t>Sim</t>
        </is>
      </c>
      <c r="P268" s="27" t="inlineStr">
        <is>
          <t>2-8 anos reclusão + multa. Exigir, para si ou para outrem, direta ou indiretamente, vantagem indevida, em razão da função</t>
        </is>
      </c>
    </row>
    <row r="269">
      <c r="A269" s="7" t="inlineStr">
        <is>
          <t>CP</t>
        </is>
      </c>
      <c r="B269" s="7" t="inlineStr">
        <is>
          <t>Art. 316, §2º</t>
        </is>
      </c>
      <c r="C269" s="16" t="inlineStr">
        <is>
          <t>Excesso de exação</t>
        </is>
      </c>
      <c r="D269" s="7" t="n">
        <v>36</v>
      </c>
      <c r="E269" s="7" t="n">
        <v>96</v>
      </c>
      <c r="F269" s="7" t="inlineStr">
        <is>
          <t>Reclusão</t>
        </is>
      </c>
      <c r="G269" s="7" t="inlineStr">
        <is>
          <t>Pública Incondicionada</t>
        </is>
      </c>
      <c r="H269" s="7" t="inlineStr">
        <is>
          <t>Não</t>
        </is>
      </c>
      <c r="I269" s="7" t="inlineStr">
        <is>
          <t>Doloso</t>
        </is>
      </c>
      <c r="J269" s="7" t="inlineStr">
        <is>
          <t>Sim</t>
        </is>
      </c>
      <c r="K269" s="7" t="inlineStr">
        <is>
          <t>Não</t>
        </is>
      </c>
      <c r="L269" s="7" t="inlineStr">
        <is>
          <t>Não</t>
        </is>
      </c>
      <c r="M269" s="7" t="inlineStr">
        <is>
          <t>Sim</t>
        </is>
      </c>
      <c r="N269" s="7" t="inlineStr">
        <is>
          <t>Não</t>
        </is>
      </c>
      <c r="O269" s="7" t="inlineStr">
        <is>
          <t>Verificar</t>
        </is>
      </c>
      <c r="P269" s="16" t="inlineStr">
        <is>
          <t>3-8 anos reclusão + multa. Exigir tributo ou contribuição social indevida ou empregar na cobrança meio vexatório ou gravoso que a lei não autoriza</t>
        </is>
      </c>
    </row>
    <row r="270">
      <c r="A270" s="7" t="inlineStr">
        <is>
          <t>CP</t>
        </is>
      </c>
      <c r="B270" s="7" t="inlineStr">
        <is>
          <t>Art. 317</t>
        </is>
      </c>
      <c r="C270" s="16" t="inlineStr">
        <is>
          <t>Corrupção passiva</t>
        </is>
      </c>
      <c r="D270" s="7" t="n">
        <v>24</v>
      </c>
      <c r="E270" s="7" t="n">
        <v>144</v>
      </c>
      <c r="F270" s="7" t="inlineStr">
        <is>
          <t>Reclusão</t>
        </is>
      </c>
      <c r="G270" s="7" t="inlineStr">
        <is>
          <t>Pública Incondicionada</t>
        </is>
      </c>
      <c r="H270" s="7" t="inlineStr">
        <is>
          <t>Não</t>
        </is>
      </c>
      <c r="I270" s="7" t="inlineStr">
        <is>
          <t>Doloso</t>
        </is>
      </c>
      <c r="J270" s="7" t="inlineStr">
        <is>
          <t>Sim</t>
        </is>
      </c>
      <c r="K270" s="7" t="inlineStr">
        <is>
          <t>Não</t>
        </is>
      </c>
      <c r="L270" s="7" t="inlineStr">
        <is>
          <t>Não</t>
        </is>
      </c>
      <c r="M270" s="7" t="inlineStr">
        <is>
          <t>Sim</t>
        </is>
      </c>
      <c r="N270" s="7" t="inlineStr">
        <is>
          <t>Não</t>
        </is>
      </c>
      <c r="O270" s="7" t="inlineStr">
        <is>
          <t>Sim</t>
        </is>
      </c>
      <c r="P270" s="16" t="inlineStr">
        <is>
          <t>2-12 anos reclusão + multa. §1º: aumento de 1/3 se em consequência da vantagem o funcionário retarda ou deixa de praticar ato de ofício ou o pratica infringindo dever funcional</t>
        </is>
      </c>
    </row>
    <row r="271">
      <c r="A271" s="7" t="inlineStr">
        <is>
          <t>CP</t>
        </is>
      </c>
      <c r="B271" s="7" t="inlineStr">
        <is>
          <t>Art. 318</t>
        </is>
      </c>
      <c r="C271" s="16" t="inlineStr">
        <is>
          <t>Facilitação de contrabando ou descaminho</t>
        </is>
      </c>
      <c r="D271" s="7" t="n">
        <v>36</v>
      </c>
      <c r="E271" s="7" t="n">
        <v>96</v>
      </c>
      <c r="F271" s="7" t="inlineStr">
        <is>
          <t>Reclusão</t>
        </is>
      </c>
      <c r="G271" s="7" t="inlineStr">
        <is>
          <t>Pública Incondicionada</t>
        </is>
      </c>
      <c r="H271" s="7" t="inlineStr">
        <is>
          <t>Não</t>
        </is>
      </c>
      <c r="I271" s="7" t="inlineStr">
        <is>
          <t>Doloso</t>
        </is>
      </c>
      <c r="J271" s="7" t="inlineStr">
        <is>
          <t>Sim</t>
        </is>
      </c>
      <c r="K271" s="7" t="inlineStr">
        <is>
          <t>Não</t>
        </is>
      </c>
      <c r="L271" s="7" t="inlineStr">
        <is>
          <t>Não</t>
        </is>
      </c>
      <c r="M271" s="7" t="inlineStr">
        <is>
          <t>Sim</t>
        </is>
      </c>
      <c r="N271" s="7" t="inlineStr">
        <is>
          <t>Não</t>
        </is>
      </c>
      <c r="O271" s="7" t="inlineStr">
        <is>
          <t>Verificar</t>
        </is>
      </c>
      <c r="P271" s="16" t="inlineStr">
        <is>
          <t>3-8 anos reclusão + multa</t>
        </is>
      </c>
    </row>
    <row r="272">
      <c r="A272" s="7" t="inlineStr">
        <is>
          <t>CP</t>
        </is>
      </c>
      <c r="B272" s="7" t="inlineStr">
        <is>
          <t>Art. 319</t>
        </is>
      </c>
      <c r="C272" s="16" t="inlineStr">
        <is>
          <t>Prevaricação</t>
        </is>
      </c>
      <c r="D272" s="7" t="n">
        <v>3</v>
      </c>
      <c r="E272" s="7" t="n">
        <v>12</v>
      </c>
      <c r="F272" s="7" t="inlineStr">
        <is>
          <t>Detenção</t>
        </is>
      </c>
      <c r="G272" s="7" t="inlineStr">
        <is>
          <t>Pública Incondicionada</t>
        </is>
      </c>
      <c r="H272" s="7" t="inlineStr">
        <is>
          <t>Não</t>
        </is>
      </c>
      <c r="I272" s="7" t="inlineStr">
        <is>
          <t>Doloso</t>
        </is>
      </c>
      <c r="J272" s="7" t="inlineStr">
        <is>
          <t>Sim</t>
        </is>
      </c>
      <c r="K272" s="7" t="inlineStr">
        <is>
          <t>Não</t>
        </is>
      </c>
      <c r="L272" s="7" t="inlineStr">
        <is>
          <t>Não</t>
        </is>
      </c>
      <c r="M272" s="7" t="inlineStr">
        <is>
          <t>Sim</t>
        </is>
      </c>
      <c r="N272" s="7" t="inlineStr">
        <is>
          <t>Sim</t>
        </is>
      </c>
      <c r="O272" s="7" t="inlineStr">
        <is>
          <t>Sim</t>
        </is>
      </c>
      <c r="P272" s="16" t="inlineStr">
        <is>
          <t>3 meses a 1 ano detenção + multa. Retardar ou deixar de praticar, indevidamente, ato de ofício, ou praticá-lo contra disposição expressa de lei, para satisfazer interesse ou sentimento pessoal</t>
        </is>
      </c>
    </row>
    <row r="273">
      <c r="A273" s="7" t="inlineStr">
        <is>
          <t>CP</t>
        </is>
      </c>
      <c r="B273" s="7" t="inlineStr">
        <is>
          <t>Art. 319-A</t>
        </is>
      </c>
      <c r="C273" s="16" t="inlineStr">
        <is>
          <t>Prevaricação imprópria (agente penitenciário)</t>
        </is>
      </c>
      <c r="D273" s="7" t="n">
        <v>3</v>
      </c>
      <c r="E273" s="7" t="n">
        <v>12</v>
      </c>
      <c r="F273" s="7" t="inlineStr">
        <is>
          <t>Detenção</t>
        </is>
      </c>
      <c r="G273" s="7" t="inlineStr">
        <is>
          <t>Pública Incondicionada</t>
        </is>
      </c>
      <c r="H273" s="7" t="inlineStr">
        <is>
          <t>Não</t>
        </is>
      </c>
      <c r="I273" s="7" t="inlineStr">
        <is>
          <t>Doloso</t>
        </is>
      </c>
      <c r="J273" s="7" t="inlineStr">
        <is>
          <t>Sim</t>
        </is>
      </c>
      <c r="K273" s="7" t="inlineStr">
        <is>
          <t>Não</t>
        </is>
      </c>
      <c r="L273" s="7" t="inlineStr">
        <is>
          <t>Não</t>
        </is>
      </c>
      <c r="M273" s="7" t="inlineStr">
        <is>
          <t>Sim</t>
        </is>
      </c>
      <c r="N273" s="7" t="inlineStr">
        <is>
          <t>Sim</t>
        </is>
      </c>
      <c r="O273" s="7" t="inlineStr">
        <is>
          <t>Sim</t>
        </is>
      </c>
      <c r="P273" s="16" t="inlineStr">
        <is>
          <t>3 meses a 1 ano detenção. Deixar o Diretor de Penitenciária e/ou agente público de cumprir seu dever de vedar ao preso o acesso a aparelho telefônico, rádio ou similar</t>
        </is>
      </c>
    </row>
    <row r="274">
      <c r="A274" s="7" t="inlineStr">
        <is>
          <t>CP</t>
        </is>
      </c>
      <c r="B274" s="7" t="inlineStr">
        <is>
          <t>Art. 320</t>
        </is>
      </c>
      <c r="C274" s="16" t="inlineStr">
        <is>
          <t>Condescendência criminosa</t>
        </is>
      </c>
      <c r="D274" s="7" t="n">
        <v>15</v>
      </c>
      <c r="E274" s="7" t="n">
        <v>1</v>
      </c>
      <c r="F274" s="7" t="inlineStr">
        <is>
          <t>Detenção</t>
        </is>
      </c>
      <c r="G274" s="7" t="inlineStr">
        <is>
          <t>Pública Incondicionada</t>
        </is>
      </c>
      <c r="H274" s="7" t="inlineStr">
        <is>
          <t>Não</t>
        </is>
      </c>
      <c r="I274" s="7" t="inlineStr">
        <is>
          <t>Doloso</t>
        </is>
      </c>
      <c r="J274" s="7" t="inlineStr">
        <is>
          <t>Não</t>
        </is>
      </c>
      <c r="K274" s="7" t="inlineStr">
        <is>
          <t>Não</t>
        </is>
      </c>
      <c r="L274" s="7" t="inlineStr">
        <is>
          <t>Não</t>
        </is>
      </c>
      <c r="M274" s="7" t="inlineStr">
        <is>
          <t>Sim</t>
        </is>
      </c>
      <c r="N274" s="7" t="inlineStr">
        <is>
          <t>Não</t>
        </is>
      </c>
      <c r="O274" s="7" t="inlineStr">
        <is>
          <t>Sim</t>
        </is>
      </c>
      <c r="P274" s="16" t="inlineStr">
        <is>
          <t>15 dias a 1 mês detenção ou multa</t>
        </is>
      </c>
    </row>
    <row r="275">
      <c r="A275" s="7" t="inlineStr">
        <is>
          <t>CP</t>
        </is>
      </c>
      <c r="B275" s="7" t="inlineStr">
        <is>
          <t>Art. 321</t>
        </is>
      </c>
      <c r="C275" s="16" t="inlineStr">
        <is>
          <t>Advocacia administrativa</t>
        </is>
      </c>
      <c r="D275" s="7" t="n">
        <v>1</v>
      </c>
      <c r="E275" s="7" t="n">
        <v>3</v>
      </c>
      <c r="F275" s="7" t="inlineStr">
        <is>
          <t>Detenção</t>
        </is>
      </c>
      <c r="G275" s="7" t="inlineStr">
        <is>
          <t>Pública Incondicionada</t>
        </is>
      </c>
      <c r="H275" s="7" t="inlineStr">
        <is>
          <t>Não</t>
        </is>
      </c>
      <c r="I275" s="7" t="inlineStr">
        <is>
          <t>Doloso</t>
        </is>
      </c>
      <c r="J275" s="7" t="inlineStr">
        <is>
          <t>Sim</t>
        </is>
      </c>
      <c r="K275" s="7" t="inlineStr">
        <is>
          <t>Não</t>
        </is>
      </c>
      <c r="L275" s="7" t="inlineStr">
        <is>
          <t>Não</t>
        </is>
      </c>
      <c r="M275" s="7" t="inlineStr">
        <is>
          <t>Sim</t>
        </is>
      </c>
      <c r="N275" s="7" t="inlineStr">
        <is>
          <t>Sim</t>
        </is>
      </c>
      <c r="O275" s="7" t="inlineStr">
        <is>
          <t>Sim</t>
        </is>
      </c>
      <c r="P275" s="16" t="inlineStr">
        <is>
          <t>1-3 meses detenção ou multa. §único: 3m-1a detenção se interesse ilegítimo</t>
        </is>
      </c>
    </row>
    <row r="276">
      <c r="A276" s="26" t="inlineStr">
        <is>
          <t>CP</t>
        </is>
      </c>
      <c r="B276" s="26" t="inlineStr">
        <is>
          <t>Art. 322</t>
        </is>
      </c>
      <c r="C276" s="27" t="inlineStr">
        <is>
          <t>Violência arbitrária</t>
        </is>
      </c>
      <c r="D276" s="26" t="n">
        <v>6</v>
      </c>
      <c r="E276" s="26" t="n">
        <v>36</v>
      </c>
      <c r="F276" s="26" t="inlineStr">
        <is>
          <t>Detenção</t>
        </is>
      </c>
      <c r="G276" s="26" t="inlineStr">
        <is>
          <t>Pública Incondicionada</t>
        </is>
      </c>
      <c r="H276" s="26" t="inlineStr">
        <is>
          <t>Não</t>
        </is>
      </c>
      <c r="I276" s="26" t="inlineStr">
        <is>
          <t>Doloso</t>
        </is>
      </c>
      <c r="J276" s="26" t="inlineStr">
        <is>
          <t>Sim</t>
        </is>
      </c>
      <c r="K276" s="26" t="inlineStr">
        <is>
          <t>Sim</t>
        </is>
      </c>
      <c r="L276" s="26" t="inlineStr">
        <is>
          <t>Não</t>
        </is>
      </c>
      <c r="M276" s="26" t="inlineStr">
        <is>
          <t>Não</t>
        </is>
      </c>
      <c r="N276" s="26" t="inlineStr">
        <is>
          <t>Sim</t>
        </is>
      </c>
      <c r="O276" s="26" t="inlineStr">
        <is>
          <t>Sim</t>
        </is>
      </c>
      <c r="P276" s="27" t="inlineStr">
        <is>
          <t>6 meses a 3 anos detenção + multa. Praticar violência no exercício de função ou a pretexto de exercê-la</t>
        </is>
      </c>
    </row>
    <row r="277">
      <c r="A277" s="7" t="inlineStr">
        <is>
          <t>CP</t>
        </is>
      </c>
      <c r="B277" s="7" t="inlineStr">
        <is>
          <t>Art. 323</t>
        </is>
      </c>
      <c r="C277" s="16" t="inlineStr">
        <is>
          <t>Abandono de função</t>
        </is>
      </c>
      <c r="D277" s="7" t="n">
        <v>15</v>
      </c>
      <c r="E277" s="7" t="n">
        <v>1</v>
      </c>
      <c r="F277" s="7" t="inlineStr">
        <is>
          <t>Detenção</t>
        </is>
      </c>
      <c r="G277" s="7" t="inlineStr">
        <is>
          <t>Pública Incondicionada</t>
        </is>
      </c>
      <c r="H277" s="7" t="inlineStr">
        <is>
          <t>Não</t>
        </is>
      </c>
      <c r="I277" s="7" t="inlineStr">
        <is>
          <t>Doloso</t>
        </is>
      </c>
      <c r="J277" s="7" t="inlineStr">
        <is>
          <t>Não</t>
        </is>
      </c>
      <c r="K277" s="7" t="inlineStr">
        <is>
          <t>Não</t>
        </is>
      </c>
      <c r="L277" s="7" t="inlineStr">
        <is>
          <t>Não</t>
        </is>
      </c>
      <c r="M277" s="7" t="inlineStr">
        <is>
          <t>Sim</t>
        </is>
      </c>
      <c r="N277" s="7" t="inlineStr">
        <is>
          <t>Não</t>
        </is>
      </c>
      <c r="O277" s="7" t="inlineStr">
        <is>
          <t>Sim</t>
        </is>
      </c>
      <c r="P277" s="16" t="inlineStr">
        <is>
          <t>15 dias a 1 mês detenção ou multa. §1º: 3m-1a detenção + multa se resulta prejuízo. §2º: 1-3 meses detenção se em lugar de fronteira</t>
        </is>
      </c>
    </row>
    <row r="278">
      <c r="A278" s="7" t="inlineStr">
        <is>
          <t>CP</t>
        </is>
      </c>
      <c r="B278" s="7" t="inlineStr">
        <is>
          <t>Art. 324</t>
        </is>
      </c>
      <c r="C278" s="16" t="inlineStr">
        <is>
          <t>Exercício funcional ilegalmente antecipado ou prolongado</t>
        </is>
      </c>
      <c r="D278" s="7" t="n">
        <v>15</v>
      </c>
      <c r="E278" s="7" t="n">
        <v>1</v>
      </c>
      <c r="F278" s="7" t="inlineStr">
        <is>
          <t>Detenção</t>
        </is>
      </c>
      <c r="G278" s="7" t="inlineStr">
        <is>
          <t>Pública Incondicionada</t>
        </is>
      </c>
      <c r="H278" s="7" t="inlineStr">
        <is>
          <t>Não</t>
        </is>
      </c>
      <c r="I278" s="7" t="inlineStr">
        <is>
          <t>Doloso</t>
        </is>
      </c>
      <c r="J278" s="7" t="inlineStr">
        <is>
          <t>Sim</t>
        </is>
      </c>
      <c r="K278" s="7" t="inlineStr">
        <is>
          <t>Não</t>
        </is>
      </c>
      <c r="L278" s="7" t="inlineStr">
        <is>
          <t>Não</t>
        </is>
      </c>
      <c r="M278" s="7" t="inlineStr">
        <is>
          <t>Sim</t>
        </is>
      </c>
      <c r="N278" s="7" t="inlineStr">
        <is>
          <t>Não</t>
        </is>
      </c>
      <c r="O278" s="7" t="inlineStr">
        <is>
          <t>Sim</t>
        </is>
      </c>
      <c r="P278" s="16" t="inlineStr">
        <is>
          <t>15 dias a 1 mês detenção ou multa</t>
        </is>
      </c>
    </row>
    <row r="279">
      <c r="A279" s="7" t="inlineStr">
        <is>
          <t>CP</t>
        </is>
      </c>
      <c r="B279" s="7" t="inlineStr">
        <is>
          <t>Art. 325</t>
        </is>
      </c>
      <c r="C279" s="16" t="inlineStr">
        <is>
          <t>Violação de sigilo funcional</t>
        </is>
      </c>
      <c r="D279" s="7" t="n">
        <v>6</v>
      </c>
      <c r="E279" s="7" t="n">
        <v>24</v>
      </c>
      <c r="F279" s="7" t="inlineStr">
        <is>
          <t>Detenção</t>
        </is>
      </c>
      <c r="G279" s="7" t="inlineStr">
        <is>
          <t>Pública Incondicionada</t>
        </is>
      </c>
      <c r="H279" s="7" t="inlineStr">
        <is>
          <t>Não</t>
        </is>
      </c>
      <c r="I279" s="7" t="inlineStr">
        <is>
          <t>Doloso</t>
        </is>
      </c>
      <c r="J279" s="7" t="inlineStr">
        <is>
          <t>Sim</t>
        </is>
      </c>
      <c r="K279" s="7" t="inlineStr">
        <is>
          <t>Não</t>
        </is>
      </c>
      <c r="L279" s="7" t="inlineStr">
        <is>
          <t>Não</t>
        </is>
      </c>
      <c r="M279" s="7" t="inlineStr">
        <is>
          <t>Sim</t>
        </is>
      </c>
      <c r="N279" s="7" t="inlineStr">
        <is>
          <t>Sim</t>
        </is>
      </c>
      <c r="O279" s="7" t="inlineStr">
        <is>
          <t>Sim</t>
        </is>
      </c>
      <c r="P279" s="16" t="inlineStr">
        <is>
          <t>6 meses a 2 anos detenção ou multa. §1º: 3-8 anos reclusão se de sistemas de informações/banco de dados. §2º: se com divulgação de licitação, dano à administração ou vantagem: 3-8 anos reclusão</t>
        </is>
      </c>
    </row>
    <row r="280">
      <c r="A280" s="7" t="inlineStr">
        <is>
          <t>CP</t>
        </is>
      </c>
      <c r="B280" s="7" t="inlineStr">
        <is>
          <t>Art. 326</t>
        </is>
      </c>
      <c r="C280" s="16" t="inlineStr">
        <is>
          <t>Violação do sigilo de proposta de concorrência</t>
        </is>
      </c>
      <c r="D280" s="7" t="n">
        <v>3</v>
      </c>
      <c r="E280" s="7" t="n">
        <v>12</v>
      </c>
      <c r="F280" s="7" t="inlineStr">
        <is>
          <t>Detenção</t>
        </is>
      </c>
      <c r="G280" s="7" t="inlineStr">
        <is>
          <t>Pública Incondicionada</t>
        </is>
      </c>
      <c r="H280" s="7" t="inlineStr">
        <is>
          <t>Não</t>
        </is>
      </c>
      <c r="I280" s="7" t="inlineStr">
        <is>
          <t>Doloso</t>
        </is>
      </c>
      <c r="J280" s="7" t="inlineStr">
        <is>
          <t>Sim</t>
        </is>
      </c>
      <c r="K280" s="7" t="inlineStr">
        <is>
          <t>Não</t>
        </is>
      </c>
      <c r="L280" s="7" t="inlineStr">
        <is>
          <t>Não</t>
        </is>
      </c>
      <c r="M280" s="7" t="inlineStr">
        <is>
          <t>Sim</t>
        </is>
      </c>
      <c r="N280" s="7" t="inlineStr">
        <is>
          <t>Sim</t>
        </is>
      </c>
      <c r="O280" s="7" t="inlineStr">
        <is>
          <t>Sim</t>
        </is>
      </c>
      <c r="P280" s="16" t="inlineStr">
        <is>
          <t>3 meses a 1 ano detenção + multa</t>
        </is>
      </c>
    </row>
    <row r="281">
      <c r="A281" s="7" t="inlineStr">
        <is>
          <t>CP</t>
        </is>
      </c>
      <c r="B281" s="7" t="inlineStr">
        <is>
          <t>Art. 328</t>
        </is>
      </c>
      <c r="C281" s="16" t="inlineStr">
        <is>
          <t>Usurpação de função pública</t>
        </is>
      </c>
      <c r="D281" s="7" t="n">
        <v>3</v>
      </c>
      <c r="E281" s="7" t="n">
        <v>24</v>
      </c>
      <c r="F281" s="7" t="inlineStr">
        <is>
          <t>Detenção</t>
        </is>
      </c>
      <c r="G281" s="7" t="inlineStr">
        <is>
          <t>Pública Incondicionada</t>
        </is>
      </c>
      <c r="H281" s="7" t="inlineStr">
        <is>
          <t>Não</t>
        </is>
      </c>
      <c r="I281" s="7" t="inlineStr">
        <is>
          <t>Doloso</t>
        </is>
      </c>
      <c r="J281" s="7" t="inlineStr">
        <is>
          <t>Sim</t>
        </is>
      </c>
      <c r="K281" s="7" t="inlineStr">
        <is>
          <t>Não</t>
        </is>
      </c>
      <c r="L281" s="7" t="inlineStr">
        <is>
          <t>Não</t>
        </is>
      </c>
      <c r="M281" s="7" t="inlineStr">
        <is>
          <t>Sim</t>
        </is>
      </c>
      <c r="N281" s="7" t="inlineStr">
        <is>
          <t>Sim</t>
        </is>
      </c>
      <c r="O281" s="7" t="inlineStr">
        <is>
          <t>Sim</t>
        </is>
      </c>
      <c r="P281" s="16" t="inlineStr">
        <is>
          <t>3 meses a 2 anos detenção + multa. §único: 2-5 anos reclusão + multa se obtém vantagem</t>
        </is>
      </c>
    </row>
    <row r="282">
      <c r="A282" s="26" t="inlineStr">
        <is>
          <t>CP</t>
        </is>
      </c>
      <c r="B282" s="26" t="inlineStr">
        <is>
          <t>Art. 329</t>
        </is>
      </c>
      <c r="C282" s="27" t="inlineStr">
        <is>
          <t>Resistência</t>
        </is>
      </c>
      <c r="D282" s="26" t="n">
        <v>2</v>
      </c>
      <c r="E282" s="26" t="n">
        <v>24</v>
      </c>
      <c r="F282" s="26" t="inlineStr">
        <is>
          <t>Detenção</t>
        </is>
      </c>
      <c r="G282" s="26" t="inlineStr">
        <is>
          <t>Pública Incondicionada</t>
        </is>
      </c>
      <c r="H282" s="26" t="inlineStr">
        <is>
          <t>Não</t>
        </is>
      </c>
      <c r="I282" s="26" t="inlineStr">
        <is>
          <t>Doloso</t>
        </is>
      </c>
      <c r="J282" s="26" t="inlineStr">
        <is>
          <t>Sim</t>
        </is>
      </c>
      <c r="K282" s="26" t="inlineStr">
        <is>
          <t>Sim</t>
        </is>
      </c>
      <c r="L282" s="26" t="inlineStr">
        <is>
          <t>Sim</t>
        </is>
      </c>
      <c r="M282" s="26" t="inlineStr">
        <is>
          <t>Não</t>
        </is>
      </c>
      <c r="N282" s="26" t="inlineStr">
        <is>
          <t>Sim</t>
        </is>
      </c>
      <c r="O282" s="26" t="inlineStr">
        <is>
          <t>Sim</t>
        </is>
      </c>
      <c r="P282" s="27" t="inlineStr">
        <is>
          <t>2 meses a 2 anos detenção. §1º: 1-3 anos reclusão se emprego de arma (fora as penas da violência)</t>
        </is>
      </c>
    </row>
    <row r="283">
      <c r="A283" s="7" t="inlineStr">
        <is>
          <t>CP</t>
        </is>
      </c>
      <c r="B283" s="7" t="inlineStr">
        <is>
          <t>Art. 330</t>
        </is>
      </c>
      <c r="C283" s="16" t="inlineStr">
        <is>
          <t>Desobediência</t>
        </is>
      </c>
      <c r="D283" s="7" t="n">
        <v>15</v>
      </c>
      <c r="E283" s="7" t="n">
        <v>6</v>
      </c>
      <c r="F283" s="7" t="inlineStr">
        <is>
          <t>Detenção</t>
        </is>
      </c>
      <c r="G283" s="7" t="inlineStr">
        <is>
          <t>Pública Incondicionada</t>
        </is>
      </c>
      <c r="H283" s="7" t="inlineStr">
        <is>
          <t>Não</t>
        </is>
      </c>
      <c r="I283" s="7" t="inlineStr">
        <is>
          <t>Doloso</t>
        </is>
      </c>
      <c r="J283" s="7" t="inlineStr">
        <is>
          <t>Sim</t>
        </is>
      </c>
      <c r="K283" s="7" t="inlineStr">
        <is>
          <t>Não</t>
        </is>
      </c>
      <c r="L283" s="7" t="inlineStr">
        <is>
          <t>Não</t>
        </is>
      </c>
      <c r="M283" s="7" t="inlineStr">
        <is>
          <t>Sim</t>
        </is>
      </c>
      <c r="N283" s="7" t="inlineStr">
        <is>
          <t>Não</t>
        </is>
      </c>
      <c r="O283" s="7" t="inlineStr">
        <is>
          <t>Sim</t>
        </is>
      </c>
      <c r="P283" s="16" t="inlineStr">
        <is>
          <t>15 dias a 6 meses detenção ou multa</t>
        </is>
      </c>
    </row>
    <row r="284">
      <c r="A284" s="7" t="inlineStr">
        <is>
          <t>CP</t>
        </is>
      </c>
      <c r="B284" s="7" t="inlineStr">
        <is>
          <t>Art. 331</t>
        </is>
      </c>
      <c r="C284" s="16" t="inlineStr">
        <is>
          <t>Desacato</t>
        </is>
      </c>
      <c r="D284" s="7" t="n">
        <v>6</v>
      </c>
      <c r="E284" s="7" t="n">
        <v>24</v>
      </c>
      <c r="F284" s="7" t="inlineStr">
        <is>
          <t>Detenção</t>
        </is>
      </c>
      <c r="G284" s="7" t="inlineStr">
        <is>
          <t>Pública Incondicionada</t>
        </is>
      </c>
      <c r="H284" s="7" t="inlineStr">
        <is>
          <t>Não</t>
        </is>
      </c>
      <c r="I284" s="7" t="inlineStr">
        <is>
          <t>Doloso</t>
        </is>
      </c>
      <c r="J284" s="7" t="inlineStr">
        <is>
          <t>Sim</t>
        </is>
      </c>
      <c r="K284" s="7" t="inlineStr">
        <is>
          <t>Não</t>
        </is>
      </c>
      <c r="L284" s="7" t="inlineStr">
        <is>
          <t>Não</t>
        </is>
      </c>
      <c r="M284" s="7" t="inlineStr">
        <is>
          <t>Sim</t>
        </is>
      </c>
      <c r="N284" s="7" t="inlineStr">
        <is>
          <t>Sim</t>
        </is>
      </c>
      <c r="O284" s="7" t="inlineStr">
        <is>
          <t>Sim</t>
        </is>
      </c>
      <c r="P284" s="16" t="inlineStr">
        <is>
          <t>6 meses a 2 anos detenção ou multa. Desacatar funcionário público no exercício da função ou em razão dela</t>
        </is>
      </c>
    </row>
    <row r="285">
      <c r="A285" s="7" t="inlineStr">
        <is>
          <t>CP</t>
        </is>
      </c>
      <c r="B285" s="7" t="inlineStr">
        <is>
          <t>Art. 332</t>
        </is>
      </c>
      <c r="C285" s="16" t="inlineStr">
        <is>
          <t>Tráfico de influência</t>
        </is>
      </c>
      <c r="D285" s="7" t="n">
        <v>24</v>
      </c>
      <c r="E285" s="7" t="n">
        <v>60</v>
      </c>
      <c r="F285" s="7" t="inlineStr">
        <is>
          <t>Reclusão</t>
        </is>
      </c>
      <c r="G285" s="7" t="inlineStr">
        <is>
          <t>Pública Incondicionada</t>
        </is>
      </c>
      <c r="H285" s="7" t="inlineStr">
        <is>
          <t>Não</t>
        </is>
      </c>
      <c r="I285" s="7" t="inlineStr">
        <is>
          <t>Doloso</t>
        </is>
      </c>
      <c r="J285" s="7" t="inlineStr">
        <is>
          <t>Sim</t>
        </is>
      </c>
      <c r="K285" s="7" t="inlineStr">
        <is>
          <t>Não</t>
        </is>
      </c>
      <c r="L285" s="7" t="inlineStr">
        <is>
          <t>Não</t>
        </is>
      </c>
      <c r="M285" s="7" t="inlineStr">
        <is>
          <t>Sim</t>
        </is>
      </c>
      <c r="N285" s="7" t="inlineStr">
        <is>
          <t>Não</t>
        </is>
      </c>
      <c r="O285" s="7" t="inlineStr">
        <is>
          <t>Sim</t>
        </is>
      </c>
      <c r="P285" s="16" t="inlineStr">
        <is>
          <t>2-5 anos reclusão + multa. Solicitar/exigir/cobrar/obter vantagem sob pretexto de influir em ato de funcionário público. §único: +1/2 se alega que a vantagem é para o funcionário</t>
        </is>
      </c>
    </row>
    <row r="286">
      <c r="A286" s="7" t="inlineStr">
        <is>
          <t>CP</t>
        </is>
      </c>
      <c r="B286" s="7" t="inlineStr">
        <is>
          <t>Art. 333</t>
        </is>
      </c>
      <c r="C286" s="16" t="inlineStr">
        <is>
          <t>Corrupção ativa</t>
        </is>
      </c>
      <c r="D286" s="7" t="n">
        <v>24</v>
      </c>
      <c r="E286" s="7" t="n">
        <v>144</v>
      </c>
      <c r="F286" s="7" t="inlineStr">
        <is>
          <t>Reclusão</t>
        </is>
      </c>
      <c r="G286" s="7" t="inlineStr">
        <is>
          <t>Pública Incondicionada</t>
        </is>
      </c>
      <c r="H286" s="7" t="inlineStr">
        <is>
          <t>Não</t>
        </is>
      </c>
      <c r="I286" s="7" t="inlineStr">
        <is>
          <t>Doloso</t>
        </is>
      </c>
      <c r="J286" s="7" t="inlineStr">
        <is>
          <t>Sim</t>
        </is>
      </c>
      <c r="K286" s="7" t="inlineStr">
        <is>
          <t>Não</t>
        </is>
      </c>
      <c r="L286" s="7" t="inlineStr">
        <is>
          <t>Não</t>
        </is>
      </c>
      <c r="M286" s="7" t="inlineStr">
        <is>
          <t>Sim</t>
        </is>
      </c>
      <c r="N286" s="7" t="inlineStr">
        <is>
          <t>Não</t>
        </is>
      </c>
      <c r="O286" s="7" t="inlineStr">
        <is>
          <t>Sim</t>
        </is>
      </c>
      <c r="P286" s="16" t="inlineStr">
        <is>
          <t>2-12 anos reclusão + multa. Oferecer ou prometer vantagem indevida a funcionário público. §único: aumento de 1/3 se em razão da vantagem o funcionário retarda ou omite ato de ofício</t>
        </is>
      </c>
    </row>
    <row r="287">
      <c r="A287" s="7" t="inlineStr">
        <is>
          <t>CP</t>
        </is>
      </c>
      <c r="B287" s="7" t="inlineStr">
        <is>
          <t>Art. 334</t>
        </is>
      </c>
      <c r="C287" s="16" t="inlineStr">
        <is>
          <t>Contrabando</t>
        </is>
      </c>
      <c r="D287" s="7" t="n">
        <v>24</v>
      </c>
      <c r="E287" s="7" t="n">
        <v>60</v>
      </c>
      <c r="F287" s="7" t="inlineStr">
        <is>
          <t>Reclusão</t>
        </is>
      </c>
      <c r="G287" s="7" t="inlineStr">
        <is>
          <t>Pública Incondicionada</t>
        </is>
      </c>
      <c r="H287" s="7" t="inlineStr">
        <is>
          <t>Não</t>
        </is>
      </c>
      <c r="I287" s="7" t="inlineStr">
        <is>
          <t>Doloso</t>
        </is>
      </c>
      <c r="J287" s="7" t="inlineStr">
        <is>
          <t>Sim</t>
        </is>
      </c>
      <c r="K287" s="7" t="inlineStr">
        <is>
          <t>Não</t>
        </is>
      </c>
      <c r="L287" s="7" t="inlineStr">
        <is>
          <t>Não</t>
        </is>
      </c>
      <c r="M287" s="7" t="inlineStr">
        <is>
          <t>Sim</t>
        </is>
      </c>
      <c r="N287" s="7" t="inlineStr">
        <is>
          <t>Não</t>
        </is>
      </c>
      <c r="O287" s="7" t="inlineStr">
        <is>
          <t>Sim</t>
        </is>
      </c>
      <c r="P287" s="16" t="inlineStr">
        <is>
          <t>2-5 anos reclusão. Importar/exportar mercadoria proibida</t>
        </is>
      </c>
    </row>
    <row r="288">
      <c r="A288" s="7" t="inlineStr">
        <is>
          <t>CP</t>
        </is>
      </c>
      <c r="B288" s="7" t="inlineStr">
        <is>
          <t>Art. 334-A</t>
        </is>
      </c>
      <c r="C288" s="16" t="inlineStr">
        <is>
          <t>Descaminho</t>
        </is>
      </c>
      <c r="D288" s="7" t="n">
        <v>12</v>
      </c>
      <c r="E288" s="7" t="n">
        <v>48</v>
      </c>
      <c r="F288" s="7" t="inlineStr">
        <is>
          <t>Reclusão</t>
        </is>
      </c>
      <c r="G288" s="7" t="inlineStr">
        <is>
          <t>Pública Incondicionada</t>
        </is>
      </c>
      <c r="H288" s="7" t="inlineStr">
        <is>
          <t>Não</t>
        </is>
      </c>
      <c r="I288" s="7" t="inlineStr">
        <is>
          <t>Doloso</t>
        </is>
      </c>
      <c r="J288" s="7" t="inlineStr">
        <is>
          <t>Sim</t>
        </is>
      </c>
      <c r="K288" s="7" t="inlineStr">
        <is>
          <t>Não</t>
        </is>
      </c>
      <c r="L288" s="7" t="inlineStr">
        <is>
          <t>Não</t>
        </is>
      </c>
      <c r="M288" s="7" t="inlineStr">
        <is>
          <t>Sim</t>
        </is>
      </c>
      <c r="N288" s="7" t="inlineStr">
        <is>
          <t>Sim</t>
        </is>
      </c>
      <c r="O288" s="7" t="inlineStr">
        <is>
          <t>Sim</t>
        </is>
      </c>
      <c r="P288" s="16" t="inlineStr">
        <is>
          <t>1-4 anos reclusão. Iludir, no todo ou em parte, o pagamento de direito ou imposto devido pela entrada/saída/consumo de mercadoria. Princípio da insignificância: até R$20.000 (STJ/STF)</t>
        </is>
      </c>
    </row>
    <row r="289">
      <c r="A289" s="7" t="inlineStr">
        <is>
          <t>CP</t>
        </is>
      </c>
      <c r="B289" s="7" t="inlineStr">
        <is>
          <t>Art. 337-A</t>
        </is>
      </c>
      <c r="C289" s="16" t="inlineStr">
        <is>
          <t>Sonegação de contribuição previdenciária</t>
        </is>
      </c>
      <c r="D289" s="7" t="n">
        <v>24</v>
      </c>
      <c r="E289" s="7" t="n">
        <v>60</v>
      </c>
      <c r="F289" s="7" t="inlineStr">
        <is>
          <t>Reclusão</t>
        </is>
      </c>
      <c r="G289" s="7" t="inlineStr">
        <is>
          <t>Pública Incondicionada</t>
        </is>
      </c>
      <c r="H289" s="7" t="inlineStr">
        <is>
          <t>Não</t>
        </is>
      </c>
      <c r="I289" s="7" t="inlineStr">
        <is>
          <t>Doloso</t>
        </is>
      </c>
      <c r="J289" s="7" t="inlineStr">
        <is>
          <t>Sim</t>
        </is>
      </c>
      <c r="K289" s="7" t="inlineStr">
        <is>
          <t>Não</t>
        </is>
      </c>
      <c r="L289" s="7" t="inlineStr">
        <is>
          <t>Não</t>
        </is>
      </c>
      <c r="M289" s="7" t="inlineStr">
        <is>
          <t>Sim</t>
        </is>
      </c>
      <c r="N289" s="7" t="inlineStr">
        <is>
          <t>Não</t>
        </is>
      </c>
      <c r="O289" s="7" t="inlineStr">
        <is>
          <t>Sim</t>
        </is>
      </c>
      <c r="P289" s="16" t="inlineStr">
        <is>
          <t>2-5 anos reclusão + multa. Suprimir ou reduzir contribuição social previdenciária mediante conduta omissiva. §2º: extinta a punibilidade se declarado e pago integralmente antes do início da ação fiscal</t>
        </is>
      </c>
    </row>
    <row r="290">
      <c r="A290" s="7" t="inlineStr">
        <is>
          <t>CP</t>
        </is>
      </c>
      <c r="B290" s="7" t="inlineStr">
        <is>
          <t>Art. 337-B</t>
        </is>
      </c>
      <c r="C290" s="16" t="inlineStr">
        <is>
          <t>Corrupção ativa em transação comercial internacional</t>
        </is>
      </c>
      <c r="D290" s="7" t="n">
        <v>12</v>
      </c>
      <c r="E290" s="7" t="n">
        <v>96</v>
      </c>
      <c r="F290" s="7" t="inlineStr">
        <is>
          <t>Reclusão</t>
        </is>
      </c>
      <c r="G290" s="7" t="inlineStr">
        <is>
          <t>Pública Incondicionada</t>
        </is>
      </c>
      <c r="H290" s="7" t="inlineStr">
        <is>
          <t>Não</t>
        </is>
      </c>
      <c r="I290" s="7" t="inlineStr">
        <is>
          <t>Doloso</t>
        </is>
      </c>
      <c r="J290" s="7" t="inlineStr">
        <is>
          <t>Sim</t>
        </is>
      </c>
      <c r="K290" s="7" t="inlineStr">
        <is>
          <t>Não</t>
        </is>
      </c>
      <c r="L290" s="7" t="inlineStr">
        <is>
          <t>Não</t>
        </is>
      </c>
      <c r="M290" s="7" t="inlineStr">
        <is>
          <t>Sim</t>
        </is>
      </c>
      <c r="N290" s="7" t="inlineStr">
        <is>
          <t>Sim</t>
        </is>
      </c>
      <c r="O290" s="7" t="inlineStr">
        <is>
          <t>Sim</t>
        </is>
      </c>
      <c r="P290" s="16" t="inlineStr">
        <is>
          <t>1-8 anos reclusão + multa. Prometer/oferecer/dar vantagem indevida a funcionário público estrangeiro</t>
        </is>
      </c>
    </row>
    <row r="291">
      <c r="A291" s="7" t="inlineStr">
        <is>
          <t>CP</t>
        </is>
      </c>
      <c r="B291" s="7" t="inlineStr">
        <is>
          <t>Art. 337-C</t>
        </is>
      </c>
      <c r="C291" s="16" t="inlineStr">
        <is>
          <t>Tráfico de influência em transação comercial internacional</t>
        </is>
      </c>
      <c r="D291" s="7" t="n">
        <v>24</v>
      </c>
      <c r="E291" s="7" t="n">
        <v>60</v>
      </c>
      <c r="F291" s="7" t="inlineStr">
        <is>
          <t>Reclusão</t>
        </is>
      </c>
      <c r="G291" s="7" t="inlineStr">
        <is>
          <t>Pública Incondicionada</t>
        </is>
      </c>
      <c r="H291" s="7" t="inlineStr">
        <is>
          <t>Não</t>
        </is>
      </c>
      <c r="I291" s="7" t="inlineStr">
        <is>
          <t>Doloso</t>
        </is>
      </c>
      <c r="J291" s="7" t="inlineStr">
        <is>
          <t>Sim</t>
        </is>
      </c>
      <c r="K291" s="7" t="inlineStr">
        <is>
          <t>Não</t>
        </is>
      </c>
      <c r="L291" s="7" t="inlineStr">
        <is>
          <t>Não</t>
        </is>
      </c>
      <c r="M291" s="7" t="inlineStr">
        <is>
          <t>Sim</t>
        </is>
      </c>
      <c r="N291" s="7" t="inlineStr">
        <is>
          <t>Não</t>
        </is>
      </c>
      <c r="O291" s="7" t="inlineStr">
        <is>
          <t>Sim</t>
        </is>
      </c>
      <c r="P291" s="16" t="inlineStr">
        <is>
          <t>2-5 anos reclusão + multa</t>
        </is>
      </c>
    </row>
    <row r="292">
      <c r="A292" s="26" t="inlineStr">
        <is>
          <t>CP</t>
        </is>
      </c>
      <c r="B292" s="26" t="inlineStr">
        <is>
          <t>Art. 335</t>
        </is>
      </c>
      <c r="C292" s="27" t="inlineStr">
        <is>
          <t>Impedimento, perturbação ou fraude de concorrência</t>
        </is>
      </c>
      <c r="D292" s="26" t="n">
        <v>6</v>
      </c>
      <c r="E292" s="26" t="n">
        <v>24</v>
      </c>
      <c r="F292" s="26" t="inlineStr">
        <is>
          <t>Detenção</t>
        </is>
      </c>
      <c r="G292" s="26" t="inlineStr">
        <is>
          <t>Pública Incondicionada</t>
        </is>
      </c>
      <c r="H292" s="26" t="inlineStr">
        <is>
          <t>Não</t>
        </is>
      </c>
      <c r="I292" s="26" t="inlineStr">
        <is>
          <t>Doloso</t>
        </is>
      </c>
      <c r="J292" s="26" t="inlineStr">
        <is>
          <t>Sim</t>
        </is>
      </c>
      <c r="K292" s="26" t="inlineStr">
        <is>
          <t>Sim</t>
        </is>
      </c>
      <c r="L292" s="26" t="inlineStr">
        <is>
          <t>Sim</t>
        </is>
      </c>
      <c r="M292" s="26" t="inlineStr">
        <is>
          <t>Não</t>
        </is>
      </c>
      <c r="N292" s="26" t="inlineStr">
        <is>
          <t>Sim</t>
        </is>
      </c>
      <c r="O292" s="26" t="inlineStr">
        <is>
          <t>Sim</t>
        </is>
      </c>
      <c r="P292" s="27" t="inlineStr">
        <is>
          <t>6 meses a 2 anos detenção ou multa</t>
        </is>
      </c>
    </row>
    <row r="293">
      <c r="A293" s="7" t="inlineStr">
        <is>
          <t>CP</t>
        </is>
      </c>
      <c r="B293" s="7" t="inlineStr">
        <is>
          <t>Art. 336</t>
        </is>
      </c>
      <c r="C293" s="16" t="inlineStr">
        <is>
          <t>Inutilização de edital ou de sinal</t>
        </is>
      </c>
      <c r="D293" s="7" t="n">
        <v>1</v>
      </c>
      <c r="E293" s="7" t="n">
        <v>12</v>
      </c>
      <c r="F293" s="7" t="inlineStr">
        <is>
          <t>Detenção</t>
        </is>
      </c>
      <c r="G293" s="7" t="inlineStr">
        <is>
          <t>Pública Incondicionada</t>
        </is>
      </c>
      <c r="H293" s="7" t="inlineStr">
        <is>
          <t>Não</t>
        </is>
      </c>
      <c r="I293" s="7" t="inlineStr">
        <is>
          <t>Doloso</t>
        </is>
      </c>
      <c r="J293" s="7" t="inlineStr">
        <is>
          <t>Sim</t>
        </is>
      </c>
      <c r="K293" s="7" t="inlineStr">
        <is>
          <t>Não</t>
        </is>
      </c>
      <c r="L293" s="7" t="inlineStr">
        <is>
          <t>Não</t>
        </is>
      </c>
      <c r="M293" s="7" t="inlineStr">
        <is>
          <t>Sim</t>
        </is>
      </c>
      <c r="N293" s="7" t="inlineStr">
        <is>
          <t>Sim</t>
        </is>
      </c>
      <c r="O293" s="7" t="inlineStr">
        <is>
          <t>Sim</t>
        </is>
      </c>
      <c r="P293" s="16" t="inlineStr">
        <is>
          <t>1-12 meses detenção ou multa</t>
        </is>
      </c>
    </row>
    <row r="294">
      <c r="A294" s="7" t="inlineStr">
        <is>
          <t>CP</t>
        </is>
      </c>
      <c r="B294" s="7" t="inlineStr">
        <is>
          <t>Art. 337</t>
        </is>
      </c>
      <c r="C294" s="16" t="inlineStr">
        <is>
          <t>Subtração ou inutilização de livro ou documento</t>
        </is>
      </c>
      <c r="D294" s="7" t="n">
        <v>24</v>
      </c>
      <c r="E294" s="7" t="n">
        <v>60</v>
      </c>
      <c r="F294" s="7" t="inlineStr">
        <is>
          <t>Reclusão</t>
        </is>
      </c>
      <c r="G294" s="7" t="inlineStr">
        <is>
          <t>Pública Incondicionada</t>
        </is>
      </c>
      <c r="H294" s="7" t="inlineStr">
        <is>
          <t>Não</t>
        </is>
      </c>
      <c r="I294" s="7" t="inlineStr">
        <is>
          <t>Doloso</t>
        </is>
      </c>
      <c r="J294" s="7" t="inlineStr">
        <is>
          <t>Sim</t>
        </is>
      </c>
      <c r="K294" s="7" t="inlineStr">
        <is>
          <t>Não</t>
        </is>
      </c>
      <c r="L294" s="7" t="inlineStr">
        <is>
          <t>Não</t>
        </is>
      </c>
      <c r="M294" s="7" t="inlineStr">
        <is>
          <t>Sim</t>
        </is>
      </c>
      <c r="N294" s="7" t="inlineStr">
        <is>
          <t>Não</t>
        </is>
      </c>
      <c r="O294" s="7" t="inlineStr">
        <is>
          <t>Sim</t>
        </is>
      </c>
      <c r="P294" s="16" t="inlineStr">
        <is>
          <t>2-5 anos reclusão se documento em poder de funcionário</t>
        </is>
      </c>
    </row>
    <row r="295">
      <c r="A295" s="7" t="inlineStr">
        <is>
          <t>CP</t>
        </is>
      </c>
      <c r="B295" s="7" t="inlineStr">
        <is>
          <t>Art. 342</t>
        </is>
      </c>
      <c r="C295" s="16" t="inlineStr">
        <is>
          <t>Falso testemunho ou falsa perícia</t>
        </is>
      </c>
      <c r="D295" s="7" t="n">
        <v>24</v>
      </c>
      <c r="E295" s="7" t="n">
        <v>48</v>
      </c>
      <c r="F295" s="7" t="inlineStr">
        <is>
          <t>Reclusão</t>
        </is>
      </c>
      <c r="G295" s="7" t="inlineStr">
        <is>
          <t>Pública Incondicionada</t>
        </is>
      </c>
      <c r="H295" s="7" t="inlineStr">
        <is>
          <t>Não</t>
        </is>
      </c>
      <c r="I295" s="7" t="inlineStr">
        <is>
          <t>Doloso</t>
        </is>
      </c>
      <c r="J295" s="7" t="inlineStr">
        <is>
          <t>Sim</t>
        </is>
      </c>
      <c r="K295" s="7" t="inlineStr">
        <is>
          <t>Não</t>
        </is>
      </c>
      <c r="L295" s="7" t="inlineStr">
        <is>
          <t>Não</t>
        </is>
      </c>
      <c r="M295" s="7" t="inlineStr">
        <is>
          <t>Sim</t>
        </is>
      </c>
      <c r="N295" s="7" t="inlineStr">
        <is>
          <t>Não</t>
        </is>
      </c>
      <c r="O295" s="7" t="inlineStr">
        <is>
          <t>Sim</t>
        </is>
      </c>
      <c r="P295" s="16" t="inlineStr">
        <is>
          <t>2-4 anos reclusão + multa. §1º: +1/6 a +1/3 se mediante suborno. §2º: extinta a punibilidade se retratação antes da sentença. §3º: mesma pena para perito, intérprete, contador ou tradutor</t>
        </is>
      </c>
    </row>
    <row r="296">
      <c r="A296" s="7" t="inlineStr">
        <is>
          <t>CP</t>
        </is>
      </c>
      <c r="B296" s="7" t="inlineStr">
        <is>
          <t>Art. 343</t>
        </is>
      </c>
      <c r="C296" s="16" t="inlineStr">
        <is>
          <t>Corrupção ativa de testemunha, perito ou intérprete (suborno)</t>
        </is>
      </c>
      <c r="D296" s="7" t="n">
        <v>36</v>
      </c>
      <c r="E296" s="7" t="n">
        <v>48</v>
      </c>
      <c r="F296" s="7" t="inlineStr">
        <is>
          <t>Reclusão</t>
        </is>
      </c>
      <c r="G296" s="7" t="inlineStr">
        <is>
          <t>Pública Incondicionada</t>
        </is>
      </c>
      <c r="H296" s="7" t="inlineStr">
        <is>
          <t>Não</t>
        </is>
      </c>
      <c r="I296" s="7" t="inlineStr">
        <is>
          <t>Doloso</t>
        </is>
      </c>
      <c r="J296" s="7" t="inlineStr">
        <is>
          <t>Sim</t>
        </is>
      </c>
      <c r="K296" s="7" t="inlineStr">
        <is>
          <t>Não</t>
        </is>
      </c>
      <c r="L296" s="7" t="inlineStr">
        <is>
          <t>Não</t>
        </is>
      </c>
      <c r="M296" s="7" t="inlineStr">
        <is>
          <t>Sim</t>
        </is>
      </c>
      <c r="N296" s="7" t="inlineStr">
        <is>
          <t>Não</t>
        </is>
      </c>
      <c r="O296" s="7" t="inlineStr">
        <is>
          <t>Verificar</t>
        </is>
      </c>
      <c r="P296" s="16" t="inlineStr">
        <is>
          <t>3-4 anos reclusão + multa. +1/3 se a falsidade é cometida em processo penal</t>
        </is>
      </c>
    </row>
    <row r="297">
      <c r="A297" s="26" t="inlineStr">
        <is>
          <t>CP</t>
        </is>
      </c>
      <c r="B297" s="26" t="inlineStr">
        <is>
          <t>Art. 344</t>
        </is>
      </c>
      <c r="C297" s="27" t="inlineStr">
        <is>
          <t>Coação no curso do processo</t>
        </is>
      </c>
      <c r="D297" s="26" t="n">
        <v>12</v>
      </c>
      <c r="E297" s="26" t="n">
        <v>48</v>
      </c>
      <c r="F297" s="26" t="inlineStr">
        <is>
          <t>Reclusão</t>
        </is>
      </c>
      <c r="G297" s="26" t="inlineStr">
        <is>
          <t>Pública Incondicionada</t>
        </is>
      </c>
      <c r="H297" s="26" t="inlineStr">
        <is>
          <t>Não</t>
        </is>
      </c>
      <c r="I297" s="26" t="inlineStr">
        <is>
          <t>Doloso</t>
        </is>
      </c>
      <c r="J297" s="26" t="inlineStr">
        <is>
          <t>Sim</t>
        </is>
      </c>
      <c r="K297" s="26" t="inlineStr">
        <is>
          <t>Sim</t>
        </is>
      </c>
      <c r="L297" s="26" t="inlineStr">
        <is>
          <t>Sim</t>
        </is>
      </c>
      <c r="M297" s="26" t="inlineStr">
        <is>
          <t>Não</t>
        </is>
      </c>
      <c r="N297" s="26" t="inlineStr">
        <is>
          <t>Sim</t>
        </is>
      </c>
      <c r="O297" s="26" t="inlineStr">
        <is>
          <t>Sim</t>
        </is>
      </c>
      <c r="P297" s="27" t="inlineStr">
        <is>
          <t>1-4 anos reclusão + multa. Usar de violência ou grave ameaça com o fim de favorecer interesse próprio ou alheio contra autoridade, parte ou qualquer outra pessoa que funciona em processo</t>
        </is>
      </c>
    </row>
    <row r="298">
      <c r="A298" s="26" t="inlineStr">
        <is>
          <t>CP</t>
        </is>
      </c>
      <c r="B298" s="26" t="inlineStr">
        <is>
          <t>Art. 345</t>
        </is>
      </c>
      <c r="C298" s="27" t="inlineStr">
        <is>
          <t>Exercício arbitrário das próprias razões</t>
        </is>
      </c>
      <c r="D298" s="26" t="n">
        <v>15</v>
      </c>
      <c r="E298" s="26" t="n">
        <v>1</v>
      </c>
      <c r="F298" s="26" t="inlineStr">
        <is>
          <t>Detenção</t>
        </is>
      </c>
      <c r="G298" s="26" t="inlineStr">
        <is>
          <t>Ação Penal Privada</t>
        </is>
      </c>
      <c r="H298" s="26" t="inlineStr">
        <is>
          <t>Não</t>
        </is>
      </c>
      <c r="I298" s="26" t="inlineStr">
        <is>
          <t>Doloso</t>
        </is>
      </c>
      <c r="J298" s="26" t="inlineStr">
        <is>
          <t>Sim</t>
        </is>
      </c>
      <c r="K298" s="26" t="inlineStr">
        <is>
          <t>Sim</t>
        </is>
      </c>
      <c r="L298" s="26" t="inlineStr">
        <is>
          <t>Sim</t>
        </is>
      </c>
      <c r="M298" s="26" t="inlineStr">
        <is>
          <t>Não</t>
        </is>
      </c>
      <c r="N298" s="26" t="inlineStr">
        <is>
          <t>Não</t>
        </is>
      </c>
      <c r="O298" s="26" t="inlineStr">
        <is>
          <t>Sim</t>
        </is>
      </c>
      <c r="P298" s="27" t="inlineStr">
        <is>
          <t>15 dias a 1 mês detenção + multa. Fazer justiça pelas próprias mãos para satisfazer pretensão, embora legítima. Ação penal privada, salvo se emprego de violência: pública incondicionada</t>
        </is>
      </c>
    </row>
    <row r="299">
      <c r="A299" s="7" t="inlineStr">
        <is>
          <t>CP</t>
        </is>
      </c>
      <c r="B299" s="7" t="inlineStr">
        <is>
          <t>Art. 346</t>
        </is>
      </c>
      <c r="C299" s="16" t="inlineStr">
        <is>
          <t>Tirar, suprimir, destruir ou danificar coisa própria que se acha em poder de terceiro por determinação judicial ou convenção</t>
        </is>
      </c>
      <c r="D299" s="7" t="n">
        <v>6</v>
      </c>
      <c r="E299" s="7" t="n">
        <v>24</v>
      </c>
      <c r="F299" s="7" t="inlineStr">
        <is>
          <t>Detenção</t>
        </is>
      </c>
      <c r="G299" s="7" t="inlineStr">
        <is>
          <t>Pública Incondicionada</t>
        </is>
      </c>
      <c r="H299" s="7" t="inlineStr">
        <is>
          <t>Não</t>
        </is>
      </c>
      <c r="I299" s="7" t="inlineStr">
        <is>
          <t>Doloso</t>
        </is>
      </c>
      <c r="J299" s="7" t="inlineStr">
        <is>
          <t>Sim</t>
        </is>
      </c>
      <c r="K299" s="7" t="inlineStr">
        <is>
          <t>Não</t>
        </is>
      </c>
      <c r="L299" s="7" t="inlineStr">
        <is>
          <t>Não</t>
        </is>
      </c>
      <c r="M299" s="7" t="inlineStr">
        <is>
          <t>Sim</t>
        </is>
      </c>
      <c r="N299" s="7" t="inlineStr">
        <is>
          <t>Sim</t>
        </is>
      </c>
      <c r="O299" s="7" t="inlineStr">
        <is>
          <t>Sim</t>
        </is>
      </c>
      <c r="P299" s="16" t="inlineStr">
        <is>
          <t>6 meses a 2 anos detenção + multa</t>
        </is>
      </c>
    </row>
    <row r="300">
      <c r="A300" s="7" t="inlineStr">
        <is>
          <t>CP</t>
        </is>
      </c>
      <c r="B300" s="7" t="inlineStr">
        <is>
          <t>Art. 347</t>
        </is>
      </c>
      <c r="C300" s="16" t="inlineStr">
        <is>
          <t>Fraude processual</t>
        </is>
      </c>
      <c r="D300" s="7" t="n">
        <v>3</v>
      </c>
      <c r="E300" s="7" t="n">
        <v>24</v>
      </c>
      <c r="F300" s="7" t="inlineStr">
        <is>
          <t>Detenção</t>
        </is>
      </c>
      <c r="G300" s="7" t="inlineStr">
        <is>
          <t>Pública Incondicionada</t>
        </is>
      </c>
      <c r="H300" s="7" t="inlineStr">
        <is>
          <t>Não</t>
        </is>
      </c>
      <c r="I300" s="7" t="inlineStr">
        <is>
          <t>Doloso</t>
        </is>
      </c>
      <c r="J300" s="7" t="inlineStr">
        <is>
          <t>Sim</t>
        </is>
      </c>
      <c r="K300" s="7" t="inlineStr">
        <is>
          <t>Não</t>
        </is>
      </c>
      <c r="L300" s="7" t="inlineStr">
        <is>
          <t>Não</t>
        </is>
      </c>
      <c r="M300" s="7" t="inlineStr">
        <is>
          <t>Sim</t>
        </is>
      </c>
      <c r="N300" s="7" t="inlineStr">
        <is>
          <t>Sim</t>
        </is>
      </c>
      <c r="O300" s="7" t="inlineStr">
        <is>
          <t>Sim</t>
        </is>
      </c>
      <c r="P300" s="16" t="inlineStr">
        <is>
          <t>3 meses a 2 anos detenção + multa. Inovar artificiosamente, na pendência de processo civil ou administrativo, o estado de lugar/coisa/pessoa para induzir a erro o juiz ou perito. §único: pena em dobro se processo penal</t>
        </is>
      </c>
    </row>
    <row r="301">
      <c r="A301" s="7" t="inlineStr">
        <is>
          <t>CP</t>
        </is>
      </c>
      <c r="B301" s="7" t="inlineStr">
        <is>
          <t>Art. 348</t>
        </is>
      </c>
      <c r="C301" s="16" t="inlineStr">
        <is>
          <t>Favorecimento pessoal</t>
        </is>
      </c>
      <c r="D301" s="7" t="n">
        <v>1</v>
      </c>
      <c r="E301" s="7" t="n">
        <v>6</v>
      </c>
      <c r="F301" s="7" t="inlineStr">
        <is>
          <t>Detenção</t>
        </is>
      </c>
      <c r="G301" s="7" t="inlineStr">
        <is>
          <t>Pública Incondicionada</t>
        </is>
      </c>
      <c r="H301" s="7" t="inlineStr">
        <is>
          <t>Não</t>
        </is>
      </c>
      <c r="I301" s="7" t="inlineStr">
        <is>
          <t>Doloso</t>
        </is>
      </c>
      <c r="J301" s="7" t="inlineStr">
        <is>
          <t>Sim</t>
        </is>
      </c>
      <c r="K301" s="7" t="inlineStr">
        <is>
          <t>Não</t>
        </is>
      </c>
      <c r="L301" s="7" t="inlineStr">
        <is>
          <t>Não</t>
        </is>
      </c>
      <c r="M301" s="7" t="inlineStr">
        <is>
          <t>Sim</t>
        </is>
      </c>
      <c r="N301" s="7" t="inlineStr">
        <is>
          <t>Sim</t>
        </is>
      </c>
      <c r="O301" s="7" t="inlineStr">
        <is>
          <t>Sim</t>
        </is>
      </c>
      <c r="P301" s="16" t="inlineStr">
        <is>
          <t>1-6 meses detenção + multa. Auxiliar a subtrair-se à ação de autoridade pública. §1º: 3m-1a + multa se a infração a que se refere é apenada com reclusão. §2º: não se aplica a quem presta auxílio a ascendente/descendente/cônjuge/irmão</t>
        </is>
      </c>
    </row>
    <row r="302">
      <c r="A302" s="7" t="inlineStr">
        <is>
          <t>CP</t>
        </is>
      </c>
      <c r="B302" s="7" t="inlineStr">
        <is>
          <t>Art. 349</t>
        </is>
      </c>
      <c r="C302" s="16" t="inlineStr">
        <is>
          <t>Favorecimento real</t>
        </is>
      </c>
      <c r="D302" s="7" t="n">
        <v>1</v>
      </c>
      <c r="E302" s="7" t="n">
        <v>6</v>
      </c>
      <c r="F302" s="7" t="inlineStr">
        <is>
          <t>Detenção</t>
        </is>
      </c>
      <c r="G302" s="7" t="inlineStr">
        <is>
          <t>Pública Incondicionada</t>
        </is>
      </c>
      <c r="H302" s="7" t="inlineStr">
        <is>
          <t>Não</t>
        </is>
      </c>
      <c r="I302" s="7" t="inlineStr">
        <is>
          <t>Doloso</t>
        </is>
      </c>
      <c r="J302" s="7" t="inlineStr">
        <is>
          <t>Sim</t>
        </is>
      </c>
      <c r="K302" s="7" t="inlineStr">
        <is>
          <t>Não</t>
        </is>
      </c>
      <c r="L302" s="7" t="inlineStr">
        <is>
          <t>Não</t>
        </is>
      </c>
      <c r="M302" s="7" t="inlineStr">
        <is>
          <t>Sim</t>
        </is>
      </c>
      <c r="N302" s="7" t="inlineStr">
        <is>
          <t>Sim</t>
        </is>
      </c>
      <c r="O302" s="7" t="inlineStr">
        <is>
          <t>Sim</t>
        </is>
      </c>
      <c r="P302" s="16" t="inlineStr">
        <is>
          <t>1-6 meses detenção + multa. Prestar a criminoso, fora dos casos de coautoria ou receptação, auxílio destinado a tornar seguro o proveito do crime</t>
        </is>
      </c>
    </row>
    <row r="303">
      <c r="A303" s="7" t="inlineStr">
        <is>
          <t>CP</t>
        </is>
      </c>
      <c r="B303" s="7" t="inlineStr">
        <is>
          <t>Art. 349-A</t>
        </is>
      </c>
      <c r="C303" s="16" t="inlineStr">
        <is>
          <t>Ingresso de aparelho telefônico de comunicação móvel em estabelecimento prisional</t>
        </is>
      </c>
      <c r="D303" s="7" t="n">
        <v>3</v>
      </c>
      <c r="E303" s="7" t="n">
        <v>12</v>
      </c>
      <c r="F303" s="7" t="inlineStr">
        <is>
          <t>Detenção</t>
        </is>
      </c>
      <c r="G303" s="7" t="inlineStr">
        <is>
          <t>Pública Incondicionada</t>
        </is>
      </c>
      <c r="H303" s="7" t="inlineStr">
        <is>
          <t>Não</t>
        </is>
      </c>
      <c r="I303" s="7" t="inlineStr">
        <is>
          <t>Doloso</t>
        </is>
      </c>
      <c r="J303" s="7" t="inlineStr">
        <is>
          <t>Sim</t>
        </is>
      </c>
      <c r="K303" s="7" t="inlineStr">
        <is>
          <t>Não</t>
        </is>
      </c>
      <c r="L303" s="7" t="inlineStr">
        <is>
          <t>Não</t>
        </is>
      </c>
      <c r="M303" s="7" t="inlineStr">
        <is>
          <t>Sim</t>
        </is>
      </c>
      <c r="N303" s="7" t="inlineStr">
        <is>
          <t>Sim</t>
        </is>
      </c>
      <c r="O303" s="7" t="inlineStr">
        <is>
          <t>Sim</t>
        </is>
      </c>
      <c r="P303" s="16" t="inlineStr">
        <is>
          <t>3-12 meses detenção. Ingressar, promover/facilitar/auxiliar/permitir o ingresso de aparelho telefônico de comunicação móvel/rádio/similar em estabelecimento prisional</t>
        </is>
      </c>
    </row>
    <row r="304">
      <c r="A304" s="7" t="inlineStr">
        <is>
          <t>CP</t>
        </is>
      </c>
      <c r="B304" s="7" t="inlineStr">
        <is>
          <t>Art. 351</t>
        </is>
      </c>
      <c r="C304" s="16" t="inlineStr">
        <is>
          <t>Fuga de pessoa presa ou submetida a medida de segurança</t>
        </is>
      </c>
      <c r="D304" s="7" t="n">
        <v>6</v>
      </c>
      <c r="E304" s="7" t="n">
        <v>24</v>
      </c>
      <c r="F304" s="7" t="inlineStr">
        <is>
          <t>Detenção</t>
        </is>
      </c>
      <c r="G304" s="7" t="inlineStr">
        <is>
          <t>Pública Incondicionada</t>
        </is>
      </c>
      <c r="H304" s="7" t="inlineStr">
        <is>
          <t>Não</t>
        </is>
      </c>
      <c r="I304" s="7" t="inlineStr">
        <is>
          <t>Doloso</t>
        </is>
      </c>
      <c r="J304" s="7" t="inlineStr">
        <is>
          <t>Sim</t>
        </is>
      </c>
      <c r="K304" s="7" t="inlineStr">
        <is>
          <t>Não</t>
        </is>
      </c>
      <c r="L304" s="7" t="inlineStr">
        <is>
          <t>Não</t>
        </is>
      </c>
      <c r="M304" s="7" t="inlineStr">
        <is>
          <t>Sim</t>
        </is>
      </c>
      <c r="N304" s="7" t="inlineStr">
        <is>
          <t>Sim</t>
        </is>
      </c>
      <c r="O304" s="7" t="inlineStr">
        <is>
          <t>Sim</t>
        </is>
      </c>
      <c r="P304" s="16" t="inlineStr">
        <is>
          <t>6 meses a 2 anos detenção. §1º: 1-4 anos reclusão se emprego de violência ou arma. §3º: culposo: 3m-1a detenção</t>
        </is>
      </c>
    </row>
    <row r="305">
      <c r="A305" s="26" t="inlineStr">
        <is>
          <t>CP</t>
        </is>
      </c>
      <c r="B305" s="26" t="inlineStr">
        <is>
          <t>Art. 352</t>
        </is>
      </c>
      <c r="C305" s="27" t="inlineStr">
        <is>
          <t>Evasão mediante violência contra a pessoa</t>
        </is>
      </c>
      <c r="D305" s="26" t="n">
        <v>3</v>
      </c>
      <c r="E305" s="26" t="n">
        <v>12</v>
      </c>
      <c r="F305" s="26" t="inlineStr">
        <is>
          <t>Detenção</t>
        </is>
      </c>
      <c r="G305" s="26" t="inlineStr">
        <is>
          <t>Pública Incondicionada</t>
        </is>
      </c>
      <c r="H305" s="26" t="inlineStr">
        <is>
          <t>Não</t>
        </is>
      </c>
      <c r="I305" s="26" t="inlineStr">
        <is>
          <t>Doloso</t>
        </is>
      </c>
      <c r="J305" s="26" t="inlineStr">
        <is>
          <t>Sim</t>
        </is>
      </c>
      <c r="K305" s="26" t="inlineStr">
        <is>
          <t>Sim</t>
        </is>
      </c>
      <c r="L305" s="26" t="inlineStr">
        <is>
          <t>Não</t>
        </is>
      </c>
      <c r="M305" s="26" t="inlineStr">
        <is>
          <t>Não</t>
        </is>
      </c>
      <c r="N305" s="26" t="inlineStr">
        <is>
          <t>Sim</t>
        </is>
      </c>
      <c r="O305" s="26" t="inlineStr">
        <is>
          <t>Sim</t>
        </is>
      </c>
      <c r="P305" s="27" t="inlineStr">
        <is>
          <t>3 meses a 1 ano detenção, além da pena correspondente à violência. Evadir-se ou tentar evadir-se o preso usando de violência contra a pessoa</t>
        </is>
      </c>
    </row>
    <row r="306">
      <c r="A306" s="26" t="inlineStr">
        <is>
          <t>CP</t>
        </is>
      </c>
      <c r="B306" s="26" t="inlineStr">
        <is>
          <t>Art. 353</t>
        </is>
      </c>
      <c r="C306" s="27" t="inlineStr">
        <is>
          <t>Arrebatamento de preso</t>
        </is>
      </c>
      <c r="D306" s="26" t="n">
        <v>12</v>
      </c>
      <c r="E306" s="26" t="n">
        <v>36</v>
      </c>
      <c r="F306" s="26" t="inlineStr">
        <is>
          <t>Reclusão</t>
        </is>
      </c>
      <c r="G306" s="26" t="inlineStr">
        <is>
          <t>Pública Incondicionada</t>
        </is>
      </c>
      <c r="H306" s="26" t="inlineStr">
        <is>
          <t>Não</t>
        </is>
      </c>
      <c r="I306" s="26" t="inlineStr">
        <is>
          <t>Doloso</t>
        </is>
      </c>
      <c r="J306" s="26" t="inlineStr">
        <is>
          <t>Sim</t>
        </is>
      </c>
      <c r="K306" s="26" t="inlineStr">
        <is>
          <t>Sim</t>
        </is>
      </c>
      <c r="L306" s="26" t="inlineStr">
        <is>
          <t>Sim</t>
        </is>
      </c>
      <c r="M306" s="26" t="inlineStr">
        <is>
          <t>Não</t>
        </is>
      </c>
      <c r="N306" s="26" t="inlineStr">
        <is>
          <t>Sim</t>
        </is>
      </c>
      <c r="O306" s="26" t="inlineStr">
        <is>
          <t>Sim</t>
        </is>
      </c>
      <c r="P306" s="27" t="inlineStr">
        <is>
          <t>1-3 anos reclusão</t>
        </is>
      </c>
    </row>
    <row r="307">
      <c r="A307" s="26" t="inlineStr">
        <is>
          <t>CP</t>
        </is>
      </c>
      <c r="B307" s="26" t="inlineStr">
        <is>
          <t>Art. 354</t>
        </is>
      </c>
      <c r="C307" s="27" t="inlineStr">
        <is>
          <t>Motim de presos</t>
        </is>
      </c>
      <c r="D307" s="26" t="n">
        <v>6</v>
      </c>
      <c r="E307" s="26" t="n">
        <v>24</v>
      </c>
      <c r="F307" s="26" t="inlineStr">
        <is>
          <t>Detenção</t>
        </is>
      </c>
      <c r="G307" s="26" t="inlineStr">
        <is>
          <t>Pública Incondicionada</t>
        </is>
      </c>
      <c r="H307" s="26" t="inlineStr">
        <is>
          <t>Não</t>
        </is>
      </c>
      <c r="I307" s="26" t="inlineStr">
        <is>
          <t>Doloso</t>
        </is>
      </c>
      <c r="J307" s="26" t="inlineStr">
        <is>
          <t>Sim</t>
        </is>
      </c>
      <c r="K307" s="26" t="inlineStr">
        <is>
          <t>Sim</t>
        </is>
      </c>
      <c r="L307" s="26" t="inlineStr">
        <is>
          <t>Não</t>
        </is>
      </c>
      <c r="M307" s="26" t="inlineStr">
        <is>
          <t>Não</t>
        </is>
      </c>
      <c r="N307" s="26" t="inlineStr">
        <is>
          <t>Sim</t>
        </is>
      </c>
      <c r="O307" s="26" t="inlineStr">
        <is>
          <t>Sim</t>
        </is>
      </c>
      <c r="P307" s="27" t="inlineStr">
        <is>
          <t>6 meses a 2 anos detenção. Amotinarem-se presos, perturbando a ordem ou disciplina da prisão</t>
        </is>
      </c>
    </row>
    <row r="308">
      <c r="A308" s="7" t="inlineStr">
        <is>
          <t>CP</t>
        </is>
      </c>
      <c r="B308" s="7" t="inlineStr">
        <is>
          <t>Art. 355</t>
        </is>
      </c>
      <c r="C308" s="16" t="inlineStr">
        <is>
          <t>Patrocínio infiel</t>
        </is>
      </c>
      <c r="D308" s="7" t="n">
        <v>6</v>
      </c>
      <c r="E308" s="7" t="n">
        <v>36</v>
      </c>
      <c r="F308" s="7" t="inlineStr">
        <is>
          <t>Detenção</t>
        </is>
      </c>
      <c r="G308" s="7" t="inlineStr">
        <is>
          <t>Pública Incondicionada</t>
        </is>
      </c>
      <c r="H308" s="7" t="inlineStr">
        <is>
          <t>Não</t>
        </is>
      </c>
      <c r="I308" s="7" t="inlineStr">
        <is>
          <t>Doloso</t>
        </is>
      </c>
      <c r="J308" s="7" t="inlineStr">
        <is>
          <t>Sim</t>
        </is>
      </c>
      <c r="K308" s="7" t="inlineStr">
        <is>
          <t>Não</t>
        </is>
      </c>
      <c r="L308" s="7" t="inlineStr">
        <is>
          <t>Não</t>
        </is>
      </c>
      <c r="M308" s="7" t="inlineStr">
        <is>
          <t>Sim</t>
        </is>
      </c>
      <c r="N308" s="7" t="inlineStr">
        <is>
          <t>Sim</t>
        </is>
      </c>
      <c r="O308" s="7" t="inlineStr">
        <is>
          <t>Sim</t>
        </is>
      </c>
      <c r="P308" s="16" t="inlineStr">
        <is>
          <t>6 meses a 3 anos detenção + multa. Crime próprio de advogado/procurador. §único: tergiversação (patrocinar simultaneamente interesses contrários)</t>
        </is>
      </c>
    </row>
    <row r="309">
      <c r="A309" s="7" t="inlineStr">
        <is>
          <t>CP</t>
        </is>
      </c>
      <c r="B309" s="7" t="inlineStr">
        <is>
          <t>Art. 356</t>
        </is>
      </c>
      <c r="C309" s="16" t="inlineStr">
        <is>
          <t>Sonegação de papel ou objeto de valor probatório</t>
        </is>
      </c>
      <c r="D309" s="7" t="n">
        <v>6</v>
      </c>
      <c r="E309" s="7" t="n">
        <v>36</v>
      </c>
      <c r="F309" s="7" t="inlineStr">
        <is>
          <t>Detenção</t>
        </is>
      </c>
      <c r="G309" s="7" t="inlineStr">
        <is>
          <t>Pública Incondicionada</t>
        </is>
      </c>
      <c r="H309" s="7" t="inlineStr">
        <is>
          <t>Não</t>
        </is>
      </c>
      <c r="I309" s="7" t="inlineStr">
        <is>
          <t>Doloso</t>
        </is>
      </c>
      <c r="J309" s="7" t="inlineStr">
        <is>
          <t>Sim</t>
        </is>
      </c>
      <c r="K309" s="7" t="inlineStr">
        <is>
          <t>Não</t>
        </is>
      </c>
      <c r="L309" s="7" t="inlineStr">
        <is>
          <t>Não</t>
        </is>
      </c>
      <c r="M309" s="7" t="inlineStr">
        <is>
          <t>Sim</t>
        </is>
      </c>
      <c r="N309" s="7" t="inlineStr">
        <is>
          <t>Sim</t>
        </is>
      </c>
      <c r="O309" s="7" t="inlineStr">
        <is>
          <t>Sim</t>
        </is>
      </c>
      <c r="P309" s="16" t="inlineStr">
        <is>
          <t>6 meses a 3 anos detenção + multa. Crime próprio de advogado/procurador. Inutilizar, no todo ou em parte, ou deixar de restituir autos, documento ou objeto de valor probatório</t>
        </is>
      </c>
    </row>
    <row r="310">
      <c r="A310" s="7" t="inlineStr">
        <is>
          <t>CP</t>
        </is>
      </c>
      <c r="B310" s="7" t="inlineStr">
        <is>
          <t>Art. 357</t>
        </is>
      </c>
      <c r="C310" s="16" t="inlineStr">
        <is>
          <t>Exploração de prestígio</t>
        </is>
      </c>
      <c r="D310" s="7" t="n">
        <v>12</v>
      </c>
      <c r="E310" s="7" t="n">
        <v>60</v>
      </c>
      <c r="F310" s="7" t="inlineStr">
        <is>
          <t>Reclusão</t>
        </is>
      </c>
      <c r="G310" s="7" t="inlineStr">
        <is>
          <t>Pública Incondicionada</t>
        </is>
      </c>
      <c r="H310" s="7" t="inlineStr">
        <is>
          <t>Não</t>
        </is>
      </c>
      <c r="I310" s="7" t="inlineStr">
        <is>
          <t>Doloso</t>
        </is>
      </c>
      <c r="J310" s="7" t="inlineStr">
        <is>
          <t>Sim</t>
        </is>
      </c>
      <c r="K310" s="7" t="inlineStr">
        <is>
          <t>Não</t>
        </is>
      </c>
      <c r="L310" s="7" t="inlineStr">
        <is>
          <t>Não</t>
        </is>
      </c>
      <c r="M310" s="7" t="inlineStr">
        <is>
          <t>Sim</t>
        </is>
      </c>
      <c r="N310" s="7" t="inlineStr">
        <is>
          <t>Sim</t>
        </is>
      </c>
      <c r="O310" s="7" t="inlineStr">
        <is>
          <t>Sim</t>
        </is>
      </c>
      <c r="P310" s="16" t="inlineStr">
        <is>
          <t>1-5 anos reclusão + multa. Solicitar/receber dinheiro/utilidade a pretexto de influir em juiz, jurado, órgão do MP, funcionário de justiça, perito, testemunha, intérprete. §único: aumento de 1/3 se alega que a vantagem é para algum desses</t>
        </is>
      </c>
    </row>
    <row r="311">
      <c r="A311" s="7" t="inlineStr">
        <is>
          <t>CP</t>
        </is>
      </c>
      <c r="B311" s="7" t="inlineStr">
        <is>
          <t>Art. 358</t>
        </is>
      </c>
      <c r="C311" s="16" t="inlineStr">
        <is>
          <t>Fraude em arrematação judicial</t>
        </is>
      </c>
      <c r="D311" s="7" t="n">
        <v>2</v>
      </c>
      <c r="E311" s="7" t="n">
        <v>6</v>
      </c>
      <c r="F311" s="7" t="inlineStr">
        <is>
          <t>Detenção</t>
        </is>
      </c>
      <c r="G311" s="7" t="inlineStr">
        <is>
          <t>Pública Incondicionada</t>
        </is>
      </c>
      <c r="H311" s="7" t="inlineStr">
        <is>
          <t>Não</t>
        </is>
      </c>
      <c r="I311" s="7" t="inlineStr">
        <is>
          <t>Doloso</t>
        </is>
      </c>
      <c r="J311" s="7" t="inlineStr">
        <is>
          <t>Sim</t>
        </is>
      </c>
      <c r="K311" s="7" t="inlineStr">
        <is>
          <t>Não</t>
        </is>
      </c>
      <c r="L311" s="7" t="inlineStr">
        <is>
          <t>Não</t>
        </is>
      </c>
      <c r="M311" s="7" t="inlineStr">
        <is>
          <t>Sim</t>
        </is>
      </c>
      <c r="N311" s="7" t="inlineStr">
        <is>
          <t>Sim</t>
        </is>
      </c>
      <c r="O311" s="7" t="inlineStr">
        <is>
          <t>Sim</t>
        </is>
      </c>
      <c r="P311" s="16" t="inlineStr">
        <is>
          <t>2-6 meses detenção ou multa. Afastar ou procurar afastar concorrente ou licitante, mediante violência, grave ameaça, fraude ou oferecimento de vantagem</t>
        </is>
      </c>
    </row>
    <row r="312">
      <c r="A312" s="7" t="inlineStr">
        <is>
          <t>CP</t>
        </is>
      </c>
      <c r="B312" s="7" t="inlineStr">
        <is>
          <t>Art. 359</t>
        </is>
      </c>
      <c r="C312" s="16" t="inlineStr">
        <is>
          <t>Desobediência a decisão judicial sobre perda ou suspensão de direito</t>
        </is>
      </c>
      <c r="D312" s="7" t="n">
        <v>3</v>
      </c>
      <c r="E312" s="7" t="n">
        <v>12</v>
      </c>
      <c r="F312" s="7" t="inlineStr">
        <is>
          <t>Detenção</t>
        </is>
      </c>
      <c r="G312" s="7" t="inlineStr">
        <is>
          <t>Pública Incondicionada</t>
        </is>
      </c>
      <c r="H312" s="7" t="inlineStr">
        <is>
          <t>Não</t>
        </is>
      </c>
      <c r="I312" s="7" t="inlineStr">
        <is>
          <t>Doloso</t>
        </is>
      </c>
      <c r="J312" s="7" t="inlineStr">
        <is>
          <t>Sim</t>
        </is>
      </c>
      <c r="K312" s="7" t="inlineStr">
        <is>
          <t>Não</t>
        </is>
      </c>
      <c r="L312" s="7" t="inlineStr">
        <is>
          <t>Não</t>
        </is>
      </c>
      <c r="M312" s="7" t="inlineStr">
        <is>
          <t>Sim</t>
        </is>
      </c>
      <c r="N312" s="7" t="inlineStr">
        <is>
          <t>Sim</t>
        </is>
      </c>
      <c r="O312" s="7" t="inlineStr">
        <is>
          <t>Sim</t>
        </is>
      </c>
      <c r="P312" s="16" t="inlineStr">
        <is>
          <t>3 meses a 1 ano detenção</t>
        </is>
      </c>
    </row>
    <row r="313">
      <c r="A313" s="7" t="inlineStr">
        <is>
          <t>CP</t>
        </is>
      </c>
      <c r="B313" s="7" t="inlineStr">
        <is>
          <t>Art. 359-A</t>
        </is>
      </c>
      <c r="C313" s="16" t="inlineStr">
        <is>
          <t>Contratação de operação de crédito sem autorização legislativa</t>
        </is>
      </c>
      <c r="D313" s="7" t="n">
        <v>12</v>
      </c>
      <c r="E313" s="7" t="n">
        <v>24</v>
      </c>
      <c r="F313" s="7" t="inlineStr">
        <is>
          <t>Reclusão</t>
        </is>
      </c>
      <c r="G313" s="7" t="inlineStr">
        <is>
          <t>Pública Incondicionada</t>
        </is>
      </c>
      <c r="H313" s="7" t="inlineStr">
        <is>
          <t>Não</t>
        </is>
      </c>
      <c r="I313" s="7" t="inlineStr">
        <is>
          <t>Doloso</t>
        </is>
      </c>
      <c r="J313" s="7" t="inlineStr">
        <is>
          <t>Sim</t>
        </is>
      </c>
      <c r="K313" s="7" t="inlineStr">
        <is>
          <t>Não</t>
        </is>
      </c>
      <c r="L313" s="7" t="inlineStr">
        <is>
          <t>Não</t>
        </is>
      </c>
      <c r="M313" s="7" t="inlineStr">
        <is>
          <t>Sim</t>
        </is>
      </c>
      <c r="N313" s="7" t="inlineStr">
        <is>
          <t>Sim</t>
        </is>
      </c>
      <c r="O313" s="7" t="inlineStr">
        <is>
          <t>Sim</t>
        </is>
      </c>
      <c r="P313" s="16" t="inlineStr">
        <is>
          <t>1-2 anos reclusão</t>
        </is>
      </c>
    </row>
    <row r="314">
      <c r="A314" s="7" t="inlineStr">
        <is>
          <t>CP</t>
        </is>
      </c>
      <c r="B314" s="7" t="inlineStr">
        <is>
          <t>Art. 359-B</t>
        </is>
      </c>
      <c r="C314" s="16" t="inlineStr">
        <is>
          <t>Inscrição de despesas não empenhadas em restos a pagar</t>
        </is>
      </c>
      <c r="D314" s="7" t="n">
        <v>6</v>
      </c>
      <c r="E314" s="7" t="n">
        <v>24</v>
      </c>
      <c r="F314" s="7" t="inlineStr">
        <is>
          <t>Detenção</t>
        </is>
      </c>
      <c r="G314" s="7" t="inlineStr">
        <is>
          <t>Pública Incondicionada</t>
        </is>
      </c>
      <c r="H314" s="7" t="inlineStr">
        <is>
          <t>Não</t>
        </is>
      </c>
      <c r="I314" s="7" t="inlineStr">
        <is>
          <t>Doloso</t>
        </is>
      </c>
      <c r="J314" s="7" t="inlineStr">
        <is>
          <t>Sim</t>
        </is>
      </c>
      <c r="K314" s="7" t="inlineStr">
        <is>
          <t>Não</t>
        </is>
      </c>
      <c r="L314" s="7" t="inlineStr">
        <is>
          <t>Não</t>
        </is>
      </c>
      <c r="M314" s="7" t="inlineStr">
        <is>
          <t>Sim</t>
        </is>
      </c>
      <c r="N314" s="7" t="inlineStr">
        <is>
          <t>Sim</t>
        </is>
      </c>
      <c r="O314" s="7" t="inlineStr">
        <is>
          <t>Sim</t>
        </is>
      </c>
      <c r="P314" s="16" t="inlineStr">
        <is>
          <t>6 meses a 2 anos detenção</t>
        </is>
      </c>
    </row>
    <row r="315">
      <c r="A315" s="7" t="inlineStr">
        <is>
          <t>CP</t>
        </is>
      </c>
      <c r="B315" s="7" t="inlineStr">
        <is>
          <t>Art. 359-C</t>
        </is>
      </c>
      <c r="C315" s="16" t="inlineStr">
        <is>
          <t>Assunção de obrigação no último ano do mandato ou legislatura</t>
        </is>
      </c>
      <c r="D315" s="7" t="n">
        <v>12</v>
      </c>
      <c r="E315" s="7" t="n">
        <v>48</v>
      </c>
      <c r="F315" s="7" t="inlineStr">
        <is>
          <t>Reclusão</t>
        </is>
      </c>
      <c r="G315" s="7" t="inlineStr">
        <is>
          <t>Pública Incondicionada</t>
        </is>
      </c>
      <c r="H315" s="7" t="inlineStr">
        <is>
          <t>Não</t>
        </is>
      </c>
      <c r="I315" s="7" t="inlineStr">
        <is>
          <t>Doloso</t>
        </is>
      </c>
      <c r="J315" s="7" t="inlineStr">
        <is>
          <t>Sim</t>
        </is>
      </c>
      <c r="K315" s="7" t="inlineStr">
        <is>
          <t>Não</t>
        </is>
      </c>
      <c r="L315" s="7" t="inlineStr">
        <is>
          <t>Não</t>
        </is>
      </c>
      <c r="M315" s="7" t="inlineStr">
        <is>
          <t>Sim</t>
        </is>
      </c>
      <c r="N315" s="7" t="inlineStr">
        <is>
          <t>Sim</t>
        </is>
      </c>
      <c r="O315" s="7" t="inlineStr">
        <is>
          <t>Sim</t>
        </is>
      </c>
      <c r="P315" s="16" t="inlineStr">
        <is>
          <t>1-4 anos reclusão</t>
        </is>
      </c>
    </row>
    <row r="316">
      <c r="A316" s="7" t="inlineStr">
        <is>
          <t>CP</t>
        </is>
      </c>
      <c r="B316" s="7" t="inlineStr">
        <is>
          <t>Art. 359-D</t>
        </is>
      </c>
      <c r="C316" s="16" t="inlineStr">
        <is>
          <t>Ordenação de despesa não autorizada</t>
        </is>
      </c>
      <c r="D316" s="7" t="n">
        <v>12</v>
      </c>
      <c r="E316" s="7" t="n">
        <v>48</v>
      </c>
      <c r="F316" s="7" t="inlineStr">
        <is>
          <t>Reclusão</t>
        </is>
      </c>
      <c r="G316" s="7" t="inlineStr">
        <is>
          <t>Pública Incondicionada</t>
        </is>
      </c>
      <c r="H316" s="7" t="inlineStr">
        <is>
          <t>Não</t>
        </is>
      </c>
      <c r="I316" s="7" t="inlineStr">
        <is>
          <t>Doloso</t>
        </is>
      </c>
      <c r="J316" s="7" t="inlineStr">
        <is>
          <t>Sim</t>
        </is>
      </c>
      <c r="K316" s="7" t="inlineStr">
        <is>
          <t>Não</t>
        </is>
      </c>
      <c r="L316" s="7" t="inlineStr">
        <is>
          <t>Não</t>
        </is>
      </c>
      <c r="M316" s="7" t="inlineStr">
        <is>
          <t>Sim</t>
        </is>
      </c>
      <c r="N316" s="7" t="inlineStr">
        <is>
          <t>Sim</t>
        </is>
      </c>
      <c r="O316" s="7" t="inlineStr">
        <is>
          <t>Sim</t>
        </is>
      </c>
      <c r="P316" s="16" t="inlineStr">
        <is>
          <t>1-4 anos reclusão</t>
        </is>
      </c>
    </row>
    <row r="317">
      <c r="A317" s="7" t="inlineStr">
        <is>
          <t>CP</t>
        </is>
      </c>
      <c r="B317" s="7" t="inlineStr">
        <is>
          <t>Art. 359-E</t>
        </is>
      </c>
      <c r="C317" s="16" t="inlineStr">
        <is>
          <t>Prestação de garantia graciosa</t>
        </is>
      </c>
      <c r="D317" s="7" t="n">
        <v>3</v>
      </c>
      <c r="E317" s="7" t="n">
        <v>12</v>
      </c>
      <c r="F317" s="7" t="inlineStr">
        <is>
          <t>Detenção</t>
        </is>
      </c>
      <c r="G317" s="7" t="inlineStr">
        <is>
          <t>Pública Incondicionada</t>
        </is>
      </c>
      <c r="H317" s="7" t="inlineStr">
        <is>
          <t>Não</t>
        </is>
      </c>
      <c r="I317" s="7" t="inlineStr">
        <is>
          <t>Doloso</t>
        </is>
      </c>
      <c r="J317" s="7" t="inlineStr">
        <is>
          <t>Sim</t>
        </is>
      </c>
      <c r="K317" s="7" t="inlineStr">
        <is>
          <t>Não</t>
        </is>
      </c>
      <c r="L317" s="7" t="inlineStr">
        <is>
          <t>Não</t>
        </is>
      </c>
      <c r="M317" s="7" t="inlineStr">
        <is>
          <t>Sim</t>
        </is>
      </c>
      <c r="N317" s="7" t="inlineStr">
        <is>
          <t>Sim</t>
        </is>
      </c>
      <c r="O317" s="7" t="inlineStr">
        <is>
          <t>Sim</t>
        </is>
      </c>
      <c r="P317" s="16" t="inlineStr">
        <is>
          <t>3-12 meses detenção</t>
        </is>
      </c>
    </row>
    <row r="318">
      <c r="A318" s="7" t="inlineStr">
        <is>
          <t>CP</t>
        </is>
      </c>
      <c r="B318" s="7" t="inlineStr">
        <is>
          <t>Art. 359-F</t>
        </is>
      </c>
      <c r="C318" s="16" t="inlineStr">
        <is>
          <t>Não cancelamento de restos a pagar</t>
        </is>
      </c>
      <c r="D318" s="7" t="n">
        <v>6</v>
      </c>
      <c r="E318" s="7" t="n">
        <v>24</v>
      </c>
      <c r="F318" s="7" t="inlineStr">
        <is>
          <t>Detenção</t>
        </is>
      </c>
      <c r="G318" s="7" t="inlineStr">
        <is>
          <t>Pública Incondicionada</t>
        </is>
      </c>
      <c r="H318" s="7" t="inlineStr">
        <is>
          <t>Não</t>
        </is>
      </c>
      <c r="I318" s="7" t="inlineStr">
        <is>
          <t>Doloso</t>
        </is>
      </c>
      <c r="J318" s="7" t="inlineStr">
        <is>
          <t>Sim</t>
        </is>
      </c>
      <c r="K318" s="7" t="inlineStr">
        <is>
          <t>Não</t>
        </is>
      </c>
      <c r="L318" s="7" t="inlineStr">
        <is>
          <t>Não</t>
        </is>
      </c>
      <c r="M318" s="7" t="inlineStr">
        <is>
          <t>Sim</t>
        </is>
      </c>
      <c r="N318" s="7" t="inlineStr">
        <is>
          <t>Sim</t>
        </is>
      </c>
      <c r="O318" s="7" t="inlineStr">
        <is>
          <t>Sim</t>
        </is>
      </c>
      <c r="P318" s="16" t="inlineStr">
        <is>
          <t>6 meses a 2 anos detenção</t>
        </is>
      </c>
    </row>
    <row r="319">
      <c r="A319" s="7" t="inlineStr">
        <is>
          <t>CP</t>
        </is>
      </c>
      <c r="B319" s="7" t="inlineStr">
        <is>
          <t>Art. 359-G</t>
        </is>
      </c>
      <c r="C319" s="16" t="inlineStr">
        <is>
          <t>Aumento de despesa total com pessoal no último ano do mandato ou legislatura</t>
        </is>
      </c>
      <c r="D319" s="7" t="n">
        <v>12</v>
      </c>
      <c r="E319" s="7" t="n">
        <v>48</v>
      </c>
      <c r="F319" s="7" t="inlineStr">
        <is>
          <t>Reclusão</t>
        </is>
      </c>
      <c r="G319" s="7" t="inlineStr">
        <is>
          <t>Pública Incondicionada</t>
        </is>
      </c>
      <c r="H319" s="7" t="inlineStr">
        <is>
          <t>Não</t>
        </is>
      </c>
      <c r="I319" s="7" t="inlineStr">
        <is>
          <t>Doloso</t>
        </is>
      </c>
      <c r="J319" s="7" t="inlineStr">
        <is>
          <t>Sim</t>
        </is>
      </c>
      <c r="K319" s="7" t="inlineStr">
        <is>
          <t>Não</t>
        </is>
      </c>
      <c r="L319" s="7" t="inlineStr">
        <is>
          <t>Não</t>
        </is>
      </c>
      <c r="M319" s="7" t="inlineStr">
        <is>
          <t>Sim</t>
        </is>
      </c>
      <c r="N319" s="7" t="inlineStr">
        <is>
          <t>Sim</t>
        </is>
      </c>
      <c r="O319" s="7" t="inlineStr">
        <is>
          <t>Sim</t>
        </is>
      </c>
      <c r="P319" s="16" t="inlineStr">
        <is>
          <t>1-4 anos reclusão</t>
        </is>
      </c>
    </row>
    <row r="320">
      <c r="A320" s="7" t="inlineStr">
        <is>
          <t>CP</t>
        </is>
      </c>
      <c r="B320" s="7" t="inlineStr">
        <is>
          <t>Art. 359-H</t>
        </is>
      </c>
      <c r="C320" s="16" t="inlineStr">
        <is>
          <t>Oferta pública ou colocação de títulos no mercado</t>
        </is>
      </c>
      <c r="D320" s="7" t="n">
        <v>12</v>
      </c>
      <c r="E320" s="7" t="n">
        <v>48</v>
      </c>
      <c r="F320" s="7" t="inlineStr">
        <is>
          <t>Reclusão</t>
        </is>
      </c>
      <c r="G320" s="7" t="inlineStr">
        <is>
          <t>Pública Incondicionada</t>
        </is>
      </c>
      <c r="H320" s="7" t="inlineStr">
        <is>
          <t>Não</t>
        </is>
      </c>
      <c r="I320" s="7" t="inlineStr">
        <is>
          <t>Doloso</t>
        </is>
      </c>
      <c r="J320" s="7" t="inlineStr">
        <is>
          <t>Sim</t>
        </is>
      </c>
      <c r="K320" s="7" t="inlineStr">
        <is>
          <t>Não</t>
        </is>
      </c>
      <c r="L320" s="7" t="inlineStr">
        <is>
          <t>Não</t>
        </is>
      </c>
      <c r="M320" s="7" t="inlineStr">
        <is>
          <t>Sim</t>
        </is>
      </c>
      <c r="N320" s="7" t="inlineStr">
        <is>
          <t>Sim</t>
        </is>
      </c>
      <c r="O320" s="7" t="inlineStr">
        <is>
          <t>Sim</t>
        </is>
      </c>
      <c r="P320" s="16" t="inlineStr">
        <is>
          <t>1-4 anos reclusão</t>
        </is>
      </c>
    </row>
    <row r="321">
      <c r="A321" s="7" t="inlineStr">
        <is>
          <t>CP</t>
        </is>
      </c>
      <c r="B321" s="7" t="inlineStr">
        <is>
          <t>Art. 359-I</t>
        </is>
      </c>
      <c r="C321" s="16" t="inlineStr">
        <is>
          <t>Atentado à soberania</t>
        </is>
      </c>
      <c r="D321" s="7" t="n">
        <v>24</v>
      </c>
      <c r="E321" s="7" t="n">
        <v>96</v>
      </c>
      <c r="F321" s="7" t="inlineStr">
        <is>
          <t>Reclusão</t>
        </is>
      </c>
      <c r="G321" s="7" t="inlineStr">
        <is>
          <t>Pública Incondicionada</t>
        </is>
      </c>
      <c r="H321" s="7" t="inlineStr">
        <is>
          <t>Não</t>
        </is>
      </c>
      <c r="I321" s="7" t="inlineStr">
        <is>
          <t>Doloso</t>
        </is>
      </c>
      <c r="J321" s="7" t="inlineStr">
        <is>
          <t>Sim</t>
        </is>
      </c>
      <c r="K321" s="7" t="inlineStr">
        <is>
          <t>Não</t>
        </is>
      </c>
      <c r="L321" s="7" t="inlineStr">
        <is>
          <t>Não</t>
        </is>
      </c>
      <c r="M321" s="7" t="inlineStr">
        <is>
          <t>Sim</t>
        </is>
      </c>
      <c r="N321" s="7" t="inlineStr">
        <is>
          <t>Não</t>
        </is>
      </c>
      <c r="O321" s="7" t="inlineStr">
        <is>
          <t>Sim</t>
        </is>
      </c>
      <c r="P321" s="16" t="inlineStr">
        <is>
          <t>2-8 anos reclusão. Negociar com governo/grupo estrangeiro submetendo soberania nacional a poder estrangeiro</t>
        </is>
      </c>
    </row>
    <row r="322">
      <c r="A322" s="26" t="inlineStr">
        <is>
          <t>CP</t>
        </is>
      </c>
      <c r="B322" s="26" t="inlineStr">
        <is>
          <t>Art. 359-J</t>
        </is>
      </c>
      <c r="C322" s="27" t="inlineStr">
        <is>
          <t>Atentado à integridade nacional</t>
        </is>
      </c>
      <c r="D322" s="26" t="n">
        <v>24</v>
      </c>
      <c r="E322" s="26" t="n">
        <v>96</v>
      </c>
      <c r="F322" s="26" t="inlineStr">
        <is>
          <t>Reclusão</t>
        </is>
      </c>
      <c r="G322" s="26" t="inlineStr">
        <is>
          <t>Pública Incondicionada</t>
        </is>
      </c>
      <c r="H322" s="26" t="inlineStr">
        <is>
          <t>Não</t>
        </is>
      </c>
      <c r="I322" s="26" t="inlineStr">
        <is>
          <t>Doloso</t>
        </is>
      </c>
      <c r="J322" s="26" t="inlineStr">
        <is>
          <t>Sim</t>
        </is>
      </c>
      <c r="K322" s="26" t="inlineStr">
        <is>
          <t>Sim</t>
        </is>
      </c>
      <c r="L322" s="26" t="inlineStr">
        <is>
          <t>Sim</t>
        </is>
      </c>
      <c r="M322" s="26" t="inlineStr">
        <is>
          <t>Não</t>
        </is>
      </c>
      <c r="N322" s="26" t="inlineStr">
        <is>
          <t>Não</t>
        </is>
      </c>
      <c r="O322" s="26" t="inlineStr">
        <is>
          <t>Sim</t>
        </is>
      </c>
      <c r="P322" s="27" t="inlineStr">
        <is>
          <t>2-8 anos reclusão. Tentar desmembrar parte do território nacional. +1/3 se com emprego de violência/ameaça</t>
        </is>
      </c>
    </row>
    <row r="323">
      <c r="A323" s="7" t="inlineStr">
        <is>
          <t>CP</t>
        </is>
      </c>
      <c r="B323" s="7" t="inlineStr">
        <is>
          <t>Art. 359-K</t>
        </is>
      </c>
      <c r="C323" s="16" t="inlineStr">
        <is>
          <t>Espionagem</t>
        </is>
      </c>
      <c r="D323" s="7" t="n">
        <v>36</v>
      </c>
      <c r="E323" s="7" t="n">
        <v>144</v>
      </c>
      <c r="F323" s="7" t="inlineStr">
        <is>
          <t>Reclusão</t>
        </is>
      </c>
      <c r="G323" s="7" t="inlineStr">
        <is>
          <t>Pública Incondicionada</t>
        </is>
      </c>
      <c r="H323" s="7" t="inlineStr">
        <is>
          <t>Não</t>
        </is>
      </c>
      <c r="I323" s="7" t="inlineStr">
        <is>
          <t>Doloso</t>
        </is>
      </c>
      <c r="J323" s="7" t="inlineStr">
        <is>
          <t>Sim</t>
        </is>
      </c>
      <c r="K323" s="7" t="inlineStr">
        <is>
          <t>Não</t>
        </is>
      </c>
      <c r="L323" s="7" t="inlineStr">
        <is>
          <t>Não</t>
        </is>
      </c>
      <c r="M323" s="7" t="inlineStr">
        <is>
          <t>Sim</t>
        </is>
      </c>
      <c r="N323" s="7" t="inlineStr">
        <is>
          <t>Não</t>
        </is>
      </c>
      <c r="O323" s="7" t="inlineStr">
        <is>
          <t>Verificar</t>
        </is>
      </c>
      <c r="P323" s="16" t="inlineStr">
        <is>
          <t>3-12 anos reclusão + multa. Entregar a governo/grupo estrangeiro/organização informações/documentos/materiais classificados como sigilosos</t>
        </is>
      </c>
    </row>
    <row r="324">
      <c r="A324" s="26" t="inlineStr">
        <is>
          <t>CP</t>
        </is>
      </c>
      <c r="B324" s="26" t="inlineStr">
        <is>
          <t>Art. 359-L</t>
        </is>
      </c>
      <c r="C324" s="27" t="inlineStr">
        <is>
          <t>Abolição violenta do Estado Democrático de Direito</t>
        </is>
      </c>
      <c r="D324" s="26" t="n">
        <v>48</v>
      </c>
      <c r="E324" s="26" t="n">
        <v>96</v>
      </c>
      <c r="F324" s="26" t="inlineStr">
        <is>
          <t>Reclusão</t>
        </is>
      </c>
      <c r="G324" s="26" t="inlineStr">
        <is>
          <t>Pública Incondicionada</t>
        </is>
      </c>
      <c r="H324" s="26" t="inlineStr">
        <is>
          <t>Não</t>
        </is>
      </c>
      <c r="I324" s="26" t="inlineStr">
        <is>
          <t>Doloso</t>
        </is>
      </c>
      <c r="J324" s="26" t="inlineStr">
        <is>
          <t>Sim</t>
        </is>
      </c>
      <c r="K324" s="26" t="inlineStr">
        <is>
          <t>Sim</t>
        </is>
      </c>
      <c r="L324" s="26" t="inlineStr">
        <is>
          <t>Sim</t>
        </is>
      </c>
      <c r="M324" s="26" t="inlineStr">
        <is>
          <t>Não</t>
        </is>
      </c>
      <c r="N324" s="26" t="inlineStr">
        <is>
          <t>Não</t>
        </is>
      </c>
      <c r="O324" s="26" t="inlineStr">
        <is>
          <t>Verificar</t>
        </is>
      </c>
      <c r="P324" s="27" t="inlineStr">
        <is>
          <t>4-8 anos reclusão. Tentar, com emprego de violência/grave ameaça, abolir o Estado Democrático</t>
        </is>
      </c>
    </row>
    <row r="325">
      <c r="A325" s="26" t="inlineStr">
        <is>
          <t>CP</t>
        </is>
      </c>
      <c r="B325" s="26" t="inlineStr">
        <is>
          <t>Art. 359-M</t>
        </is>
      </c>
      <c r="C325" s="27" t="inlineStr">
        <is>
          <t>Golpe de Estado</t>
        </is>
      </c>
      <c r="D325" s="26" t="n">
        <v>48</v>
      </c>
      <c r="E325" s="26" t="n">
        <v>144</v>
      </c>
      <c r="F325" s="26" t="inlineStr">
        <is>
          <t>Reclusão</t>
        </is>
      </c>
      <c r="G325" s="26" t="inlineStr">
        <is>
          <t>Pública Incondicionada</t>
        </is>
      </c>
      <c r="H325" s="26" t="inlineStr">
        <is>
          <t>Não</t>
        </is>
      </c>
      <c r="I325" s="26" t="inlineStr">
        <is>
          <t>Doloso</t>
        </is>
      </c>
      <c r="J325" s="26" t="inlineStr">
        <is>
          <t>Sim</t>
        </is>
      </c>
      <c r="K325" s="26" t="inlineStr">
        <is>
          <t>Sim</t>
        </is>
      </c>
      <c r="L325" s="26" t="inlineStr">
        <is>
          <t>Sim</t>
        </is>
      </c>
      <c r="M325" s="26" t="inlineStr">
        <is>
          <t>Não</t>
        </is>
      </c>
      <c r="N325" s="26" t="inlineStr">
        <is>
          <t>Não</t>
        </is>
      </c>
      <c r="O325" s="26" t="inlineStr">
        <is>
          <t>Verificar</t>
        </is>
      </c>
      <c r="P325" s="27" t="inlineStr">
        <is>
          <t>4-12 anos reclusão. Tentar depor, por meio de violência/grave ameaça, o governo legitimamente constituído</t>
        </is>
      </c>
    </row>
    <row r="326">
      <c r="A326" s="26" t="inlineStr">
        <is>
          <t>CP</t>
        </is>
      </c>
      <c r="B326" s="26" t="inlineStr">
        <is>
          <t>Art. 359-N</t>
        </is>
      </c>
      <c r="C326" s="27" t="inlineStr">
        <is>
          <t>Interrupção do processo eleitoral</t>
        </is>
      </c>
      <c r="D326" s="26" t="n">
        <v>36</v>
      </c>
      <c r="E326" s="26" t="n">
        <v>72</v>
      </c>
      <c r="F326" s="26" t="inlineStr">
        <is>
          <t>Reclusão</t>
        </is>
      </c>
      <c r="G326" s="26" t="inlineStr">
        <is>
          <t>Pública Incondicionada</t>
        </is>
      </c>
      <c r="H326" s="26" t="inlineStr">
        <is>
          <t>Não</t>
        </is>
      </c>
      <c r="I326" s="26" t="inlineStr">
        <is>
          <t>Doloso</t>
        </is>
      </c>
      <c r="J326" s="26" t="inlineStr">
        <is>
          <t>Sim</t>
        </is>
      </c>
      <c r="K326" s="26" t="inlineStr">
        <is>
          <t>Sim</t>
        </is>
      </c>
      <c r="L326" s="26" t="inlineStr">
        <is>
          <t>Sim</t>
        </is>
      </c>
      <c r="M326" s="26" t="inlineStr">
        <is>
          <t>Não</t>
        </is>
      </c>
      <c r="N326" s="26" t="inlineStr">
        <is>
          <t>Não</t>
        </is>
      </c>
      <c r="O326" s="26" t="inlineStr">
        <is>
          <t>Verificar</t>
        </is>
      </c>
      <c r="P326" s="27" t="inlineStr">
        <is>
          <t>3-6 anos reclusão + multa. Impedir ou perturbar, mediante violência/grave ameaça/ofensa à liberdade de voto, eleição prevista na CF</t>
        </is>
      </c>
    </row>
    <row r="327">
      <c r="A327" s="26" t="inlineStr">
        <is>
          <t>CP</t>
        </is>
      </c>
      <c r="B327" s="26" t="inlineStr">
        <is>
          <t>Art. 359-P</t>
        </is>
      </c>
      <c r="C327" s="27" t="inlineStr">
        <is>
          <t>Violência política</t>
        </is>
      </c>
      <c r="D327" s="26" t="n">
        <v>36</v>
      </c>
      <c r="E327" s="26" t="n">
        <v>72</v>
      </c>
      <c r="F327" s="26" t="inlineStr">
        <is>
          <t>Reclusão</t>
        </is>
      </c>
      <c r="G327" s="26" t="inlineStr">
        <is>
          <t>Pública Incondicionada</t>
        </is>
      </c>
      <c r="H327" s="26" t="inlineStr">
        <is>
          <t>Não</t>
        </is>
      </c>
      <c r="I327" s="26" t="inlineStr">
        <is>
          <t>Doloso</t>
        </is>
      </c>
      <c r="J327" s="26" t="inlineStr">
        <is>
          <t>Sim</t>
        </is>
      </c>
      <c r="K327" s="26" t="inlineStr">
        <is>
          <t>Sim</t>
        </is>
      </c>
      <c r="L327" s="26" t="inlineStr">
        <is>
          <t>Sim</t>
        </is>
      </c>
      <c r="M327" s="26" t="inlineStr">
        <is>
          <t>Não</t>
        </is>
      </c>
      <c r="N327" s="26" t="inlineStr">
        <is>
          <t>Não</t>
        </is>
      </c>
      <c r="O327" s="26" t="inlineStr">
        <is>
          <t>Verificar</t>
        </is>
      </c>
      <c r="P327" s="27" t="inlineStr">
        <is>
          <t>3-6 anos reclusão + multa, além da pena correspondente à violência. Restringir/impedir/dificultar, com emprego de violência, exercício de direitos políticos</t>
        </is>
      </c>
    </row>
    <row r="328">
      <c r="A328" s="7" t="inlineStr">
        <is>
          <t>CP</t>
        </is>
      </c>
      <c r="B328" s="7" t="inlineStr">
        <is>
          <t>Art. 359-R</t>
        </is>
      </c>
      <c r="C328" s="16" t="inlineStr">
        <is>
          <t>Sabotagem</t>
        </is>
      </c>
      <c r="D328" s="7" t="n">
        <v>24</v>
      </c>
      <c r="E328" s="7" t="n">
        <v>72</v>
      </c>
      <c r="F328" s="7" t="inlineStr">
        <is>
          <t>Reclusão</t>
        </is>
      </c>
      <c r="G328" s="7" t="inlineStr">
        <is>
          <t>Pública Incondicionada</t>
        </is>
      </c>
      <c r="H328" s="7" t="inlineStr">
        <is>
          <t>Não</t>
        </is>
      </c>
      <c r="I328" s="7" t="inlineStr">
        <is>
          <t>Doloso</t>
        </is>
      </c>
      <c r="J328" s="7" t="inlineStr">
        <is>
          <t>Sim</t>
        </is>
      </c>
      <c r="K328" s="7" t="inlineStr">
        <is>
          <t>Não</t>
        </is>
      </c>
      <c r="L328" s="7" t="inlineStr">
        <is>
          <t>Não</t>
        </is>
      </c>
      <c r="M328" s="7" t="inlineStr">
        <is>
          <t>Sim</t>
        </is>
      </c>
      <c r="N328" s="7" t="inlineStr">
        <is>
          <t>Não</t>
        </is>
      </c>
      <c r="O328" s="7" t="inlineStr">
        <is>
          <t>Sim</t>
        </is>
      </c>
      <c r="P328" s="16" t="inlineStr">
        <is>
          <t>2-6 anos reclusão. Destruir ou inutilizar meios de comunicação/transporte/instalações/serviços destinados à defesa nacional</t>
        </is>
      </c>
    </row>
    <row r="329">
      <c r="A329" s="28" t="inlineStr">
        <is>
          <t>Lei 11.343/06</t>
        </is>
      </c>
      <c r="B329" s="28" t="inlineStr">
        <is>
          <t>Art. 28, caput</t>
        </is>
      </c>
      <c r="C329" s="29" t="inlineStr">
        <is>
          <t>Porte de drogas para consumo pessoal</t>
        </is>
      </c>
      <c r="D329" s="28" t="inlineStr">
        <is>
          <t>—</t>
        </is>
      </c>
      <c r="E329" s="28" t="inlineStr">
        <is>
          <t>—</t>
        </is>
      </c>
      <c r="F329" s="28" t="inlineStr">
        <is>
          <t>—</t>
        </is>
      </c>
      <c r="G329" s="28" t="inlineStr">
        <is>
          <t>Pública Incondicionada</t>
        </is>
      </c>
      <c r="H329" s="28" t="inlineStr">
        <is>
          <t>Não</t>
        </is>
      </c>
      <c r="I329" s="28" t="inlineStr">
        <is>
          <t>Doloso</t>
        </is>
      </c>
      <c r="J329" s="28" t="inlineStr">
        <is>
          <t>Não</t>
        </is>
      </c>
      <c r="K329" s="28" t="inlineStr">
        <is>
          <t>Não</t>
        </is>
      </c>
      <c r="L329" s="28" t="inlineStr">
        <is>
          <t>Não</t>
        </is>
      </c>
      <c r="M329" s="28" t="inlineStr">
        <is>
          <t>—</t>
        </is>
      </c>
      <c r="N329" s="28" t="inlineStr">
        <is>
          <t>—</t>
        </is>
      </c>
      <c r="O329" s="28" t="inlineStr">
        <is>
          <t>—</t>
        </is>
      </c>
      <c r="P329" s="29" t="inlineStr">
        <is>
          <t>NÃO há pena privativa de liberdade. Sanções: I - advertência; II - prestação de serviços à comunidade; III - medida educativa. STF (RE 635.659): porte para consumo NÃO é crime (uso próprio descriminalizado, posse até 40g de maconha)</t>
        </is>
      </c>
    </row>
    <row r="330">
      <c r="A330" s="17" t="inlineStr">
        <is>
          <t>Lei 11.343/06</t>
        </is>
      </c>
      <c r="B330" s="17" t="inlineStr">
        <is>
          <t>Art. 33, caput</t>
        </is>
      </c>
      <c r="C330" s="18" t="inlineStr">
        <is>
          <t>Tráfico de drogas</t>
        </is>
      </c>
      <c r="D330" s="17" t="n">
        <v>60</v>
      </c>
      <c r="E330" s="17" t="n">
        <v>180</v>
      </c>
      <c r="F330" s="17" t="inlineStr">
        <is>
          <t>Reclusão</t>
        </is>
      </c>
      <c r="G330" s="17" t="inlineStr">
        <is>
          <t>Pública Incondicionada</t>
        </is>
      </c>
      <c r="H330" s="17" t="inlineStr">
        <is>
          <t>Sim</t>
        </is>
      </c>
      <c r="I330" s="17" t="inlineStr">
        <is>
          <t>Doloso</t>
        </is>
      </c>
      <c r="J330" s="17" t="inlineStr">
        <is>
          <t>Sim</t>
        </is>
      </c>
      <c r="K330" s="17" t="inlineStr">
        <is>
          <t>Não</t>
        </is>
      </c>
      <c r="L330" s="17" t="inlineStr">
        <is>
          <t>Não</t>
        </is>
      </c>
      <c r="M330" s="17" t="inlineStr">
        <is>
          <t>Não</t>
        </is>
      </c>
      <c r="N330" s="17" t="inlineStr">
        <is>
          <t>Não</t>
        </is>
      </c>
      <c r="O330" s="17" t="inlineStr">
        <is>
          <t>Verificar</t>
        </is>
      </c>
      <c r="P330" s="18" t="inlineStr">
        <is>
          <t>5-15 anos reclusão + 500-1.500 dias-multa. Hediondo (equiparado). 18 verbos nucleares</t>
        </is>
      </c>
    </row>
    <row r="331">
      <c r="A331" s="17" t="inlineStr">
        <is>
          <t>Lei 11.343/06</t>
        </is>
      </c>
      <c r="B331" s="17" t="inlineStr">
        <is>
          <t>Art. 33, §1º</t>
        </is>
      </c>
      <c r="C331" s="18" t="inlineStr">
        <is>
          <t>Tráfico de drogas — condutas equiparadas (matéria-prima/insumo/planta)</t>
        </is>
      </c>
      <c r="D331" s="17" t="n">
        <v>60</v>
      </c>
      <c r="E331" s="17" t="n">
        <v>180</v>
      </c>
      <c r="F331" s="17" t="inlineStr">
        <is>
          <t>Reclusão</t>
        </is>
      </c>
      <c r="G331" s="17" t="inlineStr">
        <is>
          <t>Pública Incondicionada</t>
        </is>
      </c>
      <c r="H331" s="17" t="inlineStr">
        <is>
          <t>Sim</t>
        </is>
      </c>
      <c r="I331" s="17" t="inlineStr">
        <is>
          <t>Doloso</t>
        </is>
      </c>
      <c r="J331" s="17" t="inlineStr">
        <is>
          <t>Sim</t>
        </is>
      </c>
      <c r="K331" s="17" t="inlineStr">
        <is>
          <t>Não</t>
        </is>
      </c>
      <c r="L331" s="17" t="inlineStr">
        <is>
          <t>Não</t>
        </is>
      </c>
      <c r="M331" s="17" t="inlineStr">
        <is>
          <t>Não</t>
        </is>
      </c>
      <c r="N331" s="17" t="inlineStr">
        <is>
          <t>Não</t>
        </is>
      </c>
      <c r="O331" s="17" t="inlineStr">
        <is>
          <t>Verificar</t>
        </is>
      </c>
      <c r="P331" s="18" t="inlineStr">
        <is>
          <t>Mesma pena. I - importar/exportar/remeter/produzir matéria-prima/insumo/produto químico; II - semear/cultivar/colher plantas para produção de drogas; III - utilizar local para tráfico</t>
        </is>
      </c>
    </row>
    <row r="332">
      <c r="A332" s="7" t="inlineStr">
        <is>
          <t>Lei 11.343/06</t>
        </is>
      </c>
      <c r="B332" s="7" t="inlineStr">
        <is>
          <t>Art. 33, §2º</t>
        </is>
      </c>
      <c r="C332" s="16" t="inlineStr">
        <is>
          <t>Induzimento, instigação ou auxílio ao uso indevido de droga</t>
        </is>
      </c>
      <c r="D332" s="7" t="n">
        <v>12</v>
      </c>
      <c r="E332" s="7" t="n">
        <v>36</v>
      </c>
      <c r="F332" s="7" t="inlineStr">
        <is>
          <t>Detenção</t>
        </is>
      </c>
      <c r="G332" s="7" t="inlineStr">
        <is>
          <t>Pública Incondicionada</t>
        </is>
      </c>
      <c r="H332" s="7" t="inlineStr">
        <is>
          <t>Não</t>
        </is>
      </c>
      <c r="I332" s="7" t="inlineStr">
        <is>
          <t>Doloso</t>
        </is>
      </c>
      <c r="J332" s="7" t="inlineStr">
        <is>
          <t>Sim</t>
        </is>
      </c>
      <c r="K332" s="7" t="inlineStr">
        <is>
          <t>Não</t>
        </is>
      </c>
      <c r="L332" s="7" t="inlineStr">
        <is>
          <t>Não</t>
        </is>
      </c>
      <c r="M332" s="7" t="inlineStr">
        <is>
          <t>Sim</t>
        </is>
      </c>
      <c r="N332" s="7" t="inlineStr">
        <is>
          <t>Sim</t>
        </is>
      </c>
      <c r="O332" s="7" t="inlineStr">
        <is>
          <t>Sim</t>
        </is>
      </c>
      <c r="P332" s="16" t="inlineStr">
        <is>
          <t>1-3 anos detenção + 100-300 dias-multa</t>
        </is>
      </c>
    </row>
    <row r="333">
      <c r="A333" s="7" t="inlineStr">
        <is>
          <t>Lei 11.343/06</t>
        </is>
      </c>
      <c r="B333" s="7" t="inlineStr">
        <is>
          <t>Art. 33, §3º</t>
        </is>
      </c>
      <c r="C333" s="16" t="inlineStr">
        <is>
          <t>Oferecimento de droga para consumo conjunto (uso compartilhado)</t>
        </is>
      </c>
      <c r="D333" s="7" t="n">
        <v>6</v>
      </c>
      <c r="E333" s="7" t="n">
        <v>12</v>
      </c>
      <c r="F333" s="7" t="inlineStr">
        <is>
          <t>Detenção</t>
        </is>
      </c>
      <c r="G333" s="7" t="inlineStr">
        <is>
          <t>Pública Incondicionada</t>
        </is>
      </c>
      <c r="H333" s="7" t="inlineStr">
        <is>
          <t>Não</t>
        </is>
      </c>
      <c r="I333" s="7" t="inlineStr">
        <is>
          <t>Doloso</t>
        </is>
      </c>
      <c r="J333" s="7" t="inlineStr">
        <is>
          <t>Sim</t>
        </is>
      </c>
      <c r="K333" s="7" t="inlineStr">
        <is>
          <t>Não</t>
        </is>
      </c>
      <c r="L333" s="7" t="inlineStr">
        <is>
          <t>Não</t>
        </is>
      </c>
      <c r="M333" s="7" t="inlineStr">
        <is>
          <t>Sim</t>
        </is>
      </c>
      <c r="N333" s="7" t="inlineStr">
        <is>
          <t>Sim</t>
        </is>
      </c>
      <c r="O333" s="7" t="inlineStr">
        <is>
          <t>Sim</t>
        </is>
      </c>
      <c r="P333" s="16" t="inlineStr">
        <is>
          <t>6 meses a 1 ano detenção + 700-1.500 dias-multa. Sem objetivo de lucro, a pessoa de seu relacionamento</t>
        </is>
      </c>
    </row>
    <row r="334">
      <c r="A334" s="7" t="inlineStr">
        <is>
          <t>Lei 11.343/06</t>
        </is>
      </c>
      <c r="B334" s="7" t="inlineStr">
        <is>
          <t>Art. 33, §4º</t>
        </is>
      </c>
      <c r="C334" s="16" t="inlineStr">
        <is>
          <t>Tráfico privilegiado (diminuição de 1/6 a 2/3)</t>
        </is>
      </c>
      <c r="D334" s="7" t="n">
        <v>20</v>
      </c>
      <c r="E334" s="7" t="n">
        <v>150</v>
      </c>
      <c r="F334" s="7" t="inlineStr">
        <is>
          <t>Reclusão</t>
        </is>
      </c>
      <c r="G334" s="7" t="inlineStr">
        <is>
          <t>Pública Incondicionada</t>
        </is>
      </c>
      <c r="H334" s="7" t="inlineStr">
        <is>
          <t>Não</t>
        </is>
      </c>
      <c r="I334" s="7" t="inlineStr">
        <is>
          <t>Doloso</t>
        </is>
      </c>
      <c r="J334" s="7" t="inlineStr">
        <is>
          <t>Sim</t>
        </is>
      </c>
      <c r="K334" s="7" t="inlineStr">
        <is>
          <t>Não</t>
        </is>
      </c>
      <c r="L334" s="7" t="inlineStr">
        <is>
          <t>Não</t>
        </is>
      </c>
      <c r="M334" s="7" t="inlineStr">
        <is>
          <t>Sim</t>
        </is>
      </c>
      <c r="N334" s="7" t="inlineStr">
        <is>
          <t>Não</t>
        </is>
      </c>
      <c r="O334" s="7" t="inlineStr">
        <is>
          <t>Sim</t>
        </is>
      </c>
      <c r="P334" s="16" t="inlineStr">
        <is>
          <t>Diminuição de 1/6 a 2/3 se primário, bons antecedentes, não dedicado a atividades criminosas nem integrante de organização criminosa. STF: NÃO é hediondo (HC 118.533)</t>
        </is>
      </c>
    </row>
    <row r="335">
      <c r="A335" s="7" t="inlineStr">
        <is>
          <t>Lei 11.343/06</t>
        </is>
      </c>
      <c r="B335" s="7" t="inlineStr">
        <is>
          <t>Art. 34</t>
        </is>
      </c>
      <c r="C335" s="16" t="inlineStr">
        <is>
          <t>Maquinário, aparelho, instrumento ou material destinado à fabricação/preparação/produção/transformação de drogas</t>
        </is>
      </c>
      <c r="D335" s="7" t="n">
        <v>36</v>
      </c>
      <c r="E335" s="7" t="n">
        <v>120</v>
      </c>
      <c r="F335" s="7" t="inlineStr">
        <is>
          <t>Reclusão</t>
        </is>
      </c>
      <c r="G335" s="7" t="inlineStr">
        <is>
          <t>Pública Incondicionada</t>
        </is>
      </c>
      <c r="H335" s="7" t="inlineStr">
        <is>
          <t>Não</t>
        </is>
      </c>
      <c r="I335" s="7" t="inlineStr">
        <is>
          <t>Doloso</t>
        </is>
      </c>
      <c r="J335" s="7" t="inlineStr">
        <is>
          <t>Sim</t>
        </is>
      </c>
      <c r="K335" s="7" t="inlineStr">
        <is>
          <t>Não</t>
        </is>
      </c>
      <c r="L335" s="7" t="inlineStr">
        <is>
          <t>Não</t>
        </is>
      </c>
      <c r="M335" s="7" t="inlineStr">
        <is>
          <t>Sim</t>
        </is>
      </c>
      <c r="N335" s="7" t="inlineStr">
        <is>
          <t>Não</t>
        </is>
      </c>
      <c r="O335" s="7" t="inlineStr">
        <is>
          <t>Verificar</t>
        </is>
      </c>
      <c r="P335" s="16" t="inlineStr">
        <is>
          <t>3-10 anos reclusão + 1.200-2.000 dias-multa</t>
        </is>
      </c>
    </row>
    <row r="336">
      <c r="A336" s="7" t="inlineStr">
        <is>
          <t>Lei 11.343/06</t>
        </is>
      </c>
      <c r="B336" s="7" t="inlineStr">
        <is>
          <t>Art. 35</t>
        </is>
      </c>
      <c r="C336" s="16" t="inlineStr">
        <is>
          <t>Associação para o tráfico</t>
        </is>
      </c>
      <c r="D336" s="7" t="n">
        <v>36</v>
      </c>
      <c r="E336" s="7" t="n">
        <v>120</v>
      </c>
      <c r="F336" s="7" t="inlineStr">
        <is>
          <t>Reclusão</t>
        </is>
      </c>
      <c r="G336" s="7" t="inlineStr">
        <is>
          <t>Pública Incondicionada</t>
        </is>
      </c>
      <c r="H336" s="7" t="inlineStr">
        <is>
          <t>Não</t>
        </is>
      </c>
      <c r="I336" s="7" t="inlineStr">
        <is>
          <t>Doloso</t>
        </is>
      </c>
      <c r="J336" s="7" t="inlineStr">
        <is>
          <t>Não</t>
        </is>
      </c>
      <c r="K336" s="7" t="inlineStr">
        <is>
          <t>Não</t>
        </is>
      </c>
      <c r="L336" s="7" t="inlineStr">
        <is>
          <t>Não</t>
        </is>
      </c>
      <c r="M336" s="7" t="inlineStr">
        <is>
          <t>Sim</t>
        </is>
      </c>
      <c r="N336" s="7" t="inlineStr">
        <is>
          <t>Não</t>
        </is>
      </c>
      <c r="O336" s="7" t="inlineStr">
        <is>
          <t>Verificar</t>
        </is>
      </c>
      <c r="P336" s="16" t="inlineStr">
        <is>
          <t>3-10 anos reclusão + 700-1.200 dias-multa. Associarem-se 2+ pessoas para praticar reiteradamente ou não qualquer dos crimes do Arts. 33, caput e §1º, e 34. Crime autônomo (não exige prática efetiva do tráfico)</t>
        </is>
      </c>
    </row>
    <row r="337">
      <c r="A337" s="17" t="inlineStr">
        <is>
          <t>Lei 11.343/06</t>
        </is>
      </c>
      <c r="B337" s="17" t="inlineStr">
        <is>
          <t>Art. 36</t>
        </is>
      </c>
      <c r="C337" s="18" t="inlineStr">
        <is>
          <t>Financiamento ou custeio do tráfico de drogas</t>
        </is>
      </c>
      <c r="D337" s="17" t="n">
        <v>96</v>
      </c>
      <c r="E337" s="17" t="n">
        <v>240</v>
      </c>
      <c r="F337" s="17" t="inlineStr">
        <is>
          <t>Reclusão</t>
        </is>
      </c>
      <c r="G337" s="17" t="inlineStr">
        <is>
          <t>Pública Incondicionada</t>
        </is>
      </c>
      <c r="H337" s="17" t="inlineStr">
        <is>
          <t>Sim</t>
        </is>
      </c>
      <c r="I337" s="17" t="inlineStr">
        <is>
          <t>Doloso</t>
        </is>
      </c>
      <c r="J337" s="17" t="inlineStr">
        <is>
          <t>Sim</t>
        </is>
      </c>
      <c r="K337" s="17" t="inlineStr">
        <is>
          <t>Não</t>
        </is>
      </c>
      <c r="L337" s="17" t="inlineStr">
        <is>
          <t>Não</t>
        </is>
      </c>
      <c r="M337" s="17" t="inlineStr">
        <is>
          <t>Não</t>
        </is>
      </c>
      <c r="N337" s="17" t="inlineStr">
        <is>
          <t>Não</t>
        </is>
      </c>
      <c r="O337" s="17" t="inlineStr">
        <is>
          <t>Verificar</t>
        </is>
      </c>
      <c r="P337" s="18" t="inlineStr">
        <is>
          <t>8-20 anos reclusão + 1.500-4.000 dias-multa. Hediondo (equiparado)</t>
        </is>
      </c>
    </row>
    <row r="338">
      <c r="A338" s="7" t="inlineStr">
        <is>
          <t>Lei 11.343/06</t>
        </is>
      </c>
      <c r="B338" s="7" t="inlineStr">
        <is>
          <t>Art. 37</t>
        </is>
      </c>
      <c r="C338" s="16" t="inlineStr">
        <is>
          <t>Colaboração como informante ('fogueteiro') para tráfico</t>
        </is>
      </c>
      <c r="D338" s="7" t="n">
        <v>24</v>
      </c>
      <c r="E338" s="7" t="n">
        <v>72</v>
      </c>
      <c r="F338" s="7" t="inlineStr">
        <is>
          <t>Reclusão</t>
        </is>
      </c>
      <c r="G338" s="7" t="inlineStr">
        <is>
          <t>Pública Incondicionada</t>
        </is>
      </c>
      <c r="H338" s="7" t="inlineStr">
        <is>
          <t>Não</t>
        </is>
      </c>
      <c r="I338" s="7" t="inlineStr">
        <is>
          <t>Doloso</t>
        </is>
      </c>
      <c r="J338" s="7" t="inlineStr">
        <is>
          <t>Sim</t>
        </is>
      </c>
      <c r="K338" s="7" t="inlineStr">
        <is>
          <t>Não</t>
        </is>
      </c>
      <c r="L338" s="7" t="inlineStr">
        <is>
          <t>Não</t>
        </is>
      </c>
      <c r="M338" s="7" t="inlineStr">
        <is>
          <t>Sim</t>
        </is>
      </c>
      <c r="N338" s="7" t="inlineStr">
        <is>
          <t>Não</t>
        </is>
      </c>
      <c r="O338" s="7" t="inlineStr">
        <is>
          <t>Sim</t>
        </is>
      </c>
      <c r="P338" s="16" t="inlineStr">
        <is>
          <t>2-6 anos reclusão + 300-700 dias-multa</t>
        </is>
      </c>
    </row>
    <row r="339">
      <c r="A339" s="7" t="inlineStr">
        <is>
          <t>Lei 11.343/06</t>
        </is>
      </c>
      <c r="B339" s="7" t="inlineStr">
        <is>
          <t>Art. 38</t>
        </is>
      </c>
      <c r="C339" s="16" t="inlineStr">
        <is>
          <t>Prescrição ou ministração culposa de drogas por profissional de saúde</t>
        </is>
      </c>
      <c r="D339" s="7" t="n">
        <v>6</v>
      </c>
      <c r="E339" s="7" t="n">
        <v>24</v>
      </c>
      <c r="F339" s="7" t="inlineStr">
        <is>
          <t>Detenção</t>
        </is>
      </c>
      <c r="G339" s="7" t="inlineStr">
        <is>
          <t>Pública Incondicionada</t>
        </is>
      </c>
      <c r="H339" s="7" t="inlineStr">
        <is>
          <t>Não</t>
        </is>
      </c>
      <c r="I339" s="7" t="inlineStr">
        <is>
          <t>Culposo</t>
        </is>
      </c>
      <c r="J339" s="7" t="inlineStr">
        <is>
          <t>Não</t>
        </is>
      </c>
      <c r="K339" s="7" t="inlineStr">
        <is>
          <t>Não</t>
        </is>
      </c>
      <c r="L339" s="7" t="inlineStr">
        <is>
          <t>Não</t>
        </is>
      </c>
      <c r="M339" s="7" t="inlineStr">
        <is>
          <t>Sim</t>
        </is>
      </c>
      <c r="N339" s="7" t="inlineStr">
        <is>
          <t>Sim</t>
        </is>
      </c>
      <c r="O339" s="7" t="inlineStr">
        <is>
          <t>Sim</t>
        </is>
      </c>
      <c r="P339" s="16" t="inlineStr">
        <is>
          <t>6 meses a 2 anos detenção + 50-200 dias-multa</t>
        </is>
      </c>
    </row>
    <row r="340">
      <c r="A340" s="7" t="inlineStr">
        <is>
          <t>Lei 11.343/06</t>
        </is>
      </c>
      <c r="B340" s="7" t="inlineStr">
        <is>
          <t>Art. 39</t>
        </is>
      </c>
      <c r="C340" s="16" t="inlineStr">
        <is>
          <t>Condução de embarcação ou aeronave sob efeito de drogas</t>
        </is>
      </c>
      <c r="D340" s="7" t="n">
        <v>24</v>
      </c>
      <c r="E340" s="7" t="n">
        <v>48</v>
      </c>
      <c r="F340" s="7" t="inlineStr">
        <is>
          <t>Detenção</t>
        </is>
      </c>
      <c r="G340" s="7" t="inlineStr">
        <is>
          <t>Pública Incondicionada</t>
        </is>
      </c>
      <c r="H340" s="7" t="inlineStr">
        <is>
          <t>Não</t>
        </is>
      </c>
      <c r="I340" s="7" t="inlineStr">
        <is>
          <t>Doloso</t>
        </is>
      </c>
      <c r="J340" s="7" t="inlineStr">
        <is>
          <t>Sim</t>
        </is>
      </c>
      <c r="K340" s="7" t="inlineStr">
        <is>
          <t>Não</t>
        </is>
      </c>
      <c r="L340" s="7" t="inlineStr">
        <is>
          <t>Não</t>
        </is>
      </c>
      <c r="M340" s="7" t="inlineStr">
        <is>
          <t>Sim</t>
        </is>
      </c>
      <c r="N340" s="7" t="inlineStr">
        <is>
          <t>Não</t>
        </is>
      </c>
      <c r="O340" s="7" t="inlineStr">
        <is>
          <t>Sim</t>
        </is>
      </c>
      <c r="P340" s="16" t="inlineStr">
        <is>
          <t>2-4 anos detenção + 200-400 dias-multa</t>
        </is>
      </c>
    </row>
    <row r="341">
      <c r="A341" s="17" t="inlineStr">
        <is>
          <t>Lei 11.343/06</t>
        </is>
      </c>
      <c r="B341" s="17" t="inlineStr">
        <is>
          <t>Art. 40</t>
        </is>
      </c>
      <c r="C341" s="18" t="inlineStr">
        <is>
          <t>Tráfico com majorantes (1/6 a 2/3): transnacional, transporte público, função pública, etc.</t>
        </is>
      </c>
      <c r="D341" s="17" t="n">
        <v>70</v>
      </c>
      <c r="E341" s="17" t="n">
        <v>300</v>
      </c>
      <c r="F341" s="17" t="inlineStr">
        <is>
          <t>Reclusão</t>
        </is>
      </c>
      <c r="G341" s="17" t="inlineStr">
        <is>
          <t>Pública Incondicionada</t>
        </is>
      </c>
      <c r="H341" s="17" t="inlineStr">
        <is>
          <t>Sim</t>
        </is>
      </c>
      <c r="I341" s="17" t="inlineStr">
        <is>
          <t>Doloso</t>
        </is>
      </c>
      <c r="J341" s="17" t="inlineStr">
        <is>
          <t>Sim</t>
        </is>
      </c>
      <c r="K341" s="17" t="inlineStr">
        <is>
          <t>Não</t>
        </is>
      </c>
      <c r="L341" s="17" t="inlineStr">
        <is>
          <t>Não</t>
        </is>
      </c>
      <c r="M341" s="17" t="inlineStr">
        <is>
          <t>Não</t>
        </is>
      </c>
      <c r="N341" s="17" t="inlineStr">
        <is>
          <t>Não</t>
        </is>
      </c>
      <c r="O341" s="17" t="inlineStr">
        <is>
          <t>Verificar</t>
        </is>
      </c>
      <c r="P341" s="18" t="inlineStr">
        <is>
          <t>Aumento de 1/6 a 2/3 sobre Arts. 33-37. I - transnacionalidade; II - prevalecendo-se de função pública; III - em transporte público; IV - em presídio; V - com emprego de violência/grave ameaça/arma; VI - com envolvimento de menor; VII - financiamento/custeio da prática</t>
        </is>
      </c>
    </row>
    <row r="342">
      <c r="A342" s="7" t="inlineStr">
        <is>
          <t>Lei 10.826/03</t>
        </is>
      </c>
      <c r="B342" s="7" t="inlineStr">
        <is>
          <t>Art. 12</t>
        </is>
      </c>
      <c r="C342" s="16" t="inlineStr">
        <is>
          <t>Posse irregular de arma de fogo de uso permitido</t>
        </is>
      </c>
      <c r="D342" s="7" t="n">
        <v>12</v>
      </c>
      <c r="E342" s="7" t="n">
        <v>36</v>
      </c>
      <c r="F342" s="7" t="inlineStr">
        <is>
          <t>Detenção</t>
        </is>
      </c>
      <c r="G342" s="7" t="inlineStr">
        <is>
          <t>Pública Incondicionada</t>
        </is>
      </c>
      <c r="H342" s="7" t="inlineStr">
        <is>
          <t>Não</t>
        </is>
      </c>
      <c r="I342" s="7" t="inlineStr">
        <is>
          <t>Doloso</t>
        </is>
      </c>
      <c r="J342" s="7" t="inlineStr">
        <is>
          <t>Não</t>
        </is>
      </c>
      <c r="K342" s="7" t="inlineStr">
        <is>
          <t>Não</t>
        </is>
      </c>
      <c r="L342" s="7" t="inlineStr">
        <is>
          <t>Não</t>
        </is>
      </c>
      <c r="M342" s="7" t="inlineStr">
        <is>
          <t>Sim</t>
        </is>
      </c>
      <c r="N342" s="7" t="inlineStr">
        <is>
          <t>Sim</t>
        </is>
      </c>
      <c r="O342" s="7" t="inlineStr">
        <is>
          <t>Sim</t>
        </is>
      </c>
      <c r="P342" s="16" t="inlineStr">
        <is>
          <t>1-3 anos detenção + multa. Possuir ou manter sob sua guarda arma de fogo de uso permitido em desacordo com determinação legal/regulamentar no interior de sua residência ou dependência, ou no local de trabalho</t>
        </is>
      </c>
    </row>
    <row r="343">
      <c r="A343" s="7" t="inlineStr">
        <is>
          <t>Lei 10.826/03</t>
        </is>
      </c>
      <c r="B343" s="7" t="inlineStr">
        <is>
          <t>Art. 13</t>
        </is>
      </c>
      <c r="C343" s="16" t="inlineStr">
        <is>
          <t>Omissão de cautela (armas)</t>
        </is>
      </c>
      <c r="D343" s="7" t="n">
        <v>12</v>
      </c>
      <c r="E343" s="7" t="n">
        <v>24</v>
      </c>
      <c r="F343" s="7" t="inlineStr">
        <is>
          <t>Detenção</t>
        </is>
      </c>
      <c r="G343" s="7" t="inlineStr">
        <is>
          <t>Pública Incondicionada</t>
        </is>
      </c>
      <c r="H343" s="7" t="inlineStr">
        <is>
          <t>Não</t>
        </is>
      </c>
      <c r="I343" s="7" t="inlineStr">
        <is>
          <t>Culposo</t>
        </is>
      </c>
      <c r="J343" s="7" t="inlineStr">
        <is>
          <t>Não</t>
        </is>
      </c>
      <c r="K343" s="7" t="inlineStr">
        <is>
          <t>Não</t>
        </is>
      </c>
      <c r="L343" s="7" t="inlineStr">
        <is>
          <t>Não</t>
        </is>
      </c>
      <c r="M343" s="7" t="inlineStr">
        <is>
          <t>Sim</t>
        </is>
      </c>
      <c r="N343" s="7" t="inlineStr">
        <is>
          <t>Sim</t>
        </is>
      </c>
      <c r="O343" s="7" t="inlineStr">
        <is>
          <t>Sim</t>
        </is>
      </c>
      <c r="P343" s="16" t="inlineStr">
        <is>
          <t>1-2 anos detenção + multa. Deixar de observar as cautelas necessárias para impedir que menor de 18 ou deficiente mental se apodere de arma de fogo</t>
        </is>
      </c>
    </row>
    <row r="344">
      <c r="A344" s="7" t="inlineStr">
        <is>
          <t>Lei 10.826/03</t>
        </is>
      </c>
      <c r="B344" s="7" t="inlineStr">
        <is>
          <t>Art. 14</t>
        </is>
      </c>
      <c r="C344" s="16" t="inlineStr">
        <is>
          <t>Porte ilegal de arma de fogo de uso permitido</t>
        </is>
      </c>
      <c r="D344" s="7" t="n">
        <v>24</v>
      </c>
      <c r="E344" s="7" t="n">
        <v>48</v>
      </c>
      <c r="F344" s="7" t="inlineStr">
        <is>
          <t>Reclusão</t>
        </is>
      </c>
      <c r="G344" s="7" t="inlineStr">
        <is>
          <t>Pública Incondicionada</t>
        </is>
      </c>
      <c r="H344" s="7" t="inlineStr">
        <is>
          <t>Não</t>
        </is>
      </c>
      <c r="I344" s="7" t="inlineStr">
        <is>
          <t>Doloso</t>
        </is>
      </c>
      <c r="J344" s="7" t="inlineStr">
        <is>
          <t>Não</t>
        </is>
      </c>
      <c r="K344" s="7" t="inlineStr">
        <is>
          <t>Não</t>
        </is>
      </c>
      <c r="L344" s="7" t="inlineStr">
        <is>
          <t>Não</t>
        </is>
      </c>
      <c r="M344" s="7" t="inlineStr">
        <is>
          <t>Sim</t>
        </is>
      </c>
      <c r="N344" s="7" t="inlineStr">
        <is>
          <t>Não</t>
        </is>
      </c>
      <c r="O344" s="7" t="inlineStr">
        <is>
          <t>Sim</t>
        </is>
      </c>
      <c r="P344" s="16" t="inlineStr">
        <is>
          <t>2-4 anos reclusão + multa. Portar/deter/adquirir/fornecer/receber/ter em depósito/transportar/ceder/emprestar/remeter/empregar/manter sob guarda ou ocultar arma de fogo acessório ou munição de uso permitido sem autorização</t>
        </is>
      </c>
    </row>
    <row r="345">
      <c r="A345" s="7" t="inlineStr">
        <is>
          <t>Lei 10.826/03</t>
        </is>
      </c>
      <c r="B345" s="7" t="inlineStr">
        <is>
          <t>Art. 15</t>
        </is>
      </c>
      <c r="C345" s="16" t="inlineStr">
        <is>
          <t>Disparo de arma de fogo</t>
        </is>
      </c>
      <c r="D345" s="7" t="n">
        <v>24</v>
      </c>
      <c r="E345" s="7" t="n">
        <v>48</v>
      </c>
      <c r="F345" s="7" t="inlineStr">
        <is>
          <t>Reclusão</t>
        </is>
      </c>
      <c r="G345" s="7" t="inlineStr">
        <is>
          <t>Pública Incondicionada</t>
        </is>
      </c>
      <c r="H345" s="7" t="inlineStr">
        <is>
          <t>Não</t>
        </is>
      </c>
      <c r="I345" s="7" t="inlineStr">
        <is>
          <t>Doloso</t>
        </is>
      </c>
      <c r="J345" s="7" t="inlineStr">
        <is>
          <t>Sim</t>
        </is>
      </c>
      <c r="K345" s="7" t="inlineStr">
        <is>
          <t>Não</t>
        </is>
      </c>
      <c r="L345" s="7" t="inlineStr">
        <is>
          <t>Não</t>
        </is>
      </c>
      <c r="M345" s="7" t="inlineStr">
        <is>
          <t>Sim</t>
        </is>
      </c>
      <c r="N345" s="7" t="inlineStr">
        <is>
          <t>Não</t>
        </is>
      </c>
      <c r="O345" s="7" t="inlineStr">
        <is>
          <t>Sim</t>
        </is>
      </c>
      <c r="P345" s="16" t="inlineStr">
        <is>
          <t>2-4 anos reclusão + multa. Disparar arma de fogo ou acionar munição em lugar habitado ou em suas adjacências, em via pública ou em direção a ela. §único: +1/2 se por funcionário público</t>
        </is>
      </c>
    </row>
    <row r="346">
      <c r="A346" s="17" t="inlineStr">
        <is>
          <t>Lei 10.826/03</t>
        </is>
      </c>
      <c r="B346" s="17" t="inlineStr">
        <is>
          <t>Art. 16, caput</t>
        </is>
      </c>
      <c r="C346" s="18" t="inlineStr">
        <is>
          <t>Posse ou porte ilegal de arma de fogo de uso restrito</t>
        </is>
      </c>
      <c r="D346" s="17" t="n">
        <v>36</v>
      </c>
      <c r="E346" s="17" t="n">
        <v>72</v>
      </c>
      <c r="F346" s="17" t="inlineStr">
        <is>
          <t>Reclusão</t>
        </is>
      </c>
      <c r="G346" s="17" t="inlineStr">
        <is>
          <t>Pública Incondicionada</t>
        </is>
      </c>
      <c r="H346" s="17" t="inlineStr">
        <is>
          <t>Sim</t>
        </is>
      </c>
      <c r="I346" s="17" t="inlineStr">
        <is>
          <t>Doloso</t>
        </is>
      </c>
      <c r="J346" s="17" t="inlineStr">
        <is>
          <t>Não</t>
        </is>
      </c>
      <c r="K346" s="17" t="inlineStr">
        <is>
          <t>Não</t>
        </is>
      </c>
      <c r="L346" s="17" t="inlineStr">
        <is>
          <t>Não</t>
        </is>
      </c>
      <c r="M346" s="17" t="inlineStr">
        <is>
          <t>Não</t>
        </is>
      </c>
      <c r="N346" s="17" t="inlineStr">
        <is>
          <t>Não</t>
        </is>
      </c>
      <c r="O346" s="17" t="inlineStr">
        <is>
          <t>Verificar</t>
        </is>
      </c>
      <c r="P346" s="18" t="inlineStr">
        <is>
          <t>3-6 anos reclusão + multa. HEDIONDO (Lei 13.497/2017). Possuir/deter/portar/adquirir/fornecer/receber/ter em depósito/transportar/ceder/emprestar arma de fogo de uso proibido ou restrito</t>
        </is>
      </c>
    </row>
    <row r="347">
      <c r="A347" s="17" t="inlineStr">
        <is>
          <t>Lei 10.826/03</t>
        </is>
      </c>
      <c r="B347" s="17" t="inlineStr">
        <is>
          <t>Art. 16, §1º</t>
        </is>
      </c>
      <c r="C347" s="18" t="inlineStr">
        <is>
          <t>Condutas equiparadas a posse/porte de arma de uso restrito</t>
        </is>
      </c>
      <c r="D347" s="17" t="n">
        <v>36</v>
      </c>
      <c r="E347" s="17" t="n">
        <v>72</v>
      </c>
      <c r="F347" s="17" t="inlineStr">
        <is>
          <t>Reclusão</t>
        </is>
      </c>
      <c r="G347" s="17" t="inlineStr">
        <is>
          <t>Pública Incondicionada</t>
        </is>
      </c>
      <c r="H347" s="17" t="inlineStr">
        <is>
          <t>Sim</t>
        </is>
      </c>
      <c r="I347" s="17" t="inlineStr">
        <is>
          <t>Doloso</t>
        </is>
      </c>
      <c r="J347" s="17" t="inlineStr">
        <is>
          <t>Não</t>
        </is>
      </c>
      <c r="K347" s="17" t="inlineStr">
        <is>
          <t>Não</t>
        </is>
      </c>
      <c r="L347" s="17" t="inlineStr">
        <is>
          <t>Não</t>
        </is>
      </c>
      <c r="M347" s="17" t="inlineStr">
        <is>
          <t>Não</t>
        </is>
      </c>
      <c r="N347" s="17" t="inlineStr">
        <is>
          <t>Não</t>
        </is>
      </c>
      <c r="O347" s="17" t="inlineStr">
        <is>
          <t>Verificar</t>
        </is>
      </c>
      <c r="P347" s="18" t="inlineStr">
        <is>
          <t>Mesma pena. I - suprimir/alterar marca/numeração/sinal de arma; II - modificar características de arma; III - possuir/deter/portar arma com numeração/marca/sinal suprimido ou alterado; IV - vender/entregar/fornecer arma com numeração/marca/sinal suprimido; V - portar/possuir acessório proibido</t>
        </is>
      </c>
    </row>
    <row r="348">
      <c r="A348" s="17" t="inlineStr">
        <is>
          <t>Lei 10.826/03</t>
        </is>
      </c>
      <c r="B348" s="17" t="inlineStr">
        <is>
          <t>Art. 17</t>
        </is>
      </c>
      <c r="C348" s="18" t="inlineStr">
        <is>
          <t>Comércio ilegal de arma de fogo</t>
        </is>
      </c>
      <c r="D348" s="17" t="n">
        <v>72</v>
      </c>
      <c r="E348" s="17" t="n">
        <v>144</v>
      </c>
      <c r="F348" s="17" t="inlineStr">
        <is>
          <t>Reclusão</t>
        </is>
      </c>
      <c r="G348" s="17" t="inlineStr">
        <is>
          <t>Pública Incondicionada</t>
        </is>
      </c>
      <c r="H348" s="17" t="inlineStr">
        <is>
          <t>Sim</t>
        </is>
      </c>
      <c r="I348" s="17" t="inlineStr">
        <is>
          <t>Doloso</t>
        </is>
      </c>
      <c r="J348" s="17" t="inlineStr">
        <is>
          <t>Sim</t>
        </is>
      </c>
      <c r="K348" s="17" t="inlineStr">
        <is>
          <t>Não</t>
        </is>
      </c>
      <c r="L348" s="17" t="inlineStr">
        <is>
          <t>Não</t>
        </is>
      </c>
      <c r="M348" s="17" t="inlineStr">
        <is>
          <t>Não</t>
        </is>
      </c>
      <c r="N348" s="17" t="inlineStr">
        <is>
          <t>Não</t>
        </is>
      </c>
      <c r="O348" s="17" t="inlineStr">
        <is>
          <t>Verificar</t>
        </is>
      </c>
      <c r="P348" s="18" t="inlineStr">
        <is>
          <t>6-12 anos reclusão + multa. HEDIONDO. Adquirir/alugar/receber/transportar/conduzir/ocultar/ter em depósito/desmontar/montar/remontar/adulterar/vender/expor à venda/ter em depósito arma de fogo/acessório/munição sem autorização, exercendo atividade comercial ou industrial</t>
        </is>
      </c>
    </row>
    <row r="349">
      <c r="A349" s="17" t="inlineStr">
        <is>
          <t>Lei 10.826/03</t>
        </is>
      </c>
      <c r="B349" s="17" t="inlineStr">
        <is>
          <t>Art. 18</t>
        </is>
      </c>
      <c r="C349" s="18" t="inlineStr">
        <is>
          <t>Tráfico internacional de arma de fogo</t>
        </is>
      </c>
      <c r="D349" s="17" t="n">
        <v>96</v>
      </c>
      <c r="E349" s="17" t="n">
        <v>192</v>
      </c>
      <c r="F349" s="17" t="inlineStr">
        <is>
          <t>Reclusão</t>
        </is>
      </c>
      <c r="G349" s="17" t="inlineStr">
        <is>
          <t>Pública Incondicionada</t>
        </is>
      </c>
      <c r="H349" s="17" t="inlineStr">
        <is>
          <t>Sim</t>
        </is>
      </c>
      <c r="I349" s="17" t="inlineStr">
        <is>
          <t>Doloso</t>
        </is>
      </c>
      <c r="J349" s="17" t="inlineStr">
        <is>
          <t>Sim</t>
        </is>
      </c>
      <c r="K349" s="17" t="inlineStr">
        <is>
          <t>Não</t>
        </is>
      </c>
      <c r="L349" s="17" t="inlineStr">
        <is>
          <t>Não</t>
        </is>
      </c>
      <c r="M349" s="17" t="inlineStr">
        <is>
          <t>Não</t>
        </is>
      </c>
      <c r="N349" s="17" t="inlineStr">
        <is>
          <t>Não</t>
        </is>
      </c>
      <c r="O349" s="17" t="inlineStr">
        <is>
          <t>Verificar</t>
        </is>
      </c>
      <c r="P349" s="18" t="inlineStr">
        <is>
          <t>8-16 anos reclusão + multa. HEDIONDO. Importar/exportar/favorecer entrada ou saída do território nacional arma de fogo/acessório/munição sem autorização</t>
        </is>
      </c>
    </row>
    <row r="350">
      <c r="A350" s="7" t="inlineStr">
        <is>
          <t>CTB</t>
        </is>
      </c>
      <c r="B350" s="7" t="inlineStr">
        <is>
          <t>Art. 302, caput</t>
        </is>
      </c>
      <c r="C350" s="16" t="inlineStr">
        <is>
          <t>Homicídio culposo na direção de veículo automotor</t>
        </is>
      </c>
      <c r="D350" s="7" t="n">
        <v>24</v>
      </c>
      <c r="E350" s="7" t="n">
        <v>48</v>
      </c>
      <c r="F350" s="7" t="inlineStr">
        <is>
          <t>Detenção</t>
        </is>
      </c>
      <c r="G350" s="7" t="inlineStr">
        <is>
          <t>Pública Incondicionada</t>
        </is>
      </c>
      <c r="H350" s="7" t="inlineStr">
        <is>
          <t>Não</t>
        </is>
      </c>
      <c r="I350" s="7" t="inlineStr">
        <is>
          <t>Culposo</t>
        </is>
      </c>
      <c r="J350" s="7" t="inlineStr">
        <is>
          <t>Não</t>
        </is>
      </c>
      <c r="K350" s="7" t="inlineStr">
        <is>
          <t>Não</t>
        </is>
      </c>
      <c r="L350" s="7" t="inlineStr">
        <is>
          <t>Não</t>
        </is>
      </c>
      <c r="M350" s="7" t="inlineStr">
        <is>
          <t>Sim</t>
        </is>
      </c>
      <c r="N350" s="7" t="inlineStr">
        <is>
          <t>Não</t>
        </is>
      </c>
      <c r="O350" s="7" t="inlineStr">
        <is>
          <t>Sim</t>
        </is>
      </c>
      <c r="P350" s="16" t="inlineStr">
        <is>
          <t>2-4 anos detenção + suspensão/proibição de dirigir</t>
        </is>
      </c>
    </row>
    <row r="351">
      <c r="A351" s="7" t="inlineStr">
        <is>
          <t>CTB</t>
        </is>
      </c>
      <c r="B351" s="7" t="inlineStr">
        <is>
          <t>Art. 302, §1º, I</t>
        </is>
      </c>
      <c r="C351" s="16" t="inlineStr">
        <is>
          <t>Homicídio culposo na direção com aumento de 1/3 a 1/2 (sem habilitação)</t>
        </is>
      </c>
      <c r="D351" s="7" t="n">
        <v>32</v>
      </c>
      <c r="E351" s="7" t="n">
        <v>72</v>
      </c>
      <c r="F351" s="7" t="inlineStr">
        <is>
          <t>Detenção</t>
        </is>
      </c>
      <c r="G351" s="7" t="inlineStr">
        <is>
          <t>Pública Incondicionada</t>
        </is>
      </c>
      <c r="H351" s="7" t="inlineStr">
        <is>
          <t>Não</t>
        </is>
      </c>
      <c r="I351" s="7" t="inlineStr">
        <is>
          <t>Culposo</t>
        </is>
      </c>
      <c r="J351" s="7" t="inlineStr">
        <is>
          <t>Não</t>
        </is>
      </c>
      <c r="K351" s="7" t="inlineStr">
        <is>
          <t>Não</t>
        </is>
      </c>
      <c r="L351" s="7" t="inlineStr">
        <is>
          <t>Não</t>
        </is>
      </c>
      <c r="M351" s="7" t="inlineStr">
        <is>
          <t>Sim</t>
        </is>
      </c>
      <c r="N351" s="7" t="inlineStr">
        <is>
          <t>Não</t>
        </is>
      </c>
      <c r="O351" s="7" t="inlineStr">
        <is>
          <t>Verificar</t>
        </is>
      </c>
      <c r="P351" s="16" t="inlineStr">
        <is>
          <t>Aumento se não habilitado, não possuir PPD, ou tiver suspensa/cassada a habilitação</t>
        </is>
      </c>
    </row>
    <row r="352">
      <c r="A352" s="7" t="inlineStr">
        <is>
          <t>CTB</t>
        </is>
      </c>
      <c r="B352" s="7" t="inlineStr">
        <is>
          <t>Art. 302, §3º</t>
        </is>
      </c>
      <c r="C352" s="16" t="inlineStr">
        <is>
          <t>Homicídio culposo na direção sob embriaguez ou racha</t>
        </is>
      </c>
      <c r="D352" s="7" t="n">
        <v>60</v>
      </c>
      <c r="E352" s="7" t="n">
        <v>96</v>
      </c>
      <c r="F352" s="7" t="inlineStr">
        <is>
          <t>Reclusão</t>
        </is>
      </c>
      <c r="G352" s="7" t="inlineStr">
        <is>
          <t>Pública Incondicionada</t>
        </is>
      </c>
      <c r="H352" s="7" t="inlineStr">
        <is>
          <t>Não</t>
        </is>
      </c>
      <c r="I352" s="7" t="inlineStr">
        <is>
          <t>Culposo</t>
        </is>
      </c>
      <c r="J352" s="7" t="inlineStr">
        <is>
          <t>Não</t>
        </is>
      </c>
      <c r="K352" s="7" t="inlineStr">
        <is>
          <t>Não</t>
        </is>
      </c>
      <c r="L352" s="7" t="inlineStr">
        <is>
          <t>Não</t>
        </is>
      </c>
      <c r="M352" s="7" t="inlineStr">
        <is>
          <t>Não</t>
        </is>
      </c>
      <c r="N352" s="7" t="inlineStr">
        <is>
          <t>Não</t>
        </is>
      </c>
      <c r="O352" s="7" t="inlineStr">
        <is>
          <t>Verificar</t>
        </is>
      </c>
      <c r="P352" s="16" t="inlineStr">
        <is>
          <t>5-8 anos reclusão. Se condutor sob influência de álcool/substância psicoativa ou participando de racha/exibição (Art. 308)</t>
        </is>
      </c>
    </row>
    <row r="353">
      <c r="A353" s="7" t="inlineStr">
        <is>
          <t>CTB</t>
        </is>
      </c>
      <c r="B353" s="7" t="inlineStr">
        <is>
          <t>Art. 303, caput</t>
        </is>
      </c>
      <c r="C353" s="16" t="inlineStr">
        <is>
          <t>Lesão corporal culposa na direção de veículo automotor</t>
        </is>
      </c>
      <c r="D353" s="7" t="n">
        <v>6</v>
      </c>
      <c r="E353" s="7" t="n">
        <v>24</v>
      </c>
      <c r="F353" s="7" t="inlineStr">
        <is>
          <t>Detenção</t>
        </is>
      </c>
      <c r="G353" s="7" t="inlineStr">
        <is>
          <t>Pública Incondicionada</t>
        </is>
      </c>
      <c r="H353" s="7" t="inlineStr">
        <is>
          <t>Não</t>
        </is>
      </c>
      <c r="I353" s="7" t="inlineStr">
        <is>
          <t>Culposo</t>
        </is>
      </c>
      <c r="J353" s="7" t="inlineStr">
        <is>
          <t>Não</t>
        </is>
      </c>
      <c r="K353" s="7" t="inlineStr">
        <is>
          <t>Não</t>
        </is>
      </c>
      <c r="L353" s="7" t="inlineStr">
        <is>
          <t>Não</t>
        </is>
      </c>
      <c r="M353" s="7" t="inlineStr">
        <is>
          <t>Sim</t>
        </is>
      </c>
      <c r="N353" s="7" t="inlineStr">
        <is>
          <t>Sim</t>
        </is>
      </c>
      <c r="O353" s="7" t="inlineStr">
        <is>
          <t>Sim</t>
        </is>
      </c>
      <c r="P353" s="16" t="inlineStr">
        <is>
          <t>6 meses a 2 anos detenção + suspensão/proibição de dirigir</t>
        </is>
      </c>
    </row>
    <row r="354">
      <c r="A354" s="7" t="inlineStr">
        <is>
          <t>CTB</t>
        </is>
      </c>
      <c r="B354" s="7" t="inlineStr">
        <is>
          <t>Art. 303, §2º</t>
        </is>
      </c>
      <c r="C354" s="16" t="inlineStr">
        <is>
          <t>Lesão corporal culposa na direção sob embriaguez (grave/gravíssima)</t>
        </is>
      </c>
      <c r="D354" s="7" t="n">
        <v>24</v>
      </c>
      <c r="E354" s="7" t="n">
        <v>60</v>
      </c>
      <c r="F354" s="7" t="inlineStr">
        <is>
          <t>Reclusão</t>
        </is>
      </c>
      <c r="G354" s="7" t="inlineStr">
        <is>
          <t>Pública Incondicionada</t>
        </is>
      </c>
      <c r="H354" s="7" t="inlineStr">
        <is>
          <t>Não</t>
        </is>
      </c>
      <c r="I354" s="7" t="inlineStr">
        <is>
          <t>Culposo</t>
        </is>
      </c>
      <c r="J354" s="7" t="inlineStr">
        <is>
          <t>Não</t>
        </is>
      </c>
      <c r="K354" s="7" t="inlineStr">
        <is>
          <t>Não</t>
        </is>
      </c>
      <c r="L354" s="7" t="inlineStr">
        <is>
          <t>Não</t>
        </is>
      </c>
      <c r="M354" s="7" t="inlineStr">
        <is>
          <t>Sim</t>
        </is>
      </c>
      <c r="N354" s="7" t="inlineStr">
        <is>
          <t>Não</t>
        </is>
      </c>
      <c r="O354" s="7" t="inlineStr">
        <is>
          <t>Sim</t>
        </is>
      </c>
      <c r="P354" s="16" t="inlineStr">
        <is>
          <t>2-5 anos reclusão se resulta lesão grave/gravíssima + condutor sob influência de álcool ou em racha</t>
        </is>
      </c>
    </row>
    <row r="355">
      <c r="A355" s="7" t="inlineStr">
        <is>
          <t>CTB</t>
        </is>
      </c>
      <c r="B355" s="7" t="inlineStr">
        <is>
          <t>Art. 304</t>
        </is>
      </c>
      <c r="C355" s="16" t="inlineStr">
        <is>
          <t>Omissão de socorro na via pública pelo condutor</t>
        </is>
      </c>
      <c r="D355" s="7" t="n">
        <v>6</v>
      </c>
      <c r="E355" s="7" t="n">
        <v>12</v>
      </c>
      <c r="F355" s="7" t="inlineStr">
        <is>
          <t>Detenção</t>
        </is>
      </c>
      <c r="G355" s="7" t="inlineStr">
        <is>
          <t>Pública Incondicionada</t>
        </is>
      </c>
      <c r="H355" s="7" t="inlineStr">
        <is>
          <t>Não</t>
        </is>
      </c>
      <c r="I355" s="7" t="inlineStr">
        <is>
          <t>Doloso</t>
        </is>
      </c>
      <c r="J355" s="7" t="inlineStr">
        <is>
          <t>Não</t>
        </is>
      </c>
      <c r="K355" s="7" t="inlineStr">
        <is>
          <t>Não</t>
        </is>
      </c>
      <c r="L355" s="7" t="inlineStr">
        <is>
          <t>Não</t>
        </is>
      </c>
      <c r="M355" s="7" t="inlineStr">
        <is>
          <t>Sim</t>
        </is>
      </c>
      <c r="N355" s="7" t="inlineStr">
        <is>
          <t>Sim</t>
        </is>
      </c>
      <c r="O355" s="7" t="inlineStr">
        <is>
          <t>Sim</t>
        </is>
      </c>
      <c r="P355" s="16" t="inlineStr">
        <is>
          <t>6 meses a 1 ano detenção + suspensão/proibição de dirigir. +1/3 se na faixa de pedestre ou calçada</t>
        </is>
      </c>
    </row>
    <row r="356">
      <c r="A356" s="7" t="inlineStr">
        <is>
          <t>CTB</t>
        </is>
      </c>
      <c r="B356" s="7" t="inlineStr">
        <is>
          <t>Art. 305</t>
        </is>
      </c>
      <c r="C356" s="16" t="inlineStr">
        <is>
          <t>Fuga do local do acidente para evitar responsabilidade penal ou civil</t>
        </is>
      </c>
      <c r="D356" s="7" t="n">
        <v>6</v>
      </c>
      <c r="E356" s="7" t="n">
        <v>12</v>
      </c>
      <c r="F356" s="7" t="inlineStr">
        <is>
          <t>Detenção</t>
        </is>
      </c>
      <c r="G356" s="7" t="inlineStr">
        <is>
          <t>Pública Incondicionada</t>
        </is>
      </c>
      <c r="H356" s="7" t="inlineStr">
        <is>
          <t>Não</t>
        </is>
      </c>
      <c r="I356" s="7" t="inlineStr">
        <is>
          <t>Doloso</t>
        </is>
      </c>
      <c r="J356" s="7" t="inlineStr">
        <is>
          <t>Sim</t>
        </is>
      </c>
      <c r="K356" s="7" t="inlineStr">
        <is>
          <t>Não</t>
        </is>
      </c>
      <c r="L356" s="7" t="inlineStr">
        <is>
          <t>Não</t>
        </is>
      </c>
      <c r="M356" s="7" t="inlineStr">
        <is>
          <t>Sim</t>
        </is>
      </c>
      <c r="N356" s="7" t="inlineStr">
        <is>
          <t>Sim</t>
        </is>
      </c>
      <c r="O356" s="7" t="inlineStr">
        <is>
          <t>Sim</t>
        </is>
      </c>
      <c r="P356" s="16" t="inlineStr">
        <is>
          <t>6 meses a 1 ano detenção ou multa + suspensão/proibição de dirigir</t>
        </is>
      </c>
    </row>
    <row r="357">
      <c r="A357" s="7" t="inlineStr">
        <is>
          <t>CTB</t>
        </is>
      </c>
      <c r="B357" s="7" t="inlineStr">
        <is>
          <t>Art. 306</t>
        </is>
      </c>
      <c r="C357" s="16" t="inlineStr">
        <is>
          <t>Embriaguez ao volante</t>
        </is>
      </c>
      <c r="D357" s="7" t="n">
        <v>6</v>
      </c>
      <c r="E357" s="7" t="n">
        <v>36</v>
      </c>
      <c r="F357" s="7" t="inlineStr">
        <is>
          <t>Detenção</t>
        </is>
      </c>
      <c r="G357" s="7" t="inlineStr">
        <is>
          <t>Pública Incondicionada</t>
        </is>
      </c>
      <c r="H357" s="7" t="inlineStr">
        <is>
          <t>Não</t>
        </is>
      </c>
      <c r="I357" s="7" t="inlineStr">
        <is>
          <t>Doloso</t>
        </is>
      </c>
      <c r="J357" s="7" t="inlineStr">
        <is>
          <t>Não</t>
        </is>
      </c>
      <c r="K357" s="7" t="inlineStr">
        <is>
          <t>Não</t>
        </is>
      </c>
      <c r="L357" s="7" t="inlineStr">
        <is>
          <t>Não</t>
        </is>
      </c>
      <c r="M357" s="7" t="inlineStr">
        <is>
          <t>Sim</t>
        </is>
      </c>
      <c r="N357" s="7" t="inlineStr">
        <is>
          <t>Sim</t>
        </is>
      </c>
      <c r="O357" s="7" t="inlineStr">
        <is>
          <t>Sim</t>
        </is>
      </c>
      <c r="P357" s="16" t="inlineStr">
        <is>
          <t>6 meses a 3 anos detenção + multa + suspensão/proibição de dirigir. Conduzir sob influência de álcool ou outra substância psicoativa (≥ 0,34 mg/L no etilômetro ou sinais de alteração)</t>
        </is>
      </c>
    </row>
    <row r="358">
      <c r="A358" s="7" t="inlineStr">
        <is>
          <t>CTB</t>
        </is>
      </c>
      <c r="B358" s="7" t="inlineStr">
        <is>
          <t>Art. 307</t>
        </is>
      </c>
      <c r="C358" s="16" t="inlineStr">
        <is>
          <t>Violação da suspensão ou proibição de dirigir</t>
        </is>
      </c>
      <c r="D358" s="7" t="n">
        <v>6</v>
      </c>
      <c r="E358" s="7" t="n">
        <v>12</v>
      </c>
      <c r="F358" s="7" t="inlineStr">
        <is>
          <t>Detenção</t>
        </is>
      </c>
      <c r="G358" s="7" t="inlineStr">
        <is>
          <t>Pública Incondicionada</t>
        </is>
      </c>
      <c r="H358" s="7" t="inlineStr">
        <is>
          <t>Não</t>
        </is>
      </c>
      <c r="I358" s="7" t="inlineStr">
        <is>
          <t>Doloso</t>
        </is>
      </c>
      <c r="J358" s="7" t="inlineStr">
        <is>
          <t>Sim</t>
        </is>
      </c>
      <c r="K358" s="7" t="inlineStr">
        <is>
          <t>Não</t>
        </is>
      </c>
      <c r="L358" s="7" t="inlineStr">
        <is>
          <t>Não</t>
        </is>
      </c>
      <c r="M358" s="7" t="inlineStr">
        <is>
          <t>Sim</t>
        </is>
      </c>
      <c r="N358" s="7" t="inlineStr">
        <is>
          <t>Sim</t>
        </is>
      </c>
      <c r="O358" s="7" t="inlineStr">
        <is>
          <t>Sim</t>
        </is>
      </c>
      <c r="P358" s="16" t="inlineStr">
        <is>
          <t>6 meses a 1 ano detenção + multa + nova suspensão/proibição</t>
        </is>
      </c>
    </row>
    <row r="359">
      <c r="A359" s="7" t="inlineStr">
        <is>
          <t>CTB</t>
        </is>
      </c>
      <c r="B359" s="7" t="inlineStr">
        <is>
          <t>Art. 308</t>
        </is>
      </c>
      <c r="C359" s="16" t="inlineStr">
        <is>
          <t>Racha (competição não autorizada em via pública)</t>
        </is>
      </c>
      <c r="D359" s="7" t="n">
        <v>6</v>
      </c>
      <c r="E359" s="7" t="n">
        <v>36</v>
      </c>
      <c r="F359" s="7" t="inlineStr">
        <is>
          <t>Detenção</t>
        </is>
      </c>
      <c r="G359" s="7" t="inlineStr">
        <is>
          <t>Pública Incondicionada</t>
        </is>
      </c>
      <c r="H359" s="7" t="inlineStr">
        <is>
          <t>Não</t>
        </is>
      </c>
      <c r="I359" s="7" t="inlineStr">
        <is>
          <t>Doloso</t>
        </is>
      </c>
      <c r="J359" s="7" t="inlineStr">
        <is>
          <t>Sim</t>
        </is>
      </c>
      <c r="K359" s="7" t="inlineStr">
        <is>
          <t>Não</t>
        </is>
      </c>
      <c r="L359" s="7" t="inlineStr">
        <is>
          <t>Não</t>
        </is>
      </c>
      <c r="M359" s="7" t="inlineStr">
        <is>
          <t>Sim</t>
        </is>
      </c>
      <c r="N359" s="7" t="inlineStr">
        <is>
          <t>Sim</t>
        </is>
      </c>
      <c r="O359" s="7" t="inlineStr">
        <is>
          <t>Sim</t>
        </is>
      </c>
      <c r="P359" s="16" t="inlineStr">
        <is>
          <t>6 meses a 3 anos detenção + multa + suspensão/proibição. §1º: +1/3 se com aposta. §2º: se resulta lesão grave: 3-6a reclusão. Se resulta morte: 5-10a reclusão</t>
        </is>
      </c>
    </row>
    <row r="360">
      <c r="A360" s="7" t="inlineStr">
        <is>
          <t>CTB</t>
        </is>
      </c>
      <c r="B360" s="7" t="inlineStr">
        <is>
          <t>Art. 309</t>
        </is>
      </c>
      <c r="C360" s="16" t="inlineStr">
        <is>
          <t>Direção sem habilitação gerando perigo de dano</t>
        </is>
      </c>
      <c r="D360" s="7" t="n">
        <v>6</v>
      </c>
      <c r="E360" s="7" t="n">
        <v>12</v>
      </c>
      <c r="F360" s="7" t="inlineStr">
        <is>
          <t>Detenção</t>
        </is>
      </c>
      <c r="G360" s="7" t="inlineStr">
        <is>
          <t>Pública Incondicionada</t>
        </is>
      </c>
      <c r="H360" s="7" t="inlineStr">
        <is>
          <t>Não</t>
        </is>
      </c>
      <c r="I360" s="7" t="inlineStr">
        <is>
          <t>Doloso</t>
        </is>
      </c>
      <c r="J360" s="7" t="inlineStr">
        <is>
          <t>Sim</t>
        </is>
      </c>
      <c r="K360" s="7" t="inlineStr">
        <is>
          <t>Não</t>
        </is>
      </c>
      <c r="L360" s="7" t="inlineStr">
        <is>
          <t>Não</t>
        </is>
      </c>
      <c r="M360" s="7" t="inlineStr">
        <is>
          <t>Sim</t>
        </is>
      </c>
      <c r="N360" s="7" t="inlineStr">
        <is>
          <t>Sim</t>
        </is>
      </c>
      <c r="O360" s="7" t="inlineStr">
        <is>
          <t>Sim</t>
        </is>
      </c>
      <c r="P360" s="16" t="inlineStr">
        <is>
          <t>6 meses a 1 ano detenção ou multa</t>
        </is>
      </c>
    </row>
    <row r="361">
      <c r="A361" s="7" t="inlineStr">
        <is>
          <t>CTB</t>
        </is>
      </c>
      <c r="B361" s="7" t="inlineStr">
        <is>
          <t>Art. 310</t>
        </is>
      </c>
      <c r="C361" s="16" t="inlineStr">
        <is>
          <t>Entrega de veículo a pessoa não habilitada/sem condições de dirigir</t>
        </is>
      </c>
      <c r="D361" s="7" t="n">
        <v>6</v>
      </c>
      <c r="E361" s="7" t="n">
        <v>36</v>
      </c>
      <c r="F361" s="7" t="inlineStr">
        <is>
          <t>Detenção</t>
        </is>
      </c>
      <c r="G361" s="7" t="inlineStr">
        <is>
          <t>Pública Incondicionada</t>
        </is>
      </c>
      <c r="H361" s="7" t="inlineStr">
        <is>
          <t>Não</t>
        </is>
      </c>
      <c r="I361" s="7" t="inlineStr">
        <is>
          <t>Doloso</t>
        </is>
      </c>
      <c r="J361" s="7" t="inlineStr">
        <is>
          <t>Sim</t>
        </is>
      </c>
      <c r="K361" s="7" t="inlineStr">
        <is>
          <t>Não</t>
        </is>
      </c>
      <c r="L361" s="7" t="inlineStr">
        <is>
          <t>Não</t>
        </is>
      </c>
      <c r="M361" s="7" t="inlineStr">
        <is>
          <t>Sim</t>
        </is>
      </c>
      <c r="N361" s="7" t="inlineStr">
        <is>
          <t>Sim</t>
        </is>
      </c>
      <c r="O361" s="7" t="inlineStr">
        <is>
          <t>Sim</t>
        </is>
      </c>
      <c r="P361" s="16" t="inlineStr">
        <is>
          <t>6 meses a 3 anos detenção + multa + suspensão/proibição. Confiar/entregar a direção de veículo a pessoa não habilitada, com habilitação cassada/suspensa, ou sem condições de conduzi-lo com segurança</t>
        </is>
      </c>
    </row>
    <row r="362">
      <c r="A362" s="7" t="inlineStr">
        <is>
          <t>CTB</t>
        </is>
      </c>
      <c r="B362" s="7" t="inlineStr">
        <is>
          <t>Art. 311</t>
        </is>
      </c>
      <c r="C362" s="16" t="inlineStr">
        <is>
          <t>Trafegar em velocidade incompatível em áreas sensíveis (escolas, hospitais)</t>
        </is>
      </c>
      <c r="D362" s="7" t="n">
        <v>6</v>
      </c>
      <c r="E362" s="7" t="n">
        <v>12</v>
      </c>
      <c r="F362" s="7" t="inlineStr">
        <is>
          <t>Detenção</t>
        </is>
      </c>
      <c r="G362" s="7" t="inlineStr">
        <is>
          <t>Pública Incondicionada</t>
        </is>
      </c>
      <c r="H362" s="7" t="inlineStr">
        <is>
          <t>Não</t>
        </is>
      </c>
      <c r="I362" s="7" t="inlineStr">
        <is>
          <t>Doloso</t>
        </is>
      </c>
      <c r="J362" s="7" t="inlineStr">
        <is>
          <t>Sim</t>
        </is>
      </c>
      <c r="K362" s="7" t="inlineStr">
        <is>
          <t>Não</t>
        </is>
      </c>
      <c r="L362" s="7" t="inlineStr">
        <is>
          <t>Não</t>
        </is>
      </c>
      <c r="M362" s="7" t="inlineStr">
        <is>
          <t>Sim</t>
        </is>
      </c>
      <c r="N362" s="7" t="inlineStr">
        <is>
          <t>Sim</t>
        </is>
      </c>
      <c r="O362" s="7" t="inlineStr">
        <is>
          <t>Sim</t>
        </is>
      </c>
      <c r="P362" s="16" t="inlineStr">
        <is>
          <t>6 meses a 1 ano detenção ou multa</t>
        </is>
      </c>
    </row>
    <row r="363">
      <c r="A363" s="7" t="inlineStr">
        <is>
          <t>CTB</t>
        </is>
      </c>
      <c r="B363" s="7" t="inlineStr">
        <is>
          <t>Art. 312</t>
        </is>
      </c>
      <c r="C363" s="16" t="inlineStr">
        <is>
          <t>Fraude processual em sinistro de trânsito (alteração de local)</t>
        </is>
      </c>
      <c r="D363" s="7" t="n">
        <v>6</v>
      </c>
      <c r="E363" s="7" t="n">
        <v>12</v>
      </c>
      <c r="F363" s="7" t="inlineStr">
        <is>
          <t>Detenção</t>
        </is>
      </c>
      <c r="G363" s="7" t="inlineStr">
        <is>
          <t>Pública Incondicionada</t>
        </is>
      </c>
      <c r="H363" s="7" t="inlineStr">
        <is>
          <t>Não</t>
        </is>
      </c>
      <c r="I363" s="7" t="inlineStr">
        <is>
          <t>Doloso</t>
        </is>
      </c>
      <c r="J363" s="7" t="inlineStr">
        <is>
          <t>Sim</t>
        </is>
      </c>
      <c r="K363" s="7" t="inlineStr">
        <is>
          <t>Não</t>
        </is>
      </c>
      <c r="L363" s="7" t="inlineStr">
        <is>
          <t>Não</t>
        </is>
      </c>
      <c r="M363" s="7" t="inlineStr">
        <is>
          <t>Sim</t>
        </is>
      </c>
      <c r="N363" s="7" t="inlineStr">
        <is>
          <t>Sim</t>
        </is>
      </c>
      <c r="O363" s="7" t="inlineStr">
        <is>
          <t>Sim</t>
        </is>
      </c>
      <c r="P363" s="16" t="inlineStr">
        <is>
          <t>6 meses a 1 ano detenção ou multa. Inovar artificiosamente o estado de lugar, de coisa ou de pessoa em procedimento de sinistro de trânsito</t>
        </is>
      </c>
    </row>
    <row r="364">
      <c r="A364" s="7" t="inlineStr">
        <is>
          <t>Lei 9.605/98</t>
        </is>
      </c>
      <c r="B364" s="7" t="inlineStr">
        <is>
          <t>Art. 29</t>
        </is>
      </c>
      <c r="C364" s="16" t="inlineStr">
        <is>
          <t>Crimes contra a fauna (matar/perseguir/caçar/apanhar/utilizar espécimes da fauna silvestre sem permissão)</t>
        </is>
      </c>
      <c r="D364" s="7" t="n">
        <v>6</v>
      </c>
      <c r="E364" s="7" t="n">
        <v>12</v>
      </c>
      <c r="F364" s="7" t="inlineStr">
        <is>
          <t>Detenção</t>
        </is>
      </c>
      <c r="G364" s="7" t="inlineStr">
        <is>
          <t>Pública Incondicionada</t>
        </is>
      </c>
      <c r="H364" s="7" t="inlineStr">
        <is>
          <t>Não</t>
        </is>
      </c>
      <c r="I364" s="7" t="inlineStr">
        <is>
          <t>Doloso</t>
        </is>
      </c>
      <c r="J364" s="7" t="inlineStr">
        <is>
          <t>Sim</t>
        </is>
      </c>
      <c r="K364" s="7" t="inlineStr">
        <is>
          <t>Não</t>
        </is>
      </c>
      <c r="L364" s="7" t="inlineStr">
        <is>
          <t>Não</t>
        </is>
      </c>
      <c r="M364" s="7" t="inlineStr">
        <is>
          <t>Sim</t>
        </is>
      </c>
      <c r="N364" s="7" t="inlineStr">
        <is>
          <t>Sim</t>
        </is>
      </c>
      <c r="O364" s="7" t="inlineStr">
        <is>
          <t>Sim</t>
        </is>
      </c>
      <c r="P364" s="16" t="inlineStr">
        <is>
          <t>6 meses a 1 ano detenção + multa. §1º: mesma pena para quem impede a procriação, modifica/danifica/destrói ninho/abrigo/criadouro, vende/expõe/exporta. §4º: +1/2 se contra espécie rara/ameaçada ou em unidade de conservação, período proibido, noturno, com abuso de licença, etc.</t>
        </is>
      </c>
    </row>
    <row r="365">
      <c r="A365" s="7" t="inlineStr">
        <is>
          <t>Lei 9.605/98</t>
        </is>
      </c>
      <c r="B365" s="7" t="inlineStr">
        <is>
          <t>Art. 30</t>
        </is>
      </c>
      <c r="C365" s="16" t="inlineStr">
        <is>
          <t>Exportação de peles/couros de anfíbios/répteis sem autorização</t>
        </is>
      </c>
      <c r="D365" s="7" t="n">
        <v>12</v>
      </c>
      <c r="E365" s="7" t="n">
        <v>36</v>
      </c>
      <c r="F365" s="7" t="inlineStr">
        <is>
          <t>Reclusão</t>
        </is>
      </c>
      <c r="G365" s="7" t="inlineStr">
        <is>
          <t>Pública Incondicionada</t>
        </is>
      </c>
      <c r="H365" s="7" t="inlineStr">
        <is>
          <t>Não</t>
        </is>
      </c>
      <c r="I365" s="7" t="inlineStr">
        <is>
          <t>Doloso</t>
        </is>
      </c>
      <c r="J365" s="7" t="inlineStr">
        <is>
          <t>Sim</t>
        </is>
      </c>
      <c r="K365" s="7" t="inlineStr">
        <is>
          <t>Não</t>
        </is>
      </c>
      <c r="L365" s="7" t="inlineStr">
        <is>
          <t>Não</t>
        </is>
      </c>
      <c r="M365" s="7" t="inlineStr">
        <is>
          <t>Sim</t>
        </is>
      </c>
      <c r="N365" s="7" t="inlineStr">
        <is>
          <t>Sim</t>
        </is>
      </c>
      <c r="O365" s="7" t="inlineStr">
        <is>
          <t>Sim</t>
        </is>
      </c>
      <c r="P365" s="16" t="inlineStr">
        <is>
          <t>1-3 anos reclusão + multa</t>
        </is>
      </c>
    </row>
    <row r="366">
      <c r="A366" s="7" t="inlineStr">
        <is>
          <t>Lei 9.605/98</t>
        </is>
      </c>
      <c r="B366" s="7" t="inlineStr">
        <is>
          <t>Art. 31</t>
        </is>
      </c>
      <c r="C366" s="16" t="inlineStr">
        <is>
          <t>Introdução de espécime animal no País sem parecer técnico oficial favorável</t>
        </is>
      </c>
      <c r="D366" s="7" t="n">
        <v>3</v>
      </c>
      <c r="E366" s="7" t="n">
        <v>12</v>
      </c>
      <c r="F366" s="7" t="inlineStr">
        <is>
          <t>Detenção</t>
        </is>
      </c>
      <c r="G366" s="7" t="inlineStr">
        <is>
          <t>Pública Incondicionada</t>
        </is>
      </c>
      <c r="H366" s="7" t="inlineStr">
        <is>
          <t>Não</t>
        </is>
      </c>
      <c r="I366" s="7" t="inlineStr">
        <is>
          <t>Doloso</t>
        </is>
      </c>
      <c r="J366" s="7" t="inlineStr">
        <is>
          <t>Sim</t>
        </is>
      </c>
      <c r="K366" s="7" t="inlineStr">
        <is>
          <t>Não</t>
        </is>
      </c>
      <c r="L366" s="7" t="inlineStr">
        <is>
          <t>Não</t>
        </is>
      </c>
      <c r="M366" s="7" t="inlineStr">
        <is>
          <t>Sim</t>
        </is>
      </c>
      <c r="N366" s="7" t="inlineStr">
        <is>
          <t>Sim</t>
        </is>
      </c>
      <c r="O366" s="7" t="inlineStr">
        <is>
          <t>Sim</t>
        </is>
      </c>
      <c r="P366" s="16" t="inlineStr">
        <is>
          <t>3 meses a 1 ano detenção + multa</t>
        </is>
      </c>
    </row>
    <row r="367">
      <c r="A367" s="26" t="inlineStr">
        <is>
          <t>Lei 9.605/98</t>
        </is>
      </c>
      <c r="B367" s="26" t="inlineStr">
        <is>
          <t>Art. 32</t>
        </is>
      </c>
      <c r="C367" s="27" t="inlineStr">
        <is>
          <t>Maus-tratos a animais (abuso/ferir/mutilar)</t>
        </is>
      </c>
      <c r="D367" s="26" t="n">
        <v>3</v>
      </c>
      <c r="E367" s="26" t="n">
        <v>12</v>
      </c>
      <c r="F367" s="26" t="inlineStr">
        <is>
          <t>Detenção</t>
        </is>
      </c>
      <c r="G367" s="26" t="inlineStr">
        <is>
          <t>Pública Incondicionada</t>
        </is>
      </c>
      <c r="H367" s="26" t="inlineStr">
        <is>
          <t>Não</t>
        </is>
      </c>
      <c r="I367" s="26" t="inlineStr">
        <is>
          <t>Doloso</t>
        </is>
      </c>
      <c r="J367" s="26" t="inlineStr">
        <is>
          <t>Sim</t>
        </is>
      </c>
      <c r="K367" s="26" t="inlineStr">
        <is>
          <t>Sim</t>
        </is>
      </c>
      <c r="L367" s="26" t="inlineStr">
        <is>
          <t>Não</t>
        </is>
      </c>
      <c r="M367" s="26" t="inlineStr">
        <is>
          <t>Não</t>
        </is>
      </c>
      <c r="N367" s="26" t="inlineStr">
        <is>
          <t>Sim</t>
        </is>
      </c>
      <c r="O367" s="26" t="inlineStr">
        <is>
          <t>Sim</t>
        </is>
      </c>
      <c r="P367" s="27" t="inlineStr">
        <is>
          <t>3 meses a 1 ano detenção + multa. §1º-A: se cão ou gato: 2-5 anos reclusão + multa + proibição de guarda (Lei 14.064/2020). §2º: mesma pena para experiências dolorosas em animal vivo</t>
        </is>
      </c>
    </row>
    <row r="368">
      <c r="A368" s="7" t="inlineStr">
        <is>
          <t>Lei 9.605/98</t>
        </is>
      </c>
      <c r="B368" s="7" t="inlineStr">
        <is>
          <t>Art. 33</t>
        </is>
      </c>
      <c r="C368" s="16" t="inlineStr">
        <is>
          <t>Pesca em período ou local proibido</t>
        </is>
      </c>
      <c r="D368" s="7" t="n">
        <v>12</v>
      </c>
      <c r="E368" s="7" t="n">
        <v>36</v>
      </c>
      <c r="F368" s="7" t="inlineStr">
        <is>
          <t>Detenção</t>
        </is>
      </c>
      <c r="G368" s="7" t="inlineStr">
        <is>
          <t>Pública Incondicionada</t>
        </is>
      </c>
      <c r="H368" s="7" t="inlineStr">
        <is>
          <t>Não</t>
        </is>
      </c>
      <c r="I368" s="7" t="inlineStr">
        <is>
          <t>Doloso</t>
        </is>
      </c>
      <c r="J368" s="7" t="inlineStr">
        <is>
          <t>Sim</t>
        </is>
      </c>
      <c r="K368" s="7" t="inlineStr">
        <is>
          <t>Não</t>
        </is>
      </c>
      <c r="L368" s="7" t="inlineStr">
        <is>
          <t>Não</t>
        </is>
      </c>
      <c r="M368" s="7" t="inlineStr">
        <is>
          <t>Sim</t>
        </is>
      </c>
      <c r="N368" s="7" t="inlineStr">
        <is>
          <t>Sim</t>
        </is>
      </c>
      <c r="O368" s="7" t="inlineStr">
        <is>
          <t>Sim</t>
        </is>
      </c>
      <c r="P368" s="16" t="inlineStr">
        <is>
          <t>1-3 anos detenção ou multa ou ambas. Provocar perecimento de espécimes da fauna aquática pela emissão de efluentes ou carreamento de materiais</t>
        </is>
      </c>
    </row>
    <row r="369">
      <c r="A369" s="7" t="inlineStr">
        <is>
          <t>Lei 9.605/98</t>
        </is>
      </c>
      <c r="B369" s="7" t="inlineStr">
        <is>
          <t>Art. 34</t>
        </is>
      </c>
      <c r="C369" s="16" t="inlineStr">
        <is>
          <t>Pesca proibida (período/espécies/quantidade/aparelho)</t>
        </is>
      </c>
      <c r="D369" s="7" t="n">
        <v>12</v>
      </c>
      <c r="E369" s="7" t="n">
        <v>36</v>
      </c>
      <c r="F369" s="7" t="inlineStr">
        <is>
          <t>Detenção</t>
        </is>
      </c>
      <c r="G369" s="7" t="inlineStr">
        <is>
          <t>Pública Incondicionada</t>
        </is>
      </c>
      <c r="H369" s="7" t="inlineStr">
        <is>
          <t>Não</t>
        </is>
      </c>
      <c r="I369" s="7" t="inlineStr">
        <is>
          <t>Doloso</t>
        </is>
      </c>
      <c r="J369" s="7" t="inlineStr">
        <is>
          <t>Sim</t>
        </is>
      </c>
      <c r="K369" s="7" t="inlineStr">
        <is>
          <t>Não</t>
        </is>
      </c>
      <c r="L369" s="7" t="inlineStr">
        <is>
          <t>Não</t>
        </is>
      </c>
      <c r="M369" s="7" t="inlineStr">
        <is>
          <t>Sim</t>
        </is>
      </c>
      <c r="N369" s="7" t="inlineStr">
        <is>
          <t>Sim</t>
        </is>
      </c>
      <c r="O369" s="7" t="inlineStr">
        <is>
          <t>Sim</t>
        </is>
      </c>
      <c r="P369" s="16" t="inlineStr">
        <is>
          <t>1-3 anos detenção ou multa ou ambas</t>
        </is>
      </c>
    </row>
    <row r="370">
      <c r="A370" s="7" t="inlineStr">
        <is>
          <t>Lei 9.605/98</t>
        </is>
      </c>
      <c r="B370" s="7" t="inlineStr">
        <is>
          <t>Art. 35</t>
        </is>
      </c>
      <c r="C370" s="16" t="inlineStr">
        <is>
          <t>Pesca com explosivos/substâncias tóxicas ou métodos destrutivos</t>
        </is>
      </c>
      <c r="D370" s="7" t="n">
        <v>12</v>
      </c>
      <c r="E370" s="7" t="n">
        <v>60</v>
      </c>
      <c r="F370" s="7" t="inlineStr">
        <is>
          <t>Reclusão</t>
        </is>
      </c>
      <c r="G370" s="7" t="inlineStr">
        <is>
          <t>Pública Incondicionada</t>
        </is>
      </c>
      <c r="H370" s="7" t="inlineStr">
        <is>
          <t>Não</t>
        </is>
      </c>
      <c r="I370" s="7" t="inlineStr">
        <is>
          <t>Doloso</t>
        </is>
      </c>
      <c r="J370" s="7" t="inlineStr">
        <is>
          <t>Sim</t>
        </is>
      </c>
      <c r="K370" s="7" t="inlineStr">
        <is>
          <t>Não</t>
        </is>
      </c>
      <c r="L370" s="7" t="inlineStr">
        <is>
          <t>Não</t>
        </is>
      </c>
      <c r="M370" s="7" t="inlineStr">
        <is>
          <t>Sim</t>
        </is>
      </c>
      <c r="N370" s="7" t="inlineStr">
        <is>
          <t>Sim</t>
        </is>
      </c>
      <c r="O370" s="7" t="inlineStr">
        <is>
          <t>Sim</t>
        </is>
      </c>
      <c r="P370" s="16" t="inlineStr">
        <is>
          <t>1-5 anos reclusão</t>
        </is>
      </c>
    </row>
    <row r="371">
      <c r="A371" s="7" t="inlineStr">
        <is>
          <t>Lei 9.605/98</t>
        </is>
      </c>
      <c r="B371" s="7" t="inlineStr">
        <is>
          <t>Art. 38</t>
        </is>
      </c>
      <c r="C371" s="16" t="inlineStr">
        <is>
          <t>Destruir ou danificar floresta de preservação permanente</t>
        </is>
      </c>
      <c r="D371" s="7" t="n">
        <v>12</v>
      </c>
      <c r="E371" s="7" t="n">
        <v>36</v>
      </c>
      <c r="F371" s="7" t="inlineStr">
        <is>
          <t>Detenção</t>
        </is>
      </c>
      <c r="G371" s="7" t="inlineStr">
        <is>
          <t>Pública Incondicionada</t>
        </is>
      </c>
      <c r="H371" s="7" t="inlineStr">
        <is>
          <t>Não</t>
        </is>
      </c>
      <c r="I371" s="7" t="inlineStr">
        <is>
          <t>Doloso</t>
        </is>
      </c>
      <c r="J371" s="7" t="inlineStr">
        <is>
          <t>Sim</t>
        </is>
      </c>
      <c r="K371" s="7" t="inlineStr">
        <is>
          <t>Não</t>
        </is>
      </c>
      <c r="L371" s="7" t="inlineStr">
        <is>
          <t>Não</t>
        </is>
      </c>
      <c r="M371" s="7" t="inlineStr">
        <is>
          <t>Sim</t>
        </is>
      </c>
      <c r="N371" s="7" t="inlineStr">
        <is>
          <t>Sim</t>
        </is>
      </c>
      <c r="O371" s="7" t="inlineStr">
        <is>
          <t>Sim</t>
        </is>
      </c>
      <c r="P371" s="16" t="inlineStr">
        <is>
          <t>1-3 anos detenção ou multa ou ambas. Se culposo: 6m-1a detenção</t>
        </is>
      </c>
    </row>
    <row r="372">
      <c r="A372" s="7" t="inlineStr">
        <is>
          <t>Lei 9.605/98</t>
        </is>
      </c>
      <c r="B372" s="7" t="inlineStr">
        <is>
          <t>Art. 38-A</t>
        </is>
      </c>
      <c r="C372" s="16" t="inlineStr">
        <is>
          <t>Destruir ou danificar vegetação primária ou secundária em estágio avançado de regeneração do Bioma Mata Atlântica</t>
        </is>
      </c>
      <c r="D372" s="7" t="n">
        <v>12</v>
      </c>
      <c r="E372" s="7" t="n">
        <v>36</v>
      </c>
      <c r="F372" s="7" t="inlineStr">
        <is>
          <t>Detenção</t>
        </is>
      </c>
      <c r="G372" s="7" t="inlineStr">
        <is>
          <t>Pública Incondicionada</t>
        </is>
      </c>
      <c r="H372" s="7" t="inlineStr">
        <is>
          <t>Não</t>
        </is>
      </c>
      <c r="I372" s="7" t="inlineStr">
        <is>
          <t>Doloso</t>
        </is>
      </c>
      <c r="J372" s="7" t="inlineStr">
        <is>
          <t>Sim</t>
        </is>
      </c>
      <c r="K372" s="7" t="inlineStr">
        <is>
          <t>Não</t>
        </is>
      </c>
      <c r="L372" s="7" t="inlineStr">
        <is>
          <t>Não</t>
        </is>
      </c>
      <c r="M372" s="7" t="inlineStr">
        <is>
          <t>Sim</t>
        </is>
      </c>
      <c r="N372" s="7" t="inlineStr">
        <is>
          <t>Sim</t>
        </is>
      </c>
      <c r="O372" s="7" t="inlineStr">
        <is>
          <t>Sim</t>
        </is>
      </c>
      <c r="P372" s="16" t="inlineStr">
        <is>
          <t>1-3 anos detenção ou multa ou ambas</t>
        </is>
      </c>
    </row>
    <row r="373">
      <c r="A373" s="7" t="inlineStr">
        <is>
          <t>Lei 9.605/98</t>
        </is>
      </c>
      <c r="B373" s="7" t="inlineStr">
        <is>
          <t>Art. 39</t>
        </is>
      </c>
      <c r="C373" s="16" t="inlineStr">
        <is>
          <t>Cortar árvores em floresta de preservação permanente sem autorização</t>
        </is>
      </c>
      <c r="D373" s="7" t="n">
        <v>12</v>
      </c>
      <c r="E373" s="7" t="n">
        <v>36</v>
      </c>
      <c r="F373" s="7" t="inlineStr">
        <is>
          <t>Detenção</t>
        </is>
      </c>
      <c r="G373" s="7" t="inlineStr">
        <is>
          <t>Pública Incondicionada</t>
        </is>
      </c>
      <c r="H373" s="7" t="inlineStr">
        <is>
          <t>Não</t>
        </is>
      </c>
      <c r="I373" s="7" t="inlineStr">
        <is>
          <t>Doloso</t>
        </is>
      </c>
      <c r="J373" s="7" t="inlineStr">
        <is>
          <t>Sim</t>
        </is>
      </c>
      <c r="K373" s="7" t="inlineStr">
        <is>
          <t>Não</t>
        </is>
      </c>
      <c r="L373" s="7" t="inlineStr">
        <is>
          <t>Não</t>
        </is>
      </c>
      <c r="M373" s="7" t="inlineStr">
        <is>
          <t>Sim</t>
        </is>
      </c>
      <c r="N373" s="7" t="inlineStr">
        <is>
          <t>Sim</t>
        </is>
      </c>
      <c r="O373" s="7" t="inlineStr">
        <is>
          <t>Sim</t>
        </is>
      </c>
      <c r="P373" s="16" t="inlineStr">
        <is>
          <t>1-3 anos detenção ou multa ou ambas</t>
        </is>
      </c>
    </row>
    <row r="374">
      <c r="A374" s="7" t="inlineStr">
        <is>
          <t>Lei 9.605/98</t>
        </is>
      </c>
      <c r="B374" s="7" t="inlineStr">
        <is>
          <t>Art. 40</t>
        </is>
      </c>
      <c r="C374" s="16" t="inlineStr">
        <is>
          <t>Causar dano a Unidade de Conservação</t>
        </is>
      </c>
      <c r="D374" s="7" t="n">
        <v>12</v>
      </c>
      <c r="E374" s="7" t="n">
        <v>60</v>
      </c>
      <c r="F374" s="7" t="inlineStr">
        <is>
          <t>Reclusão</t>
        </is>
      </c>
      <c r="G374" s="7" t="inlineStr">
        <is>
          <t>Pública Incondicionada</t>
        </is>
      </c>
      <c r="H374" s="7" t="inlineStr">
        <is>
          <t>Não</t>
        </is>
      </c>
      <c r="I374" s="7" t="inlineStr">
        <is>
          <t>Doloso</t>
        </is>
      </c>
      <c r="J374" s="7" t="inlineStr">
        <is>
          <t>Sim</t>
        </is>
      </c>
      <c r="K374" s="7" t="inlineStr">
        <is>
          <t>Não</t>
        </is>
      </c>
      <c r="L374" s="7" t="inlineStr">
        <is>
          <t>Não</t>
        </is>
      </c>
      <c r="M374" s="7" t="inlineStr">
        <is>
          <t>Sim</t>
        </is>
      </c>
      <c r="N374" s="7" t="inlineStr">
        <is>
          <t>Sim</t>
        </is>
      </c>
      <c r="O374" s="7" t="inlineStr">
        <is>
          <t>Sim</t>
        </is>
      </c>
      <c r="P374" s="16" t="inlineStr">
        <is>
          <t>1-5 anos reclusão</t>
        </is>
      </c>
    </row>
    <row r="375">
      <c r="A375" s="7" t="inlineStr">
        <is>
          <t>Lei 9.605/98</t>
        </is>
      </c>
      <c r="B375" s="7" t="inlineStr">
        <is>
          <t>Art. 41</t>
        </is>
      </c>
      <c r="C375" s="16" t="inlineStr">
        <is>
          <t>Provocar incêndio em mata ou floresta</t>
        </is>
      </c>
      <c r="D375" s="7" t="n">
        <v>24</v>
      </c>
      <c r="E375" s="7" t="n">
        <v>48</v>
      </c>
      <c r="F375" s="7" t="inlineStr">
        <is>
          <t>Reclusão</t>
        </is>
      </c>
      <c r="G375" s="7" t="inlineStr">
        <is>
          <t>Pública Incondicionada</t>
        </is>
      </c>
      <c r="H375" s="7" t="inlineStr">
        <is>
          <t>Não</t>
        </is>
      </c>
      <c r="I375" s="7" t="inlineStr">
        <is>
          <t>Doloso</t>
        </is>
      </c>
      <c r="J375" s="7" t="inlineStr">
        <is>
          <t>Sim</t>
        </is>
      </c>
      <c r="K375" s="7" t="inlineStr">
        <is>
          <t>Não</t>
        </is>
      </c>
      <c r="L375" s="7" t="inlineStr">
        <is>
          <t>Não</t>
        </is>
      </c>
      <c r="M375" s="7" t="inlineStr">
        <is>
          <t>Sim</t>
        </is>
      </c>
      <c r="N375" s="7" t="inlineStr">
        <is>
          <t>Não</t>
        </is>
      </c>
      <c r="O375" s="7" t="inlineStr">
        <is>
          <t>Sim</t>
        </is>
      </c>
      <c r="P375" s="16" t="inlineStr">
        <is>
          <t>2-4 anos reclusão + multa. §único: se culposo: 6m-1a detenção</t>
        </is>
      </c>
    </row>
    <row r="376">
      <c r="A376" s="7" t="inlineStr">
        <is>
          <t>Lei 9.605/98</t>
        </is>
      </c>
      <c r="B376" s="7" t="inlineStr">
        <is>
          <t>Art. 42</t>
        </is>
      </c>
      <c r="C376" s="16" t="inlineStr">
        <is>
          <t>Fabricar/vender/transportar/soltar balão que possa provocar incêndio em floresta</t>
        </is>
      </c>
      <c r="D376" s="7" t="n">
        <v>12</v>
      </c>
      <c r="E376" s="7" t="n">
        <v>36</v>
      </c>
      <c r="F376" s="7" t="inlineStr">
        <is>
          <t>Detenção</t>
        </is>
      </c>
      <c r="G376" s="7" t="inlineStr">
        <is>
          <t>Pública Incondicionada</t>
        </is>
      </c>
      <c r="H376" s="7" t="inlineStr">
        <is>
          <t>Não</t>
        </is>
      </c>
      <c r="I376" s="7" t="inlineStr">
        <is>
          <t>Doloso</t>
        </is>
      </c>
      <c r="J376" s="7" t="inlineStr">
        <is>
          <t>Sim</t>
        </is>
      </c>
      <c r="K376" s="7" t="inlineStr">
        <is>
          <t>Não</t>
        </is>
      </c>
      <c r="L376" s="7" t="inlineStr">
        <is>
          <t>Não</t>
        </is>
      </c>
      <c r="M376" s="7" t="inlineStr">
        <is>
          <t>Sim</t>
        </is>
      </c>
      <c r="N376" s="7" t="inlineStr">
        <is>
          <t>Sim</t>
        </is>
      </c>
      <c r="O376" s="7" t="inlineStr">
        <is>
          <t>Sim</t>
        </is>
      </c>
      <c r="P376" s="16" t="inlineStr">
        <is>
          <t>1-3 anos detenção ou multa ou ambas</t>
        </is>
      </c>
    </row>
    <row r="377">
      <c r="A377" s="7" t="inlineStr">
        <is>
          <t>Lei 9.605/98</t>
        </is>
      </c>
      <c r="B377" s="7" t="inlineStr">
        <is>
          <t>Art. 44</t>
        </is>
      </c>
      <c r="C377" s="16" t="inlineStr">
        <is>
          <t>Extrair minerais de florestas de domínio público ou de preservação permanente sem autorização</t>
        </is>
      </c>
      <c r="D377" s="7" t="n">
        <v>6</v>
      </c>
      <c r="E377" s="7" t="n">
        <v>12</v>
      </c>
      <c r="F377" s="7" t="inlineStr">
        <is>
          <t>Detenção</t>
        </is>
      </c>
      <c r="G377" s="7" t="inlineStr">
        <is>
          <t>Pública Incondicionada</t>
        </is>
      </c>
      <c r="H377" s="7" t="inlineStr">
        <is>
          <t>Não</t>
        </is>
      </c>
      <c r="I377" s="7" t="inlineStr">
        <is>
          <t>Doloso</t>
        </is>
      </c>
      <c r="J377" s="7" t="inlineStr">
        <is>
          <t>Sim</t>
        </is>
      </c>
      <c r="K377" s="7" t="inlineStr">
        <is>
          <t>Não</t>
        </is>
      </c>
      <c r="L377" s="7" t="inlineStr">
        <is>
          <t>Não</t>
        </is>
      </c>
      <c r="M377" s="7" t="inlineStr">
        <is>
          <t>Sim</t>
        </is>
      </c>
      <c r="N377" s="7" t="inlineStr">
        <is>
          <t>Sim</t>
        </is>
      </c>
      <c r="O377" s="7" t="inlineStr">
        <is>
          <t>Sim</t>
        </is>
      </c>
      <c r="P377" s="16" t="inlineStr">
        <is>
          <t>6 meses a 1 ano detenção + multa</t>
        </is>
      </c>
    </row>
    <row r="378">
      <c r="A378" s="7" t="inlineStr">
        <is>
          <t>Lei 9.605/98</t>
        </is>
      </c>
      <c r="B378" s="7" t="inlineStr">
        <is>
          <t>Art. 45</t>
        </is>
      </c>
      <c r="C378" s="16" t="inlineStr">
        <is>
          <t>Cortar ou transformar em carvão madeira de lei protegida sem autorização</t>
        </is>
      </c>
      <c r="D378" s="7" t="n">
        <v>12</v>
      </c>
      <c r="E378" s="7" t="n">
        <v>24</v>
      </c>
      <c r="F378" s="7" t="inlineStr">
        <is>
          <t>Reclusão</t>
        </is>
      </c>
      <c r="G378" s="7" t="inlineStr">
        <is>
          <t>Pública Incondicionada</t>
        </is>
      </c>
      <c r="H378" s="7" t="inlineStr">
        <is>
          <t>Não</t>
        </is>
      </c>
      <c r="I378" s="7" t="inlineStr">
        <is>
          <t>Doloso</t>
        </is>
      </c>
      <c r="J378" s="7" t="inlineStr">
        <is>
          <t>Sim</t>
        </is>
      </c>
      <c r="K378" s="7" t="inlineStr">
        <is>
          <t>Não</t>
        </is>
      </c>
      <c r="L378" s="7" t="inlineStr">
        <is>
          <t>Não</t>
        </is>
      </c>
      <c r="M378" s="7" t="inlineStr">
        <is>
          <t>Sim</t>
        </is>
      </c>
      <c r="N378" s="7" t="inlineStr">
        <is>
          <t>Sim</t>
        </is>
      </c>
      <c r="O378" s="7" t="inlineStr">
        <is>
          <t>Sim</t>
        </is>
      </c>
      <c r="P378" s="16" t="inlineStr">
        <is>
          <t>1-2 anos reclusão + multa</t>
        </is>
      </c>
    </row>
    <row r="379">
      <c r="A379" s="7" t="inlineStr">
        <is>
          <t>Lei 9.605/98</t>
        </is>
      </c>
      <c r="B379" s="7" t="inlineStr">
        <is>
          <t>Art. 46</t>
        </is>
      </c>
      <c r="C379" s="16" t="inlineStr">
        <is>
          <t>Receber/adquirir/transportar/vender madeira/lenha/carvão ou outros produtos de origem vegetal sem licença válida</t>
        </is>
      </c>
      <c r="D379" s="7" t="n">
        <v>6</v>
      </c>
      <c r="E379" s="7" t="n">
        <v>12</v>
      </c>
      <c r="F379" s="7" t="inlineStr">
        <is>
          <t>Detenção</t>
        </is>
      </c>
      <c r="G379" s="7" t="inlineStr">
        <is>
          <t>Pública Incondicionada</t>
        </is>
      </c>
      <c r="H379" s="7" t="inlineStr">
        <is>
          <t>Não</t>
        </is>
      </c>
      <c r="I379" s="7" t="inlineStr">
        <is>
          <t>Doloso</t>
        </is>
      </c>
      <c r="J379" s="7" t="inlineStr">
        <is>
          <t>Sim</t>
        </is>
      </c>
      <c r="K379" s="7" t="inlineStr">
        <is>
          <t>Não</t>
        </is>
      </c>
      <c r="L379" s="7" t="inlineStr">
        <is>
          <t>Não</t>
        </is>
      </c>
      <c r="M379" s="7" t="inlineStr">
        <is>
          <t>Sim</t>
        </is>
      </c>
      <c r="N379" s="7" t="inlineStr">
        <is>
          <t>Sim</t>
        </is>
      </c>
      <c r="O379" s="7" t="inlineStr">
        <is>
          <t>Sim</t>
        </is>
      </c>
      <c r="P379" s="16" t="inlineStr">
        <is>
          <t>6 meses a 1 ano detenção + multa</t>
        </is>
      </c>
    </row>
    <row r="380">
      <c r="A380" s="7" t="inlineStr">
        <is>
          <t>Lei 9.605/98</t>
        </is>
      </c>
      <c r="B380" s="7" t="inlineStr">
        <is>
          <t>Art. 48</t>
        </is>
      </c>
      <c r="C380" s="16" t="inlineStr">
        <is>
          <t>Impedir ou dificultar a regeneração natural de florestas ou vegetação</t>
        </is>
      </c>
      <c r="D380" s="7" t="n">
        <v>6</v>
      </c>
      <c r="E380" s="7" t="n">
        <v>12</v>
      </c>
      <c r="F380" s="7" t="inlineStr">
        <is>
          <t>Detenção</t>
        </is>
      </c>
      <c r="G380" s="7" t="inlineStr">
        <is>
          <t>Pública Incondicionada</t>
        </is>
      </c>
      <c r="H380" s="7" t="inlineStr">
        <is>
          <t>Não</t>
        </is>
      </c>
      <c r="I380" s="7" t="inlineStr">
        <is>
          <t>Doloso</t>
        </is>
      </c>
      <c r="J380" s="7" t="inlineStr">
        <is>
          <t>Sim</t>
        </is>
      </c>
      <c r="K380" s="7" t="inlineStr">
        <is>
          <t>Não</t>
        </is>
      </c>
      <c r="L380" s="7" t="inlineStr">
        <is>
          <t>Não</t>
        </is>
      </c>
      <c r="M380" s="7" t="inlineStr">
        <is>
          <t>Sim</t>
        </is>
      </c>
      <c r="N380" s="7" t="inlineStr">
        <is>
          <t>Sim</t>
        </is>
      </c>
      <c r="O380" s="7" t="inlineStr">
        <is>
          <t>Sim</t>
        </is>
      </c>
      <c r="P380" s="16" t="inlineStr">
        <is>
          <t>6 meses a 1 ano detenção + multa</t>
        </is>
      </c>
    </row>
    <row r="381">
      <c r="A381" s="7" t="inlineStr">
        <is>
          <t>Lei 9.605/98</t>
        </is>
      </c>
      <c r="B381" s="7" t="inlineStr">
        <is>
          <t>Art. 49</t>
        </is>
      </c>
      <c r="C381" s="16" t="inlineStr">
        <is>
          <t>Destruir/danificar/lesar/maltratar plantas de ornamentação ou árvores urbanas</t>
        </is>
      </c>
      <c r="D381" s="7" t="n">
        <v>3</v>
      </c>
      <c r="E381" s="7" t="n">
        <v>12</v>
      </c>
      <c r="F381" s="7" t="inlineStr">
        <is>
          <t>Detenção</t>
        </is>
      </c>
      <c r="G381" s="7" t="inlineStr">
        <is>
          <t>Pública Incondicionada</t>
        </is>
      </c>
      <c r="H381" s="7" t="inlineStr">
        <is>
          <t>Não</t>
        </is>
      </c>
      <c r="I381" s="7" t="inlineStr">
        <is>
          <t>Doloso</t>
        </is>
      </c>
      <c r="J381" s="7" t="inlineStr">
        <is>
          <t>Sim</t>
        </is>
      </c>
      <c r="K381" s="7" t="inlineStr">
        <is>
          <t>Não</t>
        </is>
      </c>
      <c r="L381" s="7" t="inlineStr">
        <is>
          <t>Não</t>
        </is>
      </c>
      <c r="M381" s="7" t="inlineStr">
        <is>
          <t>Sim</t>
        </is>
      </c>
      <c r="N381" s="7" t="inlineStr">
        <is>
          <t>Sim</t>
        </is>
      </c>
      <c r="O381" s="7" t="inlineStr">
        <is>
          <t>Sim</t>
        </is>
      </c>
      <c r="P381" s="16" t="inlineStr">
        <is>
          <t>3 meses a 1 ano detenção ou multa. §único: se culposo: 1-6 meses detenção ou multa</t>
        </is>
      </c>
    </row>
    <row r="382">
      <c r="A382" s="7" t="inlineStr">
        <is>
          <t>Lei 9.605/98</t>
        </is>
      </c>
      <c r="B382" s="7" t="inlineStr">
        <is>
          <t>Art. 50</t>
        </is>
      </c>
      <c r="C382" s="16" t="inlineStr">
        <is>
          <t>Destruir ou danificar florestas nativas sem autorização do órgão competente</t>
        </is>
      </c>
      <c r="D382" s="7" t="n">
        <v>6</v>
      </c>
      <c r="E382" s="7" t="n">
        <v>36</v>
      </c>
      <c r="F382" s="7" t="inlineStr">
        <is>
          <t>Detenção</t>
        </is>
      </c>
      <c r="G382" s="7" t="inlineStr">
        <is>
          <t>Pública Incondicionada</t>
        </is>
      </c>
      <c r="H382" s="7" t="inlineStr">
        <is>
          <t>Não</t>
        </is>
      </c>
      <c r="I382" s="7" t="inlineStr">
        <is>
          <t>Doloso</t>
        </is>
      </c>
      <c r="J382" s="7" t="inlineStr">
        <is>
          <t>Sim</t>
        </is>
      </c>
      <c r="K382" s="7" t="inlineStr">
        <is>
          <t>Não</t>
        </is>
      </c>
      <c r="L382" s="7" t="inlineStr">
        <is>
          <t>Não</t>
        </is>
      </c>
      <c r="M382" s="7" t="inlineStr">
        <is>
          <t>Sim</t>
        </is>
      </c>
      <c r="N382" s="7" t="inlineStr">
        <is>
          <t>Sim</t>
        </is>
      </c>
      <c r="O382" s="7" t="inlineStr">
        <is>
          <t>Sim</t>
        </is>
      </c>
      <c r="P382" s="16" t="inlineStr">
        <is>
          <t>6 meses a 3 anos detenção + multa</t>
        </is>
      </c>
    </row>
    <row r="383">
      <c r="A383" s="7" t="inlineStr">
        <is>
          <t>Lei 9.605/98</t>
        </is>
      </c>
      <c r="B383" s="7" t="inlineStr">
        <is>
          <t>Art. 50-A</t>
        </is>
      </c>
      <c r="C383" s="16" t="inlineStr">
        <is>
          <t>Desmatar, explorar economicamente ou degradar floresta em terras de domínio público ou devolutas sem autorização</t>
        </is>
      </c>
      <c r="D383" s="7" t="n">
        <v>24</v>
      </c>
      <c r="E383" s="7" t="n">
        <v>48</v>
      </c>
      <c r="F383" s="7" t="inlineStr">
        <is>
          <t>Reclusão</t>
        </is>
      </c>
      <c r="G383" s="7" t="inlineStr">
        <is>
          <t>Pública Incondicionada</t>
        </is>
      </c>
      <c r="H383" s="7" t="inlineStr">
        <is>
          <t>Não</t>
        </is>
      </c>
      <c r="I383" s="7" t="inlineStr">
        <is>
          <t>Doloso</t>
        </is>
      </c>
      <c r="J383" s="7" t="inlineStr">
        <is>
          <t>Sim</t>
        </is>
      </c>
      <c r="K383" s="7" t="inlineStr">
        <is>
          <t>Não</t>
        </is>
      </c>
      <c r="L383" s="7" t="inlineStr">
        <is>
          <t>Não</t>
        </is>
      </c>
      <c r="M383" s="7" t="inlineStr">
        <is>
          <t>Sim</t>
        </is>
      </c>
      <c r="N383" s="7" t="inlineStr">
        <is>
          <t>Não</t>
        </is>
      </c>
      <c r="O383" s="7" t="inlineStr">
        <is>
          <t>Sim</t>
        </is>
      </c>
      <c r="P383" s="16" t="inlineStr">
        <is>
          <t>2-4 anos reclusão + multa. §1º: se resulta dano para APP: +1/3. §2º: se áreas urbanas: pena agravada</t>
        </is>
      </c>
    </row>
    <row r="384">
      <c r="A384" s="7" t="inlineStr">
        <is>
          <t>Lei 9.605/98</t>
        </is>
      </c>
      <c r="B384" s="7" t="inlineStr">
        <is>
          <t>Art. 52</t>
        </is>
      </c>
      <c r="C384" s="16" t="inlineStr">
        <is>
          <t>Penetrar em Unidade de Conservação de proteção integral portando substâncias/instrumentos para caça/exploração</t>
        </is>
      </c>
      <c r="D384" s="7" t="n">
        <v>6</v>
      </c>
      <c r="E384" s="7" t="n">
        <v>12</v>
      </c>
      <c r="F384" s="7" t="inlineStr">
        <is>
          <t>Detenção</t>
        </is>
      </c>
      <c r="G384" s="7" t="inlineStr">
        <is>
          <t>Pública Incondicionada</t>
        </is>
      </c>
      <c r="H384" s="7" t="inlineStr">
        <is>
          <t>Não</t>
        </is>
      </c>
      <c r="I384" s="7" t="inlineStr">
        <is>
          <t>Doloso</t>
        </is>
      </c>
      <c r="J384" s="7" t="inlineStr">
        <is>
          <t>Sim</t>
        </is>
      </c>
      <c r="K384" s="7" t="inlineStr">
        <is>
          <t>Não</t>
        </is>
      </c>
      <c r="L384" s="7" t="inlineStr">
        <is>
          <t>Não</t>
        </is>
      </c>
      <c r="M384" s="7" t="inlineStr">
        <is>
          <t>Sim</t>
        </is>
      </c>
      <c r="N384" s="7" t="inlineStr">
        <is>
          <t>Sim</t>
        </is>
      </c>
      <c r="O384" s="7" t="inlineStr">
        <is>
          <t>Sim</t>
        </is>
      </c>
      <c r="P384" s="16" t="inlineStr">
        <is>
          <t>6 meses a 1 ano detenção + multa</t>
        </is>
      </c>
    </row>
    <row r="385">
      <c r="A385" s="7" t="inlineStr">
        <is>
          <t>Lei 9.605/98</t>
        </is>
      </c>
      <c r="B385" s="7" t="inlineStr">
        <is>
          <t>Art. 54, caput</t>
        </is>
      </c>
      <c r="C385" s="16" t="inlineStr">
        <is>
          <t>Poluição de qualquer natureza que resulte ou possa resultar em danos à saúde humana ou provoque mortandade de animais/destruição significativa da flora</t>
        </is>
      </c>
      <c r="D385" s="7" t="n">
        <v>12</v>
      </c>
      <c r="E385" s="7" t="n">
        <v>48</v>
      </c>
      <c r="F385" s="7" t="inlineStr">
        <is>
          <t>Reclusão</t>
        </is>
      </c>
      <c r="G385" s="7" t="inlineStr">
        <is>
          <t>Pública Incondicionada</t>
        </is>
      </c>
      <c r="H385" s="7" t="inlineStr">
        <is>
          <t>Não</t>
        </is>
      </c>
      <c r="I385" s="7" t="inlineStr">
        <is>
          <t>Doloso</t>
        </is>
      </c>
      <c r="J385" s="7" t="inlineStr">
        <is>
          <t>Sim</t>
        </is>
      </c>
      <c r="K385" s="7" t="inlineStr">
        <is>
          <t>Não</t>
        </is>
      </c>
      <c r="L385" s="7" t="inlineStr">
        <is>
          <t>Não</t>
        </is>
      </c>
      <c r="M385" s="7" t="inlineStr">
        <is>
          <t>Sim</t>
        </is>
      </c>
      <c r="N385" s="7" t="inlineStr">
        <is>
          <t>Sim</t>
        </is>
      </c>
      <c r="O385" s="7" t="inlineStr">
        <is>
          <t>Sim</t>
        </is>
      </c>
      <c r="P385" s="16" t="inlineStr">
        <is>
          <t>1-4 anos reclusão + multa. Se culposo: 6m-1a detenção + multa</t>
        </is>
      </c>
    </row>
    <row r="386">
      <c r="A386" s="7" t="inlineStr">
        <is>
          <t>Lei 9.605/98</t>
        </is>
      </c>
      <c r="B386" s="7" t="inlineStr">
        <is>
          <t>Art. 54, §2º</t>
        </is>
      </c>
      <c r="C386" s="16" t="inlineStr">
        <is>
          <t>Poluição qualificada (que torne localidade imprópria para ocupação humana; cause poluição hídrica tornando necessária interrupção; dificulte/impeça uso público de praias; lançamento em desacordo)</t>
        </is>
      </c>
      <c r="D386" s="7" t="n">
        <v>12</v>
      </c>
      <c r="E386" s="7" t="n">
        <v>60</v>
      </c>
      <c r="F386" s="7" t="inlineStr">
        <is>
          <t>Reclusão</t>
        </is>
      </c>
      <c r="G386" s="7" t="inlineStr">
        <is>
          <t>Pública Incondicionada</t>
        </is>
      </c>
      <c r="H386" s="7" t="inlineStr">
        <is>
          <t>Não</t>
        </is>
      </c>
      <c r="I386" s="7" t="inlineStr">
        <is>
          <t>Doloso</t>
        </is>
      </c>
      <c r="J386" s="7" t="inlineStr">
        <is>
          <t>Sim</t>
        </is>
      </c>
      <c r="K386" s="7" t="inlineStr">
        <is>
          <t>Não</t>
        </is>
      </c>
      <c r="L386" s="7" t="inlineStr">
        <is>
          <t>Não</t>
        </is>
      </c>
      <c r="M386" s="7" t="inlineStr">
        <is>
          <t>Sim</t>
        </is>
      </c>
      <c r="N386" s="7" t="inlineStr">
        <is>
          <t>Sim</t>
        </is>
      </c>
      <c r="O386" s="7" t="inlineStr">
        <is>
          <t>Sim</t>
        </is>
      </c>
      <c r="P386" s="16" t="inlineStr">
        <is>
          <t>1-5 anos reclusão</t>
        </is>
      </c>
    </row>
    <row r="387">
      <c r="A387" s="7" t="inlineStr">
        <is>
          <t>Lei 9.605/98</t>
        </is>
      </c>
      <c r="B387" s="7" t="inlineStr">
        <is>
          <t>Art. 55</t>
        </is>
      </c>
      <c r="C387" s="16" t="inlineStr">
        <is>
          <t>Pesquisa/lavra/extração de recursos minerais sem autorização ou em desacordo com a obtida</t>
        </is>
      </c>
      <c r="D387" s="7" t="n">
        <v>6</v>
      </c>
      <c r="E387" s="7" t="n">
        <v>12</v>
      </c>
      <c r="F387" s="7" t="inlineStr">
        <is>
          <t>Detenção</t>
        </is>
      </c>
      <c r="G387" s="7" t="inlineStr">
        <is>
          <t>Pública Incondicionada</t>
        </is>
      </c>
      <c r="H387" s="7" t="inlineStr">
        <is>
          <t>Não</t>
        </is>
      </c>
      <c r="I387" s="7" t="inlineStr">
        <is>
          <t>Doloso</t>
        </is>
      </c>
      <c r="J387" s="7" t="inlineStr">
        <is>
          <t>Sim</t>
        </is>
      </c>
      <c r="K387" s="7" t="inlineStr">
        <is>
          <t>Não</t>
        </is>
      </c>
      <c r="L387" s="7" t="inlineStr">
        <is>
          <t>Não</t>
        </is>
      </c>
      <c r="M387" s="7" t="inlineStr">
        <is>
          <t>Sim</t>
        </is>
      </c>
      <c r="N387" s="7" t="inlineStr">
        <is>
          <t>Sim</t>
        </is>
      </c>
      <c r="O387" s="7" t="inlineStr">
        <is>
          <t>Sim</t>
        </is>
      </c>
      <c r="P387" s="16" t="inlineStr">
        <is>
          <t>6 meses a 1 ano detenção + multa. §único: se deixar de recuperar área pesquisada/explorada: mesma pena</t>
        </is>
      </c>
    </row>
    <row r="388">
      <c r="A388" s="7" t="inlineStr">
        <is>
          <t>Lei 9.605/98</t>
        </is>
      </c>
      <c r="B388" s="7" t="inlineStr">
        <is>
          <t>Art. 56</t>
        </is>
      </c>
      <c r="C388" s="16" t="inlineStr">
        <is>
          <t>Produzir/processar/embalar/importar/exportar/comercializar/fornecer/transportar/armazenar/guardar/ter em depósito/usar produto ou substância tóxica/perigosa/nociva em desacordo com normas de segurança</t>
        </is>
      </c>
      <c r="D388" s="7" t="n">
        <v>12</v>
      </c>
      <c r="E388" s="7" t="n">
        <v>48</v>
      </c>
      <c r="F388" s="7" t="inlineStr">
        <is>
          <t>Reclusão</t>
        </is>
      </c>
      <c r="G388" s="7" t="inlineStr">
        <is>
          <t>Pública Incondicionada</t>
        </is>
      </c>
      <c r="H388" s="7" t="inlineStr">
        <is>
          <t>Não</t>
        </is>
      </c>
      <c r="I388" s="7" t="inlineStr">
        <is>
          <t>Doloso</t>
        </is>
      </c>
      <c r="J388" s="7" t="inlineStr">
        <is>
          <t>Sim</t>
        </is>
      </c>
      <c r="K388" s="7" t="inlineStr">
        <is>
          <t>Não</t>
        </is>
      </c>
      <c r="L388" s="7" t="inlineStr">
        <is>
          <t>Não</t>
        </is>
      </c>
      <c r="M388" s="7" t="inlineStr">
        <is>
          <t>Sim</t>
        </is>
      </c>
      <c r="N388" s="7" t="inlineStr">
        <is>
          <t>Sim</t>
        </is>
      </c>
      <c r="O388" s="7" t="inlineStr">
        <is>
          <t>Sim</t>
        </is>
      </c>
      <c r="P388" s="16" t="inlineStr">
        <is>
          <t>1-4 anos reclusão + multa. §1º: mesma pena para abandono de resíduos perigosos. §3º: culposo: 6m-1a detenção + multa</t>
        </is>
      </c>
    </row>
    <row r="389">
      <c r="A389" s="7" t="inlineStr">
        <is>
          <t>Lei 9.605/98</t>
        </is>
      </c>
      <c r="B389" s="7" t="inlineStr">
        <is>
          <t>Art. 60</t>
        </is>
      </c>
      <c r="C389" s="16" t="inlineStr">
        <is>
          <t>Construir/reformar/ampliar/instalar/fazer funcionar estabelecimento/obra/atividade potencialmente poluidora sem licença ambiental</t>
        </is>
      </c>
      <c r="D389" s="7" t="n">
        <v>1</v>
      </c>
      <c r="E389" s="7" t="n">
        <v>6</v>
      </c>
      <c r="F389" s="7" t="inlineStr">
        <is>
          <t>Detenção</t>
        </is>
      </c>
      <c r="G389" s="7" t="inlineStr">
        <is>
          <t>Pública Incondicionada</t>
        </is>
      </c>
      <c r="H389" s="7" t="inlineStr">
        <is>
          <t>Não</t>
        </is>
      </c>
      <c r="I389" s="7" t="inlineStr">
        <is>
          <t>Doloso</t>
        </is>
      </c>
      <c r="J389" s="7" t="inlineStr">
        <is>
          <t>Sim</t>
        </is>
      </c>
      <c r="K389" s="7" t="inlineStr">
        <is>
          <t>Não</t>
        </is>
      </c>
      <c r="L389" s="7" t="inlineStr">
        <is>
          <t>Não</t>
        </is>
      </c>
      <c r="M389" s="7" t="inlineStr">
        <is>
          <t>Sim</t>
        </is>
      </c>
      <c r="N389" s="7" t="inlineStr">
        <is>
          <t>Sim</t>
        </is>
      </c>
      <c r="O389" s="7" t="inlineStr">
        <is>
          <t>Sim</t>
        </is>
      </c>
      <c r="P389" s="16" t="inlineStr">
        <is>
          <t>1-6 meses detenção ou multa</t>
        </is>
      </c>
    </row>
    <row r="390">
      <c r="A390" s="7" t="inlineStr">
        <is>
          <t>Lei 9.605/98</t>
        </is>
      </c>
      <c r="B390" s="7" t="inlineStr">
        <is>
          <t>Art. 62</t>
        </is>
      </c>
      <c r="C390" s="16" t="inlineStr">
        <is>
          <t>Destruir/inutilizar/deteriorar bem protegido por lei/ato administrativo/decisão judicial (patrimônio cultural)</t>
        </is>
      </c>
      <c r="D390" s="7" t="n">
        <v>12</v>
      </c>
      <c r="E390" s="7" t="n">
        <v>36</v>
      </c>
      <c r="F390" s="7" t="inlineStr">
        <is>
          <t>Reclusão</t>
        </is>
      </c>
      <c r="G390" s="7" t="inlineStr">
        <is>
          <t>Pública Incondicionada</t>
        </is>
      </c>
      <c r="H390" s="7" t="inlineStr">
        <is>
          <t>Não</t>
        </is>
      </c>
      <c r="I390" s="7" t="inlineStr">
        <is>
          <t>Doloso</t>
        </is>
      </c>
      <c r="J390" s="7" t="inlineStr">
        <is>
          <t>Sim</t>
        </is>
      </c>
      <c r="K390" s="7" t="inlineStr">
        <is>
          <t>Não</t>
        </is>
      </c>
      <c r="L390" s="7" t="inlineStr">
        <is>
          <t>Não</t>
        </is>
      </c>
      <c r="M390" s="7" t="inlineStr">
        <is>
          <t>Sim</t>
        </is>
      </c>
      <c r="N390" s="7" t="inlineStr">
        <is>
          <t>Sim</t>
        </is>
      </c>
      <c r="O390" s="7" t="inlineStr">
        <is>
          <t>Sim</t>
        </is>
      </c>
      <c r="P390" s="16" t="inlineStr">
        <is>
          <t>1-3 anos reclusão + multa. Inclui museus, bibliotecas, arquivos, monumentos, etc.</t>
        </is>
      </c>
    </row>
    <row r="391">
      <c r="A391" s="7" t="inlineStr">
        <is>
          <t>Lei 9.605/98</t>
        </is>
      </c>
      <c r="B391" s="7" t="inlineStr">
        <is>
          <t>Art. 63</t>
        </is>
      </c>
      <c r="C391" s="16" t="inlineStr">
        <is>
          <t>Alterar aspecto ou estrutura de edificação ou local protegido sem autorização</t>
        </is>
      </c>
      <c r="D391" s="7" t="n">
        <v>12</v>
      </c>
      <c r="E391" s="7" t="n">
        <v>36</v>
      </c>
      <c r="F391" s="7" t="inlineStr">
        <is>
          <t>Reclusão</t>
        </is>
      </c>
      <c r="G391" s="7" t="inlineStr">
        <is>
          <t>Pública Incondicionada</t>
        </is>
      </c>
      <c r="H391" s="7" t="inlineStr">
        <is>
          <t>Não</t>
        </is>
      </c>
      <c r="I391" s="7" t="inlineStr">
        <is>
          <t>Doloso</t>
        </is>
      </c>
      <c r="J391" s="7" t="inlineStr">
        <is>
          <t>Sim</t>
        </is>
      </c>
      <c r="K391" s="7" t="inlineStr">
        <is>
          <t>Não</t>
        </is>
      </c>
      <c r="L391" s="7" t="inlineStr">
        <is>
          <t>Não</t>
        </is>
      </c>
      <c r="M391" s="7" t="inlineStr">
        <is>
          <t>Sim</t>
        </is>
      </c>
      <c r="N391" s="7" t="inlineStr">
        <is>
          <t>Sim</t>
        </is>
      </c>
      <c r="O391" s="7" t="inlineStr">
        <is>
          <t>Sim</t>
        </is>
      </c>
      <c r="P391" s="16" t="inlineStr">
        <is>
          <t>1-3 anos reclusão + multa</t>
        </is>
      </c>
    </row>
    <row r="392">
      <c r="A392" s="7" t="inlineStr">
        <is>
          <t>Lei 9.605/98</t>
        </is>
      </c>
      <c r="B392" s="7" t="inlineStr">
        <is>
          <t>Art. 64</t>
        </is>
      </c>
      <c r="C392" s="16" t="inlineStr">
        <is>
          <t>Construção em solo não edificável (APP, etc.) ou ao redor de bens de valor histórico sem autorização</t>
        </is>
      </c>
      <c r="D392" s="7" t="n">
        <v>6</v>
      </c>
      <c r="E392" s="7" t="n">
        <v>12</v>
      </c>
      <c r="F392" s="7" t="inlineStr">
        <is>
          <t>Detenção</t>
        </is>
      </c>
      <c r="G392" s="7" t="inlineStr">
        <is>
          <t>Pública Incondicionada</t>
        </is>
      </c>
      <c r="H392" s="7" t="inlineStr">
        <is>
          <t>Não</t>
        </is>
      </c>
      <c r="I392" s="7" t="inlineStr">
        <is>
          <t>Doloso</t>
        </is>
      </c>
      <c r="J392" s="7" t="inlineStr">
        <is>
          <t>Sim</t>
        </is>
      </c>
      <c r="K392" s="7" t="inlineStr">
        <is>
          <t>Não</t>
        </is>
      </c>
      <c r="L392" s="7" t="inlineStr">
        <is>
          <t>Não</t>
        </is>
      </c>
      <c r="M392" s="7" t="inlineStr">
        <is>
          <t>Sim</t>
        </is>
      </c>
      <c r="N392" s="7" t="inlineStr">
        <is>
          <t>Sim</t>
        </is>
      </c>
      <c r="O392" s="7" t="inlineStr">
        <is>
          <t>Sim</t>
        </is>
      </c>
      <c r="P392" s="16" t="inlineStr">
        <is>
          <t>6 meses a 1 ano detenção + multa</t>
        </is>
      </c>
    </row>
    <row r="393">
      <c r="A393" s="7" t="inlineStr">
        <is>
          <t>Lei 9.605/98</t>
        </is>
      </c>
      <c r="B393" s="7" t="inlineStr">
        <is>
          <t>Art. 65</t>
        </is>
      </c>
      <c r="C393" s="16" t="inlineStr">
        <is>
          <t>Pichação ou grafitagem de edificação/monumento urbano sem autorização</t>
        </is>
      </c>
      <c r="D393" s="7" t="n">
        <v>3</v>
      </c>
      <c r="E393" s="7" t="n">
        <v>12</v>
      </c>
      <c r="F393" s="7" t="inlineStr">
        <is>
          <t>Detenção</t>
        </is>
      </c>
      <c r="G393" s="7" t="inlineStr">
        <is>
          <t>Pública Incondicionada</t>
        </is>
      </c>
      <c r="H393" s="7" t="inlineStr">
        <is>
          <t>Não</t>
        </is>
      </c>
      <c r="I393" s="7" t="inlineStr">
        <is>
          <t>Doloso</t>
        </is>
      </c>
      <c r="J393" s="7" t="inlineStr">
        <is>
          <t>Sim</t>
        </is>
      </c>
      <c r="K393" s="7" t="inlineStr">
        <is>
          <t>Não</t>
        </is>
      </c>
      <c r="L393" s="7" t="inlineStr">
        <is>
          <t>Não</t>
        </is>
      </c>
      <c r="M393" s="7" t="inlineStr">
        <is>
          <t>Sim</t>
        </is>
      </c>
      <c r="N393" s="7" t="inlineStr">
        <is>
          <t>Sim</t>
        </is>
      </c>
      <c r="O393" s="7" t="inlineStr">
        <is>
          <t>Sim</t>
        </is>
      </c>
      <c r="P393" s="16" t="inlineStr">
        <is>
          <t>3 meses a 1 ano detenção + multa. §1º: se em monumento/bem tombado: 6m-1a detenção + multa. §2º: grafitagem realizada com objetivo de valorizar patrimônio público/privado mediante manifestação artística NÃO constitui crime (com autorização)</t>
        </is>
      </c>
    </row>
    <row r="394">
      <c r="A394" s="7" t="inlineStr">
        <is>
          <t>Lei 9.605/98</t>
        </is>
      </c>
      <c r="B394" s="7" t="inlineStr">
        <is>
          <t>Art. 66</t>
        </is>
      </c>
      <c r="C394" s="16" t="inlineStr">
        <is>
          <t>Funcionário público que faz afirmação falsa ou enganosa/omite a verdade/sonega informações em procedimentos de autorização ou licenciamento ambiental</t>
        </is>
      </c>
      <c r="D394" s="7" t="n">
        <v>12</v>
      </c>
      <c r="E394" s="7" t="n">
        <v>36</v>
      </c>
      <c r="F394" s="7" t="inlineStr">
        <is>
          <t>Reclusão</t>
        </is>
      </c>
      <c r="G394" s="7" t="inlineStr">
        <is>
          <t>Pública Incondicionada</t>
        </is>
      </c>
      <c r="H394" s="7" t="inlineStr">
        <is>
          <t>Não</t>
        </is>
      </c>
      <c r="I394" s="7" t="inlineStr">
        <is>
          <t>Doloso</t>
        </is>
      </c>
      <c r="J394" s="7" t="inlineStr">
        <is>
          <t>Sim</t>
        </is>
      </c>
      <c r="K394" s="7" t="inlineStr">
        <is>
          <t>Não</t>
        </is>
      </c>
      <c r="L394" s="7" t="inlineStr">
        <is>
          <t>Não</t>
        </is>
      </c>
      <c r="M394" s="7" t="inlineStr">
        <is>
          <t>Sim</t>
        </is>
      </c>
      <c r="N394" s="7" t="inlineStr">
        <is>
          <t>Sim</t>
        </is>
      </c>
      <c r="O394" s="7" t="inlineStr">
        <is>
          <t>Sim</t>
        </is>
      </c>
      <c r="P394" s="16" t="inlineStr">
        <is>
          <t>1-3 anos reclusão</t>
        </is>
      </c>
    </row>
    <row r="395">
      <c r="A395" s="7" t="inlineStr">
        <is>
          <t>Lei 9.605/98</t>
        </is>
      </c>
      <c r="B395" s="7" t="inlineStr">
        <is>
          <t>Art. 67</t>
        </is>
      </c>
      <c r="C395" s="16" t="inlineStr">
        <is>
          <t>Concessão de licença/autorização/permissão ambiental em desacordo com normas por funcionário público</t>
        </is>
      </c>
      <c r="D395" s="7" t="n">
        <v>12</v>
      </c>
      <c r="E395" s="7" t="n">
        <v>36</v>
      </c>
      <c r="F395" s="7" t="inlineStr">
        <is>
          <t>Detenção</t>
        </is>
      </c>
      <c r="G395" s="7" t="inlineStr">
        <is>
          <t>Pública Incondicionada</t>
        </is>
      </c>
      <c r="H395" s="7" t="inlineStr">
        <is>
          <t>Não</t>
        </is>
      </c>
      <c r="I395" s="7" t="inlineStr">
        <is>
          <t>Doloso</t>
        </is>
      </c>
      <c r="J395" s="7" t="inlineStr">
        <is>
          <t>Sim</t>
        </is>
      </c>
      <c r="K395" s="7" t="inlineStr">
        <is>
          <t>Não</t>
        </is>
      </c>
      <c r="L395" s="7" t="inlineStr">
        <is>
          <t>Não</t>
        </is>
      </c>
      <c r="M395" s="7" t="inlineStr">
        <is>
          <t>Sim</t>
        </is>
      </c>
      <c r="N395" s="7" t="inlineStr">
        <is>
          <t>Sim</t>
        </is>
      </c>
      <c r="O395" s="7" t="inlineStr">
        <is>
          <t>Sim</t>
        </is>
      </c>
      <c r="P395" s="16" t="inlineStr">
        <is>
          <t>1-3 anos detenção + multa</t>
        </is>
      </c>
    </row>
    <row r="396">
      <c r="A396" s="7" t="inlineStr">
        <is>
          <t>Lei 9.605/98</t>
        </is>
      </c>
      <c r="B396" s="7" t="inlineStr">
        <is>
          <t>Art. 68</t>
        </is>
      </c>
      <c r="C396" s="16" t="inlineStr">
        <is>
          <t>Obstar/dificultar a ação fiscalizadora do Poder Público no trato de questões ambientais</t>
        </is>
      </c>
      <c r="D396" s="7" t="n">
        <v>12</v>
      </c>
      <c r="E396" s="7" t="n">
        <v>36</v>
      </c>
      <c r="F396" s="7" t="inlineStr">
        <is>
          <t>Detenção</t>
        </is>
      </c>
      <c r="G396" s="7" t="inlineStr">
        <is>
          <t>Pública Incondicionada</t>
        </is>
      </c>
      <c r="H396" s="7" t="inlineStr">
        <is>
          <t>Não</t>
        </is>
      </c>
      <c r="I396" s="7" t="inlineStr">
        <is>
          <t>Doloso</t>
        </is>
      </c>
      <c r="J396" s="7" t="inlineStr">
        <is>
          <t>Sim</t>
        </is>
      </c>
      <c r="K396" s="7" t="inlineStr">
        <is>
          <t>Não</t>
        </is>
      </c>
      <c r="L396" s="7" t="inlineStr">
        <is>
          <t>Não</t>
        </is>
      </c>
      <c r="M396" s="7" t="inlineStr">
        <is>
          <t>Sim</t>
        </is>
      </c>
      <c r="N396" s="7" t="inlineStr">
        <is>
          <t>Sim</t>
        </is>
      </c>
      <c r="O396" s="7" t="inlineStr">
        <is>
          <t>Sim</t>
        </is>
      </c>
      <c r="P396" s="16" t="inlineStr">
        <is>
          <t>1-3 anos detenção + multa</t>
        </is>
      </c>
    </row>
    <row r="397">
      <c r="A397" s="7" t="inlineStr">
        <is>
          <t>Lei 9.605/98</t>
        </is>
      </c>
      <c r="B397" s="7" t="inlineStr">
        <is>
          <t>Art. 69</t>
        </is>
      </c>
      <c r="C397" s="16" t="inlineStr">
        <is>
          <t>Descumprir obrigação de relevante interesse ambiental</t>
        </is>
      </c>
      <c r="D397" s="7" t="n">
        <v>12</v>
      </c>
      <c r="E397" s="7" t="n">
        <v>36</v>
      </c>
      <c r="F397" s="7" t="inlineStr">
        <is>
          <t>Detenção</t>
        </is>
      </c>
      <c r="G397" s="7" t="inlineStr">
        <is>
          <t>Pública Incondicionada</t>
        </is>
      </c>
      <c r="H397" s="7" t="inlineStr">
        <is>
          <t>Não</t>
        </is>
      </c>
      <c r="I397" s="7" t="inlineStr">
        <is>
          <t>Doloso</t>
        </is>
      </c>
      <c r="J397" s="7" t="inlineStr">
        <is>
          <t>Sim</t>
        </is>
      </c>
      <c r="K397" s="7" t="inlineStr">
        <is>
          <t>Não</t>
        </is>
      </c>
      <c r="L397" s="7" t="inlineStr">
        <is>
          <t>Não</t>
        </is>
      </c>
      <c r="M397" s="7" t="inlineStr">
        <is>
          <t>Sim</t>
        </is>
      </c>
      <c r="N397" s="7" t="inlineStr">
        <is>
          <t>Sim</t>
        </is>
      </c>
      <c r="O397" s="7" t="inlineStr">
        <is>
          <t>Sim</t>
        </is>
      </c>
      <c r="P397" s="16" t="inlineStr">
        <is>
          <t>1-3 anos detenção + multa</t>
        </is>
      </c>
    </row>
    <row r="398">
      <c r="A398" s="7" t="inlineStr">
        <is>
          <t>Lei 9.605/98</t>
        </is>
      </c>
      <c r="B398" s="7" t="inlineStr">
        <is>
          <t>Art. 69-A</t>
        </is>
      </c>
      <c r="C398" s="16" t="inlineStr">
        <is>
          <t>Elaborar/apresentar estudo/laudo/relatório ambiental total ou parcialmente falso ou enganoso</t>
        </is>
      </c>
      <c r="D398" s="7" t="n">
        <v>36</v>
      </c>
      <c r="E398" s="7" t="n">
        <v>60</v>
      </c>
      <c r="F398" s="7" t="inlineStr">
        <is>
          <t>Reclusão</t>
        </is>
      </c>
      <c r="G398" s="7" t="inlineStr">
        <is>
          <t>Pública Incondicionada</t>
        </is>
      </c>
      <c r="H398" s="7" t="inlineStr">
        <is>
          <t>Não</t>
        </is>
      </c>
      <c r="I398" s="7" t="inlineStr">
        <is>
          <t>Doloso</t>
        </is>
      </c>
      <c r="J398" s="7" t="inlineStr">
        <is>
          <t>Sim</t>
        </is>
      </c>
      <c r="K398" s="7" t="inlineStr">
        <is>
          <t>Não</t>
        </is>
      </c>
      <c r="L398" s="7" t="inlineStr">
        <is>
          <t>Não</t>
        </is>
      </c>
      <c r="M398" s="7" t="inlineStr">
        <is>
          <t>Sim</t>
        </is>
      </c>
      <c r="N398" s="7" t="inlineStr">
        <is>
          <t>Não</t>
        </is>
      </c>
      <c r="O398" s="7" t="inlineStr">
        <is>
          <t>Verificar</t>
        </is>
      </c>
      <c r="P398" s="16" t="inlineStr">
        <is>
          <t>3-5 anos reclusão + multa. §2º: culposo: 1-3 anos detenção + multa</t>
        </is>
      </c>
    </row>
    <row r="399">
      <c r="A399" s="17" t="inlineStr">
        <is>
          <t>Lei 9.455/97</t>
        </is>
      </c>
      <c r="B399" s="17" t="inlineStr">
        <is>
          <t>Art. 1º, I</t>
        </is>
      </c>
      <c r="C399" s="18" t="inlineStr">
        <is>
          <t>Tortura para obter informação/declaração/confissão ou para provocar ação/omissão criminosa</t>
        </is>
      </c>
      <c r="D399" s="17" t="n">
        <v>24</v>
      </c>
      <c r="E399" s="17" t="n">
        <v>96</v>
      </c>
      <c r="F399" s="17" t="inlineStr">
        <is>
          <t>Reclusão</t>
        </is>
      </c>
      <c r="G399" s="17" t="inlineStr">
        <is>
          <t>Pública Incondicionada</t>
        </is>
      </c>
      <c r="H399" s="17" t="inlineStr">
        <is>
          <t>Sim</t>
        </is>
      </c>
      <c r="I399" s="17" t="inlineStr">
        <is>
          <t>Doloso</t>
        </is>
      </c>
      <c r="J399" s="17" t="inlineStr">
        <is>
          <t>Sim</t>
        </is>
      </c>
      <c r="K399" s="17" t="inlineStr">
        <is>
          <t>Sim</t>
        </is>
      </c>
      <c r="L399" s="17" t="inlineStr">
        <is>
          <t>Sim</t>
        </is>
      </c>
      <c r="M399" s="17" t="inlineStr">
        <is>
          <t>Não</t>
        </is>
      </c>
      <c r="N399" s="17" t="inlineStr">
        <is>
          <t>Não</t>
        </is>
      </c>
      <c r="O399" s="17" t="inlineStr">
        <is>
          <t>Sim</t>
        </is>
      </c>
      <c r="P399" s="18" t="inlineStr">
        <is>
          <t>2-8 anos reclusão. Hediondo (equiparado). Constranger alguém com emprego de violência ou grave ameaça, causando-lhe sofrimento físico ou mental</t>
        </is>
      </c>
    </row>
    <row r="400">
      <c r="A400" s="17" t="inlineStr">
        <is>
          <t>Lei 9.455/97</t>
        </is>
      </c>
      <c r="B400" s="17" t="inlineStr">
        <is>
          <t>Art. 1º, II</t>
        </is>
      </c>
      <c r="C400" s="18" t="inlineStr">
        <is>
          <t>Tortura para aplicar castigo pessoal ou medida de caráter preventivo</t>
        </is>
      </c>
      <c r="D400" s="17" t="n">
        <v>24</v>
      </c>
      <c r="E400" s="17" t="n">
        <v>96</v>
      </c>
      <c r="F400" s="17" t="inlineStr">
        <is>
          <t>Reclusão</t>
        </is>
      </c>
      <c r="G400" s="17" t="inlineStr">
        <is>
          <t>Pública Incondicionada</t>
        </is>
      </c>
      <c r="H400" s="17" t="inlineStr">
        <is>
          <t>Sim</t>
        </is>
      </c>
      <c r="I400" s="17" t="inlineStr">
        <is>
          <t>Doloso</t>
        </is>
      </c>
      <c r="J400" s="17" t="inlineStr">
        <is>
          <t>Sim</t>
        </is>
      </c>
      <c r="K400" s="17" t="inlineStr">
        <is>
          <t>Sim</t>
        </is>
      </c>
      <c r="L400" s="17" t="inlineStr">
        <is>
          <t>Não</t>
        </is>
      </c>
      <c r="M400" s="17" t="inlineStr">
        <is>
          <t>Não</t>
        </is>
      </c>
      <c r="N400" s="17" t="inlineStr">
        <is>
          <t>Não</t>
        </is>
      </c>
      <c r="O400" s="17" t="inlineStr">
        <is>
          <t>Sim</t>
        </is>
      </c>
      <c r="P400" s="18" t="inlineStr">
        <is>
          <t>2-8 anos reclusão. Submeter alguém, sob sua guarda/poder/autoridade, com emprego de violência/grave ameaça, a intenso sofrimento físico/mental, como forma de aplicar castigo pessoal</t>
        </is>
      </c>
    </row>
    <row r="401">
      <c r="A401" s="7" t="inlineStr">
        <is>
          <t>Lei 9.455/97</t>
        </is>
      </c>
      <c r="B401" s="7" t="inlineStr">
        <is>
          <t>Art. 1º, §2º</t>
        </is>
      </c>
      <c r="C401" s="16" t="inlineStr">
        <is>
          <t>Omissão em face de tortura (tortura imprópria)</t>
        </is>
      </c>
      <c r="D401" s="7" t="n">
        <v>12</v>
      </c>
      <c r="E401" s="7" t="n">
        <v>48</v>
      </c>
      <c r="F401" s="7" t="inlineStr">
        <is>
          <t>Detenção</t>
        </is>
      </c>
      <c r="G401" s="7" t="inlineStr">
        <is>
          <t>Pública Incondicionada</t>
        </is>
      </c>
      <c r="H401" s="7" t="inlineStr">
        <is>
          <t>Não</t>
        </is>
      </c>
      <c r="I401" s="7" t="inlineStr">
        <is>
          <t>Doloso</t>
        </is>
      </c>
      <c r="J401" s="7" t="inlineStr">
        <is>
          <t>Não</t>
        </is>
      </c>
      <c r="K401" s="7" t="inlineStr">
        <is>
          <t>Não</t>
        </is>
      </c>
      <c r="L401" s="7" t="inlineStr">
        <is>
          <t>Não</t>
        </is>
      </c>
      <c r="M401" s="7" t="inlineStr">
        <is>
          <t>Sim</t>
        </is>
      </c>
      <c r="N401" s="7" t="inlineStr">
        <is>
          <t>Sim</t>
        </is>
      </c>
      <c r="O401" s="7" t="inlineStr">
        <is>
          <t>Sim</t>
        </is>
      </c>
      <c r="P401" s="16" t="inlineStr">
        <is>
          <t>1-4 anos detenção. Aquele que se omite quando tinha o dever de evitar ou apurar</t>
        </is>
      </c>
    </row>
    <row r="402">
      <c r="A402" s="17" t="inlineStr">
        <is>
          <t>Lei 9.455/97</t>
        </is>
      </c>
      <c r="B402" s="17" t="inlineStr">
        <is>
          <t>Art. 1º, §3º</t>
        </is>
      </c>
      <c r="C402" s="18" t="inlineStr">
        <is>
          <t>Tortura qualificada pelo resultado lesão grave</t>
        </is>
      </c>
      <c r="D402" s="17" t="n">
        <v>48</v>
      </c>
      <c r="E402" s="17" t="n">
        <v>120</v>
      </c>
      <c r="F402" s="17" t="inlineStr">
        <is>
          <t>Reclusão</t>
        </is>
      </c>
      <c r="G402" s="17" t="inlineStr">
        <is>
          <t>Pública Incondicionada</t>
        </is>
      </c>
      <c r="H402" s="17" t="inlineStr">
        <is>
          <t>Sim</t>
        </is>
      </c>
      <c r="I402" s="17" t="inlineStr">
        <is>
          <t>Preterdoloso</t>
        </is>
      </c>
      <c r="J402" s="17" t="inlineStr">
        <is>
          <t>Não</t>
        </is>
      </c>
      <c r="K402" s="17" t="inlineStr">
        <is>
          <t>Sim</t>
        </is>
      </c>
      <c r="L402" s="17" t="inlineStr">
        <is>
          <t>Sim</t>
        </is>
      </c>
      <c r="M402" s="17" t="inlineStr">
        <is>
          <t>Não</t>
        </is>
      </c>
      <c r="N402" s="17" t="inlineStr">
        <is>
          <t>Não</t>
        </is>
      </c>
      <c r="O402" s="17" t="inlineStr">
        <is>
          <t>Verificar</t>
        </is>
      </c>
      <c r="P402" s="18" t="inlineStr">
        <is>
          <t>4-10 anos reclusão. Hediondo</t>
        </is>
      </c>
    </row>
    <row r="403">
      <c r="A403" s="17" t="inlineStr">
        <is>
          <t>Lei 9.455/97</t>
        </is>
      </c>
      <c r="B403" s="17" t="inlineStr">
        <is>
          <t>Art. 1º, §3º</t>
        </is>
      </c>
      <c r="C403" s="18" t="inlineStr">
        <is>
          <t>Tortura qualificada pelo resultado morte</t>
        </is>
      </c>
      <c r="D403" s="17" t="n">
        <v>96</v>
      </c>
      <c r="E403" s="17" t="n">
        <v>192</v>
      </c>
      <c r="F403" s="17" t="inlineStr">
        <is>
          <t>Reclusão</t>
        </is>
      </c>
      <c r="G403" s="17" t="inlineStr">
        <is>
          <t>Pública Incondicionada</t>
        </is>
      </c>
      <c r="H403" s="17" t="inlineStr">
        <is>
          <t>Sim</t>
        </is>
      </c>
      <c r="I403" s="17" t="inlineStr">
        <is>
          <t>Preterdoloso</t>
        </is>
      </c>
      <c r="J403" s="17" t="inlineStr">
        <is>
          <t>Não</t>
        </is>
      </c>
      <c r="K403" s="17" t="inlineStr">
        <is>
          <t>Sim</t>
        </is>
      </c>
      <c r="L403" s="17" t="inlineStr">
        <is>
          <t>Sim</t>
        </is>
      </c>
      <c r="M403" s="17" t="inlineStr">
        <is>
          <t>Não</t>
        </is>
      </c>
      <c r="N403" s="17" t="inlineStr">
        <is>
          <t>Não</t>
        </is>
      </c>
      <c r="O403" s="17" t="inlineStr">
        <is>
          <t>Verificar</t>
        </is>
      </c>
      <c r="P403" s="18" t="inlineStr">
        <is>
          <t>8-16 anos reclusão. Hediondo</t>
        </is>
      </c>
    </row>
    <row r="404">
      <c r="A404" s="7" t="inlineStr">
        <is>
          <t>Lei 12.850/13</t>
        </is>
      </c>
      <c r="B404" s="7" t="inlineStr">
        <is>
          <t>Art. 2º, caput</t>
        </is>
      </c>
      <c r="C404" s="16" t="inlineStr">
        <is>
          <t>Promover, constituir, financiar ou integrar organização criminosa</t>
        </is>
      </c>
      <c r="D404" s="7" t="n">
        <v>36</v>
      </c>
      <c r="E404" s="7" t="n">
        <v>96</v>
      </c>
      <c r="F404" s="7" t="inlineStr">
        <is>
          <t>Reclusão</t>
        </is>
      </c>
      <c r="G404" s="7" t="inlineStr">
        <is>
          <t>Pública Incondicionada</t>
        </is>
      </c>
      <c r="H404" s="7" t="inlineStr">
        <is>
          <t>Não</t>
        </is>
      </c>
      <c r="I404" s="7" t="inlineStr">
        <is>
          <t>Doloso</t>
        </is>
      </c>
      <c r="J404" s="7" t="inlineStr">
        <is>
          <t>Não</t>
        </is>
      </c>
      <c r="K404" s="7" t="inlineStr">
        <is>
          <t>Não</t>
        </is>
      </c>
      <c r="L404" s="7" t="inlineStr">
        <is>
          <t>Não</t>
        </is>
      </c>
      <c r="M404" s="7" t="inlineStr">
        <is>
          <t>Sim</t>
        </is>
      </c>
      <c r="N404" s="7" t="inlineStr">
        <is>
          <t>Não</t>
        </is>
      </c>
      <c r="O404" s="7" t="inlineStr">
        <is>
          <t>Verificar</t>
        </is>
      </c>
      <c r="P404" s="16" t="inlineStr">
        <is>
          <t>3-8 anos reclusão + multa. §1º: mesma pena para quem impede/embaraça investigação. §2º: aumento de 1/3 a 2/3 se emprego de arma. §3º: aumento até metade se na atuação da Justiça Militar/Segurança Pública/Eleitoral. §4º: aumento de 1/6 a 2/3 se com participação de criança/adolescente; contra servidor público; infraestrutura pública</t>
        </is>
      </c>
    </row>
    <row r="405">
      <c r="A405" s="7" t="inlineStr">
        <is>
          <t>Lei 12.850/13</t>
        </is>
      </c>
      <c r="B405" s="7" t="inlineStr">
        <is>
          <t>Art. 18</t>
        </is>
      </c>
      <c r="C405" s="16" t="inlineStr">
        <is>
          <t>Revelar identidade/imagem de colaborador oculto (infiltração) ou de agente infiltrado</t>
        </is>
      </c>
      <c r="D405" s="7" t="n">
        <v>12</v>
      </c>
      <c r="E405" s="7" t="n">
        <v>36</v>
      </c>
      <c r="F405" s="7" t="inlineStr">
        <is>
          <t>Reclusão</t>
        </is>
      </c>
      <c r="G405" s="7" t="inlineStr">
        <is>
          <t>Pública Incondicionada</t>
        </is>
      </c>
      <c r="H405" s="7" t="inlineStr">
        <is>
          <t>Não</t>
        </is>
      </c>
      <c r="I405" s="7" t="inlineStr">
        <is>
          <t>Doloso</t>
        </is>
      </c>
      <c r="J405" s="7" t="inlineStr">
        <is>
          <t>Sim</t>
        </is>
      </c>
      <c r="K405" s="7" t="inlineStr">
        <is>
          <t>Não</t>
        </is>
      </c>
      <c r="L405" s="7" t="inlineStr">
        <is>
          <t>Não</t>
        </is>
      </c>
      <c r="M405" s="7" t="inlineStr">
        <is>
          <t>Sim</t>
        </is>
      </c>
      <c r="N405" s="7" t="inlineStr">
        <is>
          <t>Sim</t>
        </is>
      </c>
      <c r="O405" s="7" t="inlineStr">
        <is>
          <t>Sim</t>
        </is>
      </c>
      <c r="P405" s="16" t="inlineStr">
        <is>
          <t>1-3 anos reclusão + multa</t>
        </is>
      </c>
    </row>
    <row r="406">
      <c r="A406" s="7" t="inlineStr">
        <is>
          <t>Lei 12.850/13</t>
        </is>
      </c>
      <c r="B406" s="7" t="inlineStr">
        <is>
          <t>Art. 19</t>
        </is>
      </c>
      <c r="C406" s="16" t="inlineStr">
        <is>
          <t>Imputar falsamente investigação/processo criminal a colaborador (denunciação caluniosa)</t>
        </is>
      </c>
      <c r="D406" s="7" t="n">
        <v>12</v>
      </c>
      <c r="E406" s="7" t="n">
        <v>48</v>
      </c>
      <c r="F406" s="7" t="inlineStr">
        <is>
          <t>Reclusão</t>
        </is>
      </c>
      <c r="G406" s="7" t="inlineStr">
        <is>
          <t>Pública Incondicionada</t>
        </is>
      </c>
      <c r="H406" s="7" t="inlineStr">
        <is>
          <t>Não</t>
        </is>
      </c>
      <c r="I406" s="7" t="inlineStr">
        <is>
          <t>Doloso</t>
        </is>
      </c>
      <c r="J406" s="7" t="inlineStr">
        <is>
          <t>Sim</t>
        </is>
      </c>
      <c r="K406" s="7" t="inlineStr">
        <is>
          <t>Não</t>
        </is>
      </c>
      <c r="L406" s="7" t="inlineStr">
        <is>
          <t>Não</t>
        </is>
      </c>
      <c r="M406" s="7" t="inlineStr">
        <is>
          <t>Sim</t>
        </is>
      </c>
      <c r="N406" s="7" t="inlineStr">
        <is>
          <t>Sim</t>
        </is>
      </c>
      <c r="O406" s="7" t="inlineStr">
        <is>
          <t>Sim</t>
        </is>
      </c>
      <c r="P406" s="16" t="inlineStr">
        <is>
          <t>1-4 anos reclusão + multa</t>
        </is>
      </c>
    </row>
    <row r="407">
      <c r="A407" s="7" t="inlineStr">
        <is>
          <t>Lei 12.850/13</t>
        </is>
      </c>
      <c r="B407" s="7" t="inlineStr">
        <is>
          <t>Art. 21</t>
        </is>
      </c>
      <c r="C407" s="16" t="inlineStr">
        <is>
          <t>Recusar ou omitir dados cadastrais/registros/documentos/informações requisitadas pelo juiz/MP/delegado</t>
        </is>
      </c>
      <c r="D407" s="7" t="n">
        <v>6</v>
      </c>
      <c r="E407" s="7" t="n">
        <v>24</v>
      </c>
      <c r="F407" s="7" t="inlineStr">
        <is>
          <t>Reclusão</t>
        </is>
      </c>
      <c r="G407" s="7" t="inlineStr">
        <is>
          <t>Pública Incondicionada</t>
        </is>
      </c>
      <c r="H407" s="7" t="inlineStr">
        <is>
          <t>Não</t>
        </is>
      </c>
      <c r="I407" s="7" t="inlineStr">
        <is>
          <t>Doloso</t>
        </is>
      </c>
      <c r="J407" s="7" t="inlineStr">
        <is>
          <t>Sim</t>
        </is>
      </c>
      <c r="K407" s="7" t="inlineStr">
        <is>
          <t>Não</t>
        </is>
      </c>
      <c r="L407" s="7" t="inlineStr">
        <is>
          <t>Não</t>
        </is>
      </c>
      <c r="M407" s="7" t="inlineStr">
        <is>
          <t>Sim</t>
        </is>
      </c>
      <c r="N407" s="7" t="inlineStr">
        <is>
          <t>Sim</t>
        </is>
      </c>
      <c r="O407" s="7" t="inlineStr">
        <is>
          <t>Sim</t>
        </is>
      </c>
      <c r="P407" s="16" t="inlineStr">
        <is>
          <t>6 meses a 2 anos reclusão + multa</t>
        </is>
      </c>
    </row>
    <row r="408">
      <c r="A408" s="7" t="inlineStr">
        <is>
          <t>Lei 9.613/98</t>
        </is>
      </c>
      <c r="B408" s="7" t="inlineStr">
        <is>
          <t>Art. 1º, caput</t>
        </is>
      </c>
      <c r="C408" s="16" t="inlineStr">
        <is>
          <t>Lavagem de dinheiro (ocultar/dissimular origem ilícita de bens/direitos/valores)</t>
        </is>
      </c>
      <c r="D408" s="7" t="n">
        <v>36</v>
      </c>
      <c r="E408" s="7" t="n">
        <v>120</v>
      </c>
      <c r="F408" s="7" t="inlineStr">
        <is>
          <t>Reclusão</t>
        </is>
      </c>
      <c r="G408" s="7" t="inlineStr">
        <is>
          <t>Pública Incondicionada</t>
        </is>
      </c>
      <c r="H408" s="7" t="inlineStr">
        <is>
          <t>Não</t>
        </is>
      </c>
      <c r="I408" s="7" t="inlineStr">
        <is>
          <t>Doloso</t>
        </is>
      </c>
      <c r="J408" s="7" t="inlineStr">
        <is>
          <t>Sim</t>
        </is>
      </c>
      <c r="K408" s="7" t="inlineStr">
        <is>
          <t>Não</t>
        </is>
      </c>
      <c r="L408" s="7" t="inlineStr">
        <is>
          <t>Não</t>
        </is>
      </c>
      <c r="M408" s="7" t="inlineStr">
        <is>
          <t>Sim</t>
        </is>
      </c>
      <c r="N408" s="7" t="inlineStr">
        <is>
          <t>Não</t>
        </is>
      </c>
      <c r="O408" s="7" t="inlineStr">
        <is>
          <t>Verificar</t>
        </is>
      </c>
      <c r="P408" s="16" t="inlineStr">
        <is>
          <t>3-10 anos reclusão + multa. §1º: mesma pena para quem: I - converte em ativos lícitos; II - adquire/recebe/troca/negocia/dá em garantia/guarda/tem em depósito/movimenta/transfere; III - importa/exporta bens com valores não correspondentes</t>
        </is>
      </c>
    </row>
    <row r="409">
      <c r="A409" s="7" t="inlineStr">
        <is>
          <t>Lei 9.613/98</t>
        </is>
      </c>
      <c r="B409" s="7" t="inlineStr">
        <is>
          <t>Art. 1º, §2º, I</t>
        </is>
      </c>
      <c r="C409" s="16" t="inlineStr">
        <is>
          <t>Lavagem de dinheiro com aumento de 1/3 a 2/3 (utilização do sistema financeiro/atividade parafinanceira)</t>
        </is>
      </c>
      <c r="D409" s="7" t="n">
        <v>48</v>
      </c>
      <c r="E409" s="7" t="n">
        <v>200</v>
      </c>
      <c r="F409" s="7" t="inlineStr">
        <is>
          <t>Reclusão</t>
        </is>
      </c>
      <c r="G409" s="7" t="inlineStr">
        <is>
          <t>Pública Incondicionada</t>
        </is>
      </c>
      <c r="H409" s="7" t="inlineStr">
        <is>
          <t>Não</t>
        </is>
      </c>
      <c r="I409" s="7" t="inlineStr">
        <is>
          <t>Doloso</t>
        </is>
      </c>
      <c r="J409" s="7" t="inlineStr">
        <is>
          <t>Sim</t>
        </is>
      </c>
      <c r="K409" s="7" t="inlineStr">
        <is>
          <t>Não</t>
        </is>
      </c>
      <c r="L409" s="7" t="inlineStr">
        <is>
          <t>Não</t>
        </is>
      </c>
      <c r="M409" s="7" t="inlineStr">
        <is>
          <t>Não</t>
        </is>
      </c>
      <c r="N409" s="7" t="inlineStr">
        <is>
          <t>Não</t>
        </is>
      </c>
      <c r="O409" s="7" t="inlineStr">
        <is>
          <t>Verificar</t>
        </is>
      </c>
      <c r="P409" s="16" t="inlineStr">
        <is>
          <t>Aumento se praticada de forma reiterada, por intermédio de organização criminosa, ou por meio de atividade principal/secundária de pessoa jurídica</t>
        </is>
      </c>
    </row>
    <row r="410">
      <c r="A410" s="7" t="inlineStr">
        <is>
          <t>Lei 9.613/98</t>
        </is>
      </c>
      <c r="B410" s="7" t="inlineStr">
        <is>
          <t>Art. 1º, §5º</t>
        </is>
      </c>
      <c r="C410" s="16" t="inlineStr">
        <is>
          <t>Lavagem de dinheiro com diminuição de 1/3 a 2/3 (colaboração espontânea)</t>
        </is>
      </c>
      <c r="D410" s="7" t="n">
        <v>12</v>
      </c>
      <c r="E410" s="7" t="n">
        <v>80</v>
      </c>
      <c r="F410" s="7" t="inlineStr">
        <is>
          <t>Reclusão</t>
        </is>
      </c>
      <c r="G410" s="7" t="inlineStr">
        <is>
          <t>Pública Incondicionada</t>
        </is>
      </c>
      <c r="H410" s="7" t="inlineStr">
        <is>
          <t>Não</t>
        </is>
      </c>
      <c r="I410" s="7" t="inlineStr">
        <is>
          <t>Doloso</t>
        </is>
      </c>
      <c r="J410" s="7" t="inlineStr">
        <is>
          <t>Sim</t>
        </is>
      </c>
      <c r="K410" s="7" t="inlineStr">
        <is>
          <t>Não</t>
        </is>
      </c>
      <c r="L410" s="7" t="inlineStr">
        <is>
          <t>Não</t>
        </is>
      </c>
      <c r="M410" s="7" t="inlineStr">
        <is>
          <t>Sim</t>
        </is>
      </c>
      <c r="N410" s="7" t="inlineStr">
        <is>
          <t>Sim</t>
        </is>
      </c>
      <c r="O410" s="7" t="inlineStr">
        <is>
          <t>Sim</t>
        </is>
      </c>
      <c r="P410" s="16" t="inlineStr">
        <is>
          <t>Diminuição se o autor/coautor/partícipe colaborar espontaneamente com as autoridades, prestando esclarecimentos que conduzam à apuração das infrações ou à localização dos bens/direitos/valores</t>
        </is>
      </c>
    </row>
    <row r="411">
      <c r="A411" s="7" t="inlineStr">
        <is>
          <t>Lei 8.137/90</t>
        </is>
      </c>
      <c r="B411" s="7" t="inlineStr">
        <is>
          <t>Art. 1º</t>
        </is>
      </c>
      <c r="C411" s="16" t="inlineStr">
        <is>
          <t>Sonegação fiscal material (suprimir/reduzir tributo mediante conduta comissiva)</t>
        </is>
      </c>
      <c r="D411" s="7" t="n">
        <v>24</v>
      </c>
      <c r="E411" s="7" t="n">
        <v>60</v>
      </c>
      <c r="F411" s="7" t="inlineStr">
        <is>
          <t>Reclusão</t>
        </is>
      </c>
      <c r="G411" s="7" t="inlineStr">
        <is>
          <t>Pública Incondicionada</t>
        </is>
      </c>
      <c r="H411" s="7" t="inlineStr">
        <is>
          <t>Não</t>
        </is>
      </c>
      <c r="I411" s="7" t="inlineStr">
        <is>
          <t>Doloso</t>
        </is>
      </c>
      <c r="J411" s="7" t="inlineStr">
        <is>
          <t>Sim</t>
        </is>
      </c>
      <c r="K411" s="7" t="inlineStr">
        <is>
          <t>Não</t>
        </is>
      </c>
      <c r="L411" s="7" t="inlineStr">
        <is>
          <t>Não</t>
        </is>
      </c>
      <c r="M411" s="7" t="inlineStr">
        <is>
          <t>Sim</t>
        </is>
      </c>
      <c r="N411" s="7" t="inlineStr">
        <is>
          <t>Não</t>
        </is>
      </c>
      <c r="O411" s="7" t="inlineStr">
        <is>
          <t>Sim</t>
        </is>
      </c>
      <c r="P411" s="16" t="inlineStr">
        <is>
          <t>2-5 anos reclusão + multa. I - omitir informação/prestar declaração falsa; II - inserir dados inexatos em livro fiscal; III - falsificar nota fiscal/fatura/duplicata; IV - elaborar/distribuir/fornecer/emitir documento falso; V - negar/deixar de fornecer nota fiscal. §único: extinta punibilidade pelo pagamento integral antes da denúncia</t>
        </is>
      </c>
    </row>
    <row r="412">
      <c r="A412" s="7" t="inlineStr">
        <is>
          <t>Lei 8.137/90</t>
        </is>
      </c>
      <c r="B412" s="7" t="inlineStr">
        <is>
          <t>Art. 2º</t>
        </is>
      </c>
      <c r="C412" s="16" t="inlineStr">
        <is>
          <t>Sonegação fiscal formal (condutas que dificultam a fiscalização, sem exigir resultado)</t>
        </is>
      </c>
      <c r="D412" s="7" t="n">
        <v>6</v>
      </c>
      <c r="E412" s="7" t="n">
        <v>24</v>
      </c>
      <c r="F412" s="7" t="inlineStr">
        <is>
          <t>Detenção</t>
        </is>
      </c>
      <c r="G412" s="7" t="inlineStr">
        <is>
          <t>Pública Incondicionada</t>
        </is>
      </c>
      <c r="H412" s="7" t="inlineStr">
        <is>
          <t>Não</t>
        </is>
      </c>
      <c r="I412" s="7" t="inlineStr">
        <is>
          <t>Doloso</t>
        </is>
      </c>
      <c r="J412" s="7" t="inlineStr">
        <is>
          <t>Sim</t>
        </is>
      </c>
      <c r="K412" s="7" t="inlineStr">
        <is>
          <t>Não</t>
        </is>
      </c>
      <c r="L412" s="7" t="inlineStr">
        <is>
          <t>Não</t>
        </is>
      </c>
      <c r="M412" s="7" t="inlineStr">
        <is>
          <t>Sim</t>
        </is>
      </c>
      <c r="N412" s="7" t="inlineStr">
        <is>
          <t>Sim</t>
        </is>
      </c>
      <c r="O412" s="7" t="inlineStr">
        <is>
          <t>Sim</t>
        </is>
      </c>
      <c r="P412" s="16" t="inlineStr">
        <is>
          <t>6 meses a 2 anos detenção + multa. I - fazer declaração falsa; II - deixar de recolher tributo descontado/cobrado na qualidade de sujeito passivo (apropriação indébita tributária); III - exigir/pagar/receber percentagem sobre despacho aduaneiro; IV - deixar de aplicar incentivo fiscal; V - utilizar programa de processamento de dados que permita reduzir tributo</t>
        </is>
      </c>
    </row>
    <row r="413">
      <c r="A413" s="7" t="inlineStr">
        <is>
          <t>Lei 8.137/90</t>
        </is>
      </c>
      <c r="B413" s="7" t="inlineStr">
        <is>
          <t>Art. 4º</t>
        </is>
      </c>
      <c r="C413" s="16" t="inlineStr">
        <is>
          <t>Crimes contra a ordem econômica (formação de cartel, abuso de poder econômico)</t>
        </is>
      </c>
      <c r="D413" s="7" t="n">
        <v>24</v>
      </c>
      <c r="E413" s="7" t="n">
        <v>60</v>
      </c>
      <c r="F413" s="7" t="inlineStr">
        <is>
          <t>Reclusão</t>
        </is>
      </c>
      <c r="G413" s="7" t="inlineStr">
        <is>
          <t>Pública Incondicionada</t>
        </is>
      </c>
      <c r="H413" s="7" t="inlineStr">
        <is>
          <t>Não</t>
        </is>
      </c>
      <c r="I413" s="7" t="inlineStr">
        <is>
          <t>Doloso</t>
        </is>
      </c>
      <c r="J413" s="7" t="inlineStr">
        <is>
          <t>Sim</t>
        </is>
      </c>
      <c r="K413" s="7" t="inlineStr">
        <is>
          <t>Não</t>
        </is>
      </c>
      <c r="L413" s="7" t="inlineStr">
        <is>
          <t>Não</t>
        </is>
      </c>
      <c r="M413" s="7" t="inlineStr">
        <is>
          <t>Sim</t>
        </is>
      </c>
      <c r="N413" s="7" t="inlineStr">
        <is>
          <t>Não</t>
        </is>
      </c>
      <c r="O413" s="7" t="inlineStr">
        <is>
          <t>Sim</t>
        </is>
      </c>
      <c r="P413" s="16" t="inlineStr">
        <is>
          <t>2-5 anos reclusão ou multa. I - abusar de poder econômico dominando mercado; II - formar acordo para fixar preços/quantidades/dividir mercados; III - discriminar preços; IV - açambarcar mercadorias para provocar alta de preços; V - impor exclusividade; VI - abandonar atividade empresarial para provoco crise; VII - elevar sem justa causa o preço de bem/serviço</t>
        </is>
      </c>
    </row>
    <row r="414">
      <c r="A414" s="7" t="inlineStr">
        <is>
          <t>Lei 8.137/90</t>
        </is>
      </c>
      <c r="B414" s="7" t="inlineStr">
        <is>
          <t>Art. 7º</t>
        </is>
      </c>
      <c r="C414" s="16" t="inlineStr">
        <is>
          <t>Crimes contra as relações de consumo (Art. 7º)</t>
        </is>
      </c>
      <c r="D414" s="7" t="n">
        <v>24</v>
      </c>
      <c r="E414" s="7" t="n">
        <v>60</v>
      </c>
      <c r="F414" s="7" t="inlineStr">
        <is>
          <t>Detenção</t>
        </is>
      </c>
      <c r="G414" s="7" t="inlineStr">
        <is>
          <t>Pública Incondicionada</t>
        </is>
      </c>
      <c r="H414" s="7" t="inlineStr">
        <is>
          <t>Não</t>
        </is>
      </c>
      <c r="I414" s="7" t="inlineStr">
        <is>
          <t>Doloso</t>
        </is>
      </c>
      <c r="J414" s="7" t="inlineStr">
        <is>
          <t>Sim</t>
        </is>
      </c>
      <c r="K414" s="7" t="inlineStr">
        <is>
          <t>Não</t>
        </is>
      </c>
      <c r="L414" s="7" t="inlineStr">
        <is>
          <t>Não</t>
        </is>
      </c>
      <c r="M414" s="7" t="inlineStr">
        <is>
          <t>Sim</t>
        </is>
      </c>
      <c r="N414" s="7" t="inlineStr">
        <is>
          <t>Não</t>
        </is>
      </c>
      <c r="O414" s="7" t="inlineStr">
        <is>
          <t>Sim</t>
        </is>
      </c>
      <c r="P414" s="16" t="inlineStr">
        <is>
          <t>2-5 anos detenção ou multa. I - favorecer/preferir comprador sem justa causa; II - vender/expor matéria-prima/mercadoria deteriorada; III - misturar gêneros/mercadorias de qualidade diversa; IV - cobrar preços acima dos tabelados; V - elevar preço de mercadoria sem justa causa; VI - sonegar insumos/bens de consumo para provocar alta; VII - induzir consumidor a erro para obter vantagem; VIII - destruir/inutilizar/açambarcar matérias-primas/produtos; IX - vender/estocar/ter em depósito mercadoria com prazo de validade vencido</t>
        </is>
      </c>
    </row>
    <row r="415">
      <c r="A415" s="7" t="inlineStr">
        <is>
          <t>Lei 7.492/86</t>
        </is>
      </c>
      <c r="B415" s="7" t="inlineStr">
        <is>
          <t>Art. 2º</t>
        </is>
      </c>
      <c r="C415" s="16" t="inlineStr">
        <is>
          <t>Impressão/reprodução de formulário/documento para captação de poupança pública sem autorização</t>
        </is>
      </c>
      <c r="D415" s="7" t="n">
        <v>12</v>
      </c>
      <c r="E415" s="7" t="n">
        <v>48</v>
      </c>
      <c r="F415" s="7" t="inlineStr">
        <is>
          <t>Reclusão</t>
        </is>
      </c>
      <c r="G415" s="7" t="inlineStr">
        <is>
          <t>Pública Incondicionada</t>
        </is>
      </c>
      <c r="H415" s="7" t="inlineStr">
        <is>
          <t>Não</t>
        </is>
      </c>
      <c r="I415" s="7" t="inlineStr">
        <is>
          <t>Doloso</t>
        </is>
      </c>
      <c r="J415" s="7" t="inlineStr">
        <is>
          <t>Sim</t>
        </is>
      </c>
      <c r="K415" s="7" t="inlineStr">
        <is>
          <t>Não</t>
        </is>
      </c>
      <c r="L415" s="7" t="inlineStr">
        <is>
          <t>Não</t>
        </is>
      </c>
      <c r="M415" s="7" t="inlineStr">
        <is>
          <t>Sim</t>
        </is>
      </c>
      <c r="N415" s="7" t="inlineStr">
        <is>
          <t>Sim</t>
        </is>
      </c>
      <c r="O415" s="7" t="inlineStr">
        <is>
          <t>Sim</t>
        </is>
      </c>
      <c r="P415" s="16" t="inlineStr">
        <is>
          <t>1-4 anos reclusão + multa</t>
        </is>
      </c>
    </row>
    <row r="416">
      <c r="A416" s="7" t="inlineStr">
        <is>
          <t>Lei 7.492/86</t>
        </is>
      </c>
      <c r="B416" s="7" t="inlineStr">
        <is>
          <t>Art. 3º</t>
        </is>
      </c>
      <c r="C416" s="16" t="inlineStr">
        <is>
          <t>Divulgar informação falsa ou prejudicialmente incompleta sobre instituição financeira</t>
        </is>
      </c>
      <c r="D416" s="7" t="n">
        <v>24</v>
      </c>
      <c r="E416" s="7" t="n">
        <v>96</v>
      </c>
      <c r="F416" s="7" t="inlineStr">
        <is>
          <t>Reclusão</t>
        </is>
      </c>
      <c r="G416" s="7" t="inlineStr">
        <is>
          <t>Pública Incondicionada</t>
        </is>
      </c>
      <c r="H416" s="7" t="inlineStr">
        <is>
          <t>Não</t>
        </is>
      </c>
      <c r="I416" s="7" t="inlineStr">
        <is>
          <t>Doloso</t>
        </is>
      </c>
      <c r="J416" s="7" t="inlineStr">
        <is>
          <t>Sim</t>
        </is>
      </c>
      <c r="K416" s="7" t="inlineStr">
        <is>
          <t>Não</t>
        </is>
      </c>
      <c r="L416" s="7" t="inlineStr">
        <is>
          <t>Não</t>
        </is>
      </c>
      <c r="M416" s="7" t="inlineStr">
        <is>
          <t>Sim</t>
        </is>
      </c>
      <c r="N416" s="7" t="inlineStr">
        <is>
          <t>Não</t>
        </is>
      </c>
      <c r="O416" s="7" t="inlineStr">
        <is>
          <t>Sim</t>
        </is>
      </c>
      <c r="P416" s="16" t="inlineStr">
        <is>
          <t>2-8 anos reclusão + multa</t>
        </is>
      </c>
    </row>
    <row r="417">
      <c r="A417" s="7" t="inlineStr">
        <is>
          <t>Lei 7.492/86</t>
        </is>
      </c>
      <c r="B417" s="7" t="inlineStr">
        <is>
          <t>Art. 4º</t>
        </is>
      </c>
      <c r="C417" s="16" t="inlineStr">
        <is>
          <t>Gestão fraudulenta de instituição financeira</t>
        </is>
      </c>
      <c r="D417" s="7" t="n">
        <v>36</v>
      </c>
      <c r="E417" s="7" t="n">
        <v>144</v>
      </c>
      <c r="F417" s="7" t="inlineStr">
        <is>
          <t>Reclusão</t>
        </is>
      </c>
      <c r="G417" s="7" t="inlineStr">
        <is>
          <t>Pública Incondicionada</t>
        </is>
      </c>
      <c r="H417" s="7" t="inlineStr">
        <is>
          <t>Não</t>
        </is>
      </c>
      <c r="I417" s="7" t="inlineStr">
        <is>
          <t>Doloso</t>
        </is>
      </c>
      <c r="J417" s="7" t="inlineStr">
        <is>
          <t>Sim</t>
        </is>
      </c>
      <c r="K417" s="7" t="inlineStr">
        <is>
          <t>Não</t>
        </is>
      </c>
      <c r="L417" s="7" t="inlineStr">
        <is>
          <t>Não</t>
        </is>
      </c>
      <c r="M417" s="7" t="inlineStr">
        <is>
          <t>Sim</t>
        </is>
      </c>
      <c r="N417" s="7" t="inlineStr">
        <is>
          <t>Não</t>
        </is>
      </c>
      <c r="O417" s="7" t="inlineStr">
        <is>
          <t>Verificar</t>
        </is>
      </c>
      <c r="P417" s="16" t="inlineStr">
        <is>
          <t>3-12 anos reclusão + multa</t>
        </is>
      </c>
    </row>
    <row r="418">
      <c r="A418" s="7" t="inlineStr">
        <is>
          <t>Lei 7.492/86</t>
        </is>
      </c>
      <c r="B418" s="7" t="inlineStr">
        <is>
          <t>Art. 4º, §único</t>
        </is>
      </c>
      <c r="C418" s="16" t="inlineStr">
        <is>
          <t>Gestão temerária de instituição financeira</t>
        </is>
      </c>
      <c r="D418" s="7" t="n">
        <v>24</v>
      </c>
      <c r="E418" s="7" t="n">
        <v>96</v>
      </c>
      <c r="F418" s="7" t="inlineStr">
        <is>
          <t>Reclusão</t>
        </is>
      </c>
      <c r="G418" s="7" t="inlineStr">
        <is>
          <t>Pública Incondicionada</t>
        </is>
      </c>
      <c r="H418" s="7" t="inlineStr">
        <is>
          <t>Não</t>
        </is>
      </c>
      <c r="I418" s="7" t="inlineStr">
        <is>
          <t>Doloso</t>
        </is>
      </c>
      <c r="J418" s="7" t="inlineStr">
        <is>
          <t>Sim</t>
        </is>
      </c>
      <c r="K418" s="7" t="inlineStr">
        <is>
          <t>Não</t>
        </is>
      </c>
      <c r="L418" s="7" t="inlineStr">
        <is>
          <t>Não</t>
        </is>
      </c>
      <c r="M418" s="7" t="inlineStr">
        <is>
          <t>Sim</t>
        </is>
      </c>
      <c r="N418" s="7" t="inlineStr">
        <is>
          <t>Não</t>
        </is>
      </c>
      <c r="O418" s="7" t="inlineStr">
        <is>
          <t>Sim</t>
        </is>
      </c>
      <c r="P418" s="16" t="inlineStr">
        <is>
          <t>2-8 anos reclusão + multa</t>
        </is>
      </c>
    </row>
    <row r="419">
      <c r="A419" s="7" t="inlineStr">
        <is>
          <t>Lei 7.492/86</t>
        </is>
      </c>
      <c r="B419" s="7" t="inlineStr">
        <is>
          <t>Art. 5º</t>
        </is>
      </c>
      <c r="C419" s="16" t="inlineStr">
        <is>
          <t>Apropriar-se/desviar recursos de instituição financeira em proveito próprio ou de terceiro</t>
        </is>
      </c>
      <c r="D419" s="7" t="n">
        <v>24</v>
      </c>
      <c r="E419" s="7" t="n">
        <v>72</v>
      </c>
      <c r="F419" s="7" t="inlineStr">
        <is>
          <t>Reclusão</t>
        </is>
      </c>
      <c r="G419" s="7" t="inlineStr">
        <is>
          <t>Pública Incondicionada</t>
        </is>
      </c>
      <c r="H419" s="7" t="inlineStr">
        <is>
          <t>Não</t>
        </is>
      </c>
      <c r="I419" s="7" t="inlineStr">
        <is>
          <t>Doloso</t>
        </is>
      </c>
      <c r="J419" s="7" t="inlineStr">
        <is>
          <t>Sim</t>
        </is>
      </c>
      <c r="K419" s="7" t="inlineStr">
        <is>
          <t>Não</t>
        </is>
      </c>
      <c r="L419" s="7" t="inlineStr">
        <is>
          <t>Não</t>
        </is>
      </c>
      <c r="M419" s="7" t="inlineStr">
        <is>
          <t>Sim</t>
        </is>
      </c>
      <c r="N419" s="7" t="inlineStr">
        <is>
          <t>Não</t>
        </is>
      </c>
      <c r="O419" s="7" t="inlineStr">
        <is>
          <t>Sim</t>
        </is>
      </c>
      <c r="P419" s="16" t="inlineStr">
        <is>
          <t>2-6 anos reclusão + multa</t>
        </is>
      </c>
    </row>
    <row r="420">
      <c r="A420" s="7" t="inlineStr">
        <is>
          <t>Lei 7.492/86</t>
        </is>
      </c>
      <c r="B420" s="7" t="inlineStr">
        <is>
          <t>Art. 6º</t>
        </is>
      </c>
      <c r="C420" s="16" t="inlineStr">
        <is>
          <t>Induzir/manter em erro sócio/investidor/repartição pública sobre operação/situação financeira</t>
        </is>
      </c>
      <c r="D420" s="7" t="n">
        <v>24</v>
      </c>
      <c r="E420" s="7" t="n">
        <v>72</v>
      </c>
      <c r="F420" s="7" t="inlineStr">
        <is>
          <t>Reclusão</t>
        </is>
      </c>
      <c r="G420" s="7" t="inlineStr">
        <is>
          <t>Pública Incondicionada</t>
        </is>
      </c>
      <c r="H420" s="7" t="inlineStr">
        <is>
          <t>Não</t>
        </is>
      </c>
      <c r="I420" s="7" t="inlineStr">
        <is>
          <t>Doloso</t>
        </is>
      </c>
      <c r="J420" s="7" t="inlineStr">
        <is>
          <t>Sim</t>
        </is>
      </c>
      <c r="K420" s="7" t="inlineStr">
        <is>
          <t>Não</t>
        </is>
      </c>
      <c r="L420" s="7" t="inlineStr">
        <is>
          <t>Não</t>
        </is>
      </c>
      <c r="M420" s="7" t="inlineStr">
        <is>
          <t>Sim</t>
        </is>
      </c>
      <c r="N420" s="7" t="inlineStr">
        <is>
          <t>Não</t>
        </is>
      </c>
      <c r="O420" s="7" t="inlineStr">
        <is>
          <t>Sim</t>
        </is>
      </c>
      <c r="P420" s="16" t="inlineStr">
        <is>
          <t>2-6 anos reclusão + multa</t>
        </is>
      </c>
    </row>
    <row r="421">
      <c r="A421" s="7" t="inlineStr">
        <is>
          <t>Lei 7.492/86</t>
        </is>
      </c>
      <c r="B421" s="7" t="inlineStr">
        <is>
          <t>Art. 7º</t>
        </is>
      </c>
      <c r="C421" s="16" t="inlineStr">
        <is>
          <t>Emitir/oferecer/negociar valores mobiliários sem autorização ou em condições divergentes</t>
        </is>
      </c>
      <c r="D421" s="7" t="n">
        <v>24</v>
      </c>
      <c r="E421" s="7" t="n">
        <v>96</v>
      </c>
      <c r="F421" s="7" t="inlineStr">
        <is>
          <t>Reclusão</t>
        </is>
      </c>
      <c r="G421" s="7" t="inlineStr">
        <is>
          <t>Pública Incondicionada</t>
        </is>
      </c>
      <c r="H421" s="7" t="inlineStr">
        <is>
          <t>Não</t>
        </is>
      </c>
      <c r="I421" s="7" t="inlineStr">
        <is>
          <t>Doloso</t>
        </is>
      </c>
      <c r="J421" s="7" t="inlineStr">
        <is>
          <t>Sim</t>
        </is>
      </c>
      <c r="K421" s="7" t="inlineStr">
        <is>
          <t>Não</t>
        </is>
      </c>
      <c r="L421" s="7" t="inlineStr">
        <is>
          <t>Não</t>
        </is>
      </c>
      <c r="M421" s="7" t="inlineStr">
        <is>
          <t>Sim</t>
        </is>
      </c>
      <c r="N421" s="7" t="inlineStr">
        <is>
          <t>Não</t>
        </is>
      </c>
      <c r="O421" s="7" t="inlineStr">
        <is>
          <t>Sim</t>
        </is>
      </c>
      <c r="P421" s="16" t="inlineStr">
        <is>
          <t>2-8 anos reclusão + multa</t>
        </is>
      </c>
    </row>
    <row r="422">
      <c r="A422" s="7" t="inlineStr">
        <is>
          <t>Lei 7.492/86</t>
        </is>
      </c>
      <c r="B422" s="7" t="inlineStr">
        <is>
          <t>Art. 8º</t>
        </is>
      </c>
      <c r="C422" s="16" t="inlineStr">
        <is>
          <t>Exigir em desacordo com a legislação/aplicar em desacordo juros, comissões ou remuneração</t>
        </is>
      </c>
      <c r="D422" s="7" t="n">
        <v>12</v>
      </c>
      <c r="E422" s="7" t="n">
        <v>24</v>
      </c>
      <c r="F422" s="7" t="inlineStr">
        <is>
          <t>Reclusão</t>
        </is>
      </c>
      <c r="G422" s="7" t="inlineStr">
        <is>
          <t>Pública Incondicionada</t>
        </is>
      </c>
      <c r="H422" s="7" t="inlineStr">
        <is>
          <t>Não</t>
        </is>
      </c>
      <c r="I422" s="7" t="inlineStr">
        <is>
          <t>Doloso</t>
        </is>
      </c>
      <c r="J422" s="7" t="inlineStr">
        <is>
          <t>Sim</t>
        </is>
      </c>
      <c r="K422" s="7" t="inlineStr">
        <is>
          <t>Não</t>
        </is>
      </c>
      <c r="L422" s="7" t="inlineStr">
        <is>
          <t>Não</t>
        </is>
      </c>
      <c r="M422" s="7" t="inlineStr">
        <is>
          <t>Sim</t>
        </is>
      </c>
      <c r="N422" s="7" t="inlineStr">
        <is>
          <t>Sim</t>
        </is>
      </c>
      <c r="O422" s="7" t="inlineStr">
        <is>
          <t>Sim</t>
        </is>
      </c>
      <c r="P422" s="16" t="inlineStr">
        <is>
          <t>1-2 anos reclusão + multa</t>
        </is>
      </c>
    </row>
    <row r="423">
      <c r="A423" s="7" t="inlineStr">
        <is>
          <t>Lei 7.492/86</t>
        </is>
      </c>
      <c r="B423" s="7" t="inlineStr">
        <is>
          <t>Art. 9º</t>
        </is>
      </c>
      <c r="C423" s="16" t="inlineStr">
        <is>
          <t>Fraudar fiscalização/investidor inserindo/omitindo registros contábeis</t>
        </is>
      </c>
      <c r="D423" s="7" t="n">
        <v>12</v>
      </c>
      <c r="E423" s="7" t="n">
        <v>60</v>
      </c>
      <c r="F423" s="7" t="inlineStr">
        <is>
          <t>Reclusão</t>
        </is>
      </c>
      <c r="G423" s="7" t="inlineStr">
        <is>
          <t>Pública Incondicionada</t>
        </is>
      </c>
      <c r="H423" s="7" t="inlineStr">
        <is>
          <t>Não</t>
        </is>
      </c>
      <c r="I423" s="7" t="inlineStr">
        <is>
          <t>Doloso</t>
        </is>
      </c>
      <c r="J423" s="7" t="inlineStr">
        <is>
          <t>Sim</t>
        </is>
      </c>
      <c r="K423" s="7" t="inlineStr">
        <is>
          <t>Não</t>
        </is>
      </c>
      <c r="L423" s="7" t="inlineStr">
        <is>
          <t>Não</t>
        </is>
      </c>
      <c r="M423" s="7" t="inlineStr">
        <is>
          <t>Sim</t>
        </is>
      </c>
      <c r="N423" s="7" t="inlineStr">
        <is>
          <t>Sim</t>
        </is>
      </c>
      <c r="O423" s="7" t="inlineStr">
        <is>
          <t>Sim</t>
        </is>
      </c>
      <c r="P423" s="16" t="inlineStr">
        <is>
          <t>1-5 anos reclusão + multa</t>
        </is>
      </c>
    </row>
    <row r="424">
      <c r="A424" s="7" t="inlineStr">
        <is>
          <t>Lei 7.492/86</t>
        </is>
      </c>
      <c r="B424" s="7" t="inlineStr">
        <is>
          <t>Art. 10</t>
        </is>
      </c>
      <c r="C424" s="16" t="inlineStr">
        <is>
          <t>Empréstimo/adiantamento vedado ou em condições mais vantajosas que as de mercado</t>
        </is>
      </c>
      <c r="D424" s="7" t="n">
        <v>24</v>
      </c>
      <c r="E424" s="7" t="n">
        <v>72</v>
      </c>
      <c r="F424" s="7" t="inlineStr">
        <is>
          <t>Reclusão</t>
        </is>
      </c>
      <c r="G424" s="7" t="inlineStr">
        <is>
          <t>Pública Incondicionada</t>
        </is>
      </c>
      <c r="H424" s="7" t="inlineStr">
        <is>
          <t>Não</t>
        </is>
      </c>
      <c r="I424" s="7" t="inlineStr">
        <is>
          <t>Doloso</t>
        </is>
      </c>
      <c r="J424" s="7" t="inlineStr">
        <is>
          <t>Sim</t>
        </is>
      </c>
      <c r="K424" s="7" t="inlineStr">
        <is>
          <t>Não</t>
        </is>
      </c>
      <c r="L424" s="7" t="inlineStr">
        <is>
          <t>Não</t>
        </is>
      </c>
      <c r="M424" s="7" t="inlineStr">
        <is>
          <t>Sim</t>
        </is>
      </c>
      <c r="N424" s="7" t="inlineStr">
        <is>
          <t>Não</t>
        </is>
      </c>
      <c r="O424" s="7" t="inlineStr">
        <is>
          <t>Sim</t>
        </is>
      </c>
      <c r="P424" s="16" t="inlineStr">
        <is>
          <t>2-6 anos reclusão + multa</t>
        </is>
      </c>
    </row>
    <row r="425">
      <c r="A425" s="7" t="inlineStr">
        <is>
          <t>Lei 7.492/86</t>
        </is>
      </c>
      <c r="B425" s="7" t="inlineStr">
        <is>
          <t>Art. 11</t>
        </is>
      </c>
      <c r="C425" s="16" t="inlineStr">
        <is>
          <t>Manter/movimentar recursos fora do País sem declaração (evasão de divisas)</t>
        </is>
      </c>
      <c r="D425" s="7" t="n">
        <v>24</v>
      </c>
      <c r="E425" s="7" t="n">
        <v>72</v>
      </c>
      <c r="F425" s="7" t="inlineStr">
        <is>
          <t>Reclusão</t>
        </is>
      </c>
      <c r="G425" s="7" t="inlineStr">
        <is>
          <t>Pública Incondicionada</t>
        </is>
      </c>
      <c r="H425" s="7" t="inlineStr">
        <is>
          <t>Não</t>
        </is>
      </c>
      <c r="I425" s="7" t="inlineStr">
        <is>
          <t>Doloso</t>
        </is>
      </c>
      <c r="J425" s="7" t="inlineStr">
        <is>
          <t>Sim</t>
        </is>
      </c>
      <c r="K425" s="7" t="inlineStr">
        <is>
          <t>Não</t>
        </is>
      </c>
      <c r="L425" s="7" t="inlineStr">
        <is>
          <t>Não</t>
        </is>
      </c>
      <c r="M425" s="7" t="inlineStr">
        <is>
          <t>Sim</t>
        </is>
      </c>
      <c r="N425" s="7" t="inlineStr">
        <is>
          <t>Não</t>
        </is>
      </c>
      <c r="O425" s="7" t="inlineStr">
        <is>
          <t>Sim</t>
        </is>
      </c>
      <c r="P425" s="16" t="inlineStr">
        <is>
          <t>2-6 anos reclusão + multa. §único: mesma pena para quem realiza operação de câmbio não autorizada para promover evasão de divisas</t>
        </is>
      </c>
    </row>
    <row r="426">
      <c r="A426" s="7" t="inlineStr">
        <is>
          <t>Lei 7.492/86</t>
        </is>
      </c>
      <c r="B426" s="7" t="inlineStr">
        <is>
          <t>Art. 16</t>
        </is>
      </c>
      <c r="C426" s="16" t="inlineStr">
        <is>
          <t>Operação de instituição financeira sem autorização</t>
        </is>
      </c>
      <c r="D426" s="7" t="n">
        <v>12</v>
      </c>
      <c r="E426" s="7" t="n">
        <v>48</v>
      </c>
      <c r="F426" s="7" t="inlineStr">
        <is>
          <t>Reclusão</t>
        </is>
      </c>
      <c r="G426" s="7" t="inlineStr">
        <is>
          <t>Pública Incondicionada</t>
        </is>
      </c>
      <c r="H426" s="7" t="inlineStr">
        <is>
          <t>Não</t>
        </is>
      </c>
      <c r="I426" s="7" t="inlineStr">
        <is>
          <t>Doloso</t>
        </is>
      </c>
      <c r="J426" s="7" t="inlineStr">
        <is>
          <t>Sim</t>
        </is>
      </c>
      <c r="K426" s="7" t="inlineStr">
        <is>
          <t>Não</t>
        </is>
      </c>
      <c r="L426" s="7" t="inlineStr">
        <is>
          <t>Não</t>
        </is>
      </c>
      <c r="M426" s="7" t="inlineStr">
        <is>
          <t>Sim</t>
        </is>
      </c>
      <c r="N426" s="7" t="inlineStr">
        <is>
          <t>Sim</t>
        </is>
      </c>
      <c r="O426" s="7" t="inlineStr">
        <is>
          <t>Sim</t>
        </is>
      </c>
      <c r="P426" s="16" t="inlineStr">
        <is>
          <t>1-4 anos reclusão + multa</t>
        </is>
      </c>
    </row>
    <row r="427">
      <c r="A427" s="7" t="inlineStr">
        <is>
          <t>Lei 7.492/86</t>
        </is>
      </c>
      <c r="B427" s="7" t="inlineStr">
        <is>
          <t>Art. 22</t>
        </is>
      </c>
      <c r="C427" s="16" t="inlineStr">
        <is>
          <t>Efetuar operação de câmbio não autorizada para promover evasão de divisas</t>
        </is>
      </c>
      <c r="D427" s="7" t="n">
        <v>24</v>
      </c>
      <c r="E427" s="7" t="n">
        <v>72</v>
      </c>
      <c r="F427" s="7" t="inlineStr">
        <is>
          <t>Reclusão</t>
        </is>
      </c>
      <c r="G427" s="7" t="inlineStr">
        <is>
          <t>Pública Incondicionada</t>
        </is>
      </c>
      <c r="H427" s="7" t="inlineStr">
        <is>
          <t>Não</t>
        </is>
      </c>
      <c r="I427" s="7" t="inlineStr">
        <is>
          <t>Doloso</t>
        </is>
      </c>
      <c r="J427" s="7" t="inlineStr">
        <is>
          <t>Sim</t>
        </is>
      </c>
      <c r="K427" s="7" t="inlineStr">
        <is>
          <t>Não</t>
        </is>
      </c>
      <c r="L427" s="7" t="inlineStr">
        <is>
          <t>Não</t>
        </is>
      </c>
      <c r="M427" s="7" t="inlineStr">
        <is>
          <t>Sim</t>
        </is>
      </c>
      <c r="N427" s="7" t="inlineStr">
        <is>
          <t>Não</t>
        </is>
      </c>
      <c r="O427" s="7" t="inlineStr">
        <is>
          <t>Sim</t>
        </is>
      </c>
      <c r="P427" s="16" t="inlineStr">
        <is>
          <t>2-6 anos reclusão + multa</t>
        </is>
      </c>
    </row>
    <row r="428">
      <c r="A428" s="7" t="inlineStr">
        <is>
          <t>Lei 7.716/89</t>
        </is>
      </c>
      <c r="B428" s="7" t="inlineStr">
        <is>
          <t>Art. 3º</t>
        </is>
      </c>
      <c r="C428" s="16" t="inlineStr">
        <is>
          <t>Impedir/obstar acesso a cargo da administração direta/indireta ou concessionárias por preconceito de raça/cor/etnia/religião/procedência nacional</t>
        </is>
      </c>
      <c r="D428" s="7" t="n">
        <v>24</v>
      </c>
      <c r="E428" s="7" t="n">
        <v>60</v>
      </c>
      <c r="F428" s="7" t="inlineStr">
        <is>
          <t>Reclusão</t>
        </is>
      </c>
      <c r="G428" s="7" t="inlineStr">
        <is>
          <t>Pública Incondicionada</t>
        </is>
      </c>
      <c r="H428" s="7" t="inlineStr">
        <is>
          <t>Não</t>
        </is>
      </c>
      <c r="I428" s="7" t="inlineStr">
        <is>
          <t>Doloso</t>
        </is>
      </c>
      <c r="J428" s="7" t="inlineStr">
        <is>
          <t>Sim</t>
        </is>
      </c>
      <c r="K428" s="7" t="inlineStr">
        <is>
          <t>Não</t>
        </is>
      </c>
      <c r="L428" s="7" t="inlineStr">
        <is>
          <t>Não</t>
        </is>
      </c>
      <c r="M428" s="7" t="inlineStr">
        <is>
          <t>Sim</t>
        </is>
      </c>
      <c r="N428" s="7" t="inlineStr">
        <is>
          <t>Não</t>
        </is>
      </c>
      <c r="O428" s="7" t="inlineStr">
        <is>
          <t>Sim</t>
        </is>
      </c>
      <c r="P428" s="16" t="inlineStr">
        <is>
          <t>2-5 anos reclusão. Imprescritível e inafiançável (CF, Art. 5º, XLII)</t>
        </is>
      </c>
    </row>
    <row r="429">
      <c r="A429" s="7" t="inlineStr">
        <is>
          <t>Lei 7.716/89</t>
        </is>
      </c>
      <c r="B429" s="7" t="inlineStr">
        <is>
          <t>Art. 4º</t>
        </is>
      </c>
      <c r="C429" s="16" t="inlineStr">
        <is>
          <t>Negar/obstar emprego em empresa privada por preconceito</t>
        </is>
      </c>
      <c r="D429" s="7" t="n">
        <v>24</v>
      </c>
      <c r="E429" s="7" t="n">
        <v>60</v>
      </c>
      <c r="F429" s="7" t="inlineStr">
        <is>
          <t>Reclusão</t>
        </is>
      </c>
      <c r="G429" s="7" t="inlineStr">
        <is>
          <t>Pública Incondicionada</t>
        </is>
      </c>
      <c r="H429" s="7" t="inlineStr">
        <is>
          <t>Não</t>
        </is>
      </c>
      <c r="I429" s="7" t="inlineStr">
        <is>
          <t>Doloso</t>
        </is>
      </c>
      <c r="J429" s="7" t="inlineStr">
        <is>
          <t>Sim</t>
        </is>
      </c>
      <c r="K429" s="7" t="inlineStr">
        <is>
          <t>Não</t>
        </is>
      </c>
      <c r="L429" s="7" t="inlineStr">
        <is>
          <t>Não</t>
        </is>
      </c>
      <c r="M429" s="7" t="inlineStr">
        <is>
          <t>Sim</t>
        </is>
      </c>
      <c r="N429" s="7" t="inlineStr">
        <is>
          <t>Não</t>
        </is>
      </c>
      <c r="O429" s="7" t="inlineStr">
        <is>
          <t>Sim</t>
        </is>
      </c>
      <c r="P429" s="16" t="inlineStr">
        <is>
          <t>2-5 anos reclusão</t>
        </is>
      </c>
    </row>
    <row r="430">
      <c r="A430" s="7" t="inlineStr">
        <is>
          <t>Lei 7.716/89</t>
        </is>
      </c>
      <c r="B430" s="7" t="inlineStr">
        <is>
          <t>Art. 5º</t>
        </is>
      </c>
      <c r="C430" s="16" t="inlineStr">
        <is>
          <t>Recusar/impedir acesso a estabelecimento comercial por preconceito</t>
        </is>
      </c>
      <c r="D430" s="7" t="n">
        <v>12</v>
      </c>
      <c r="E430" s="7" t="n">
        <v>36</v>
      </c>
      <c r="F430" s="7" t="inlineStr">
        <is>
          <t>Reclusão</t>
        </is>
      </c>
      <c r="G430" s="7" t="inlineStr">
        <is>
          <t>Pública Incondicionada</t>
        </is>
      </c>
      <c r="H430" s="7" t="inlineStr">
        <is>
          <t>Não</t>
        </is>
      </c>
      <c r="I430" s="7" t="inlineStr">
        <is>
          <t>Doloso</t>
        </is>
      </c>
      <c r="J430" s="7" t="inlineStr">
        <is>
          <t>Sim</t>
        </is>
      </c>
      <c r="K430" s="7" t="inlineStr">
        <is>
          <t>Não</t>
        </is>
      </c>
      <c r="L430" s="7" t="inlineStr">
        <is>
          <t>Não</t>
        </is>
      </c>
      <c r="M430" s="7" t="inlineStr">
        <is>
          <t>Sim</t>
        </is>
      </c>
      <c r="N430" s="7" t="inlineStr">
        <is>
          <t>Sim</t>
        </is>
      </c>
      <c r="O430" s="7" t="inlineStr">
        <is>
          <t>Sim</t>
        </is>
      </c>
      <c r="P430" s="16" t="inlineStr">
        <is>
          <t>1-3 anos reclusão</t>
        </is>
      </c>
    </row>
    <row r="431">
      <c r="A431" s="7" t="inlineStr">
        <is>
          <t>Lei 7.716/89</t>
        </is>
      </c>
      <c r="B431" s="7" t="inlineStr">
        <is>
          <t>Art. 6º</t>
        </is>
      </c>
      <c r="C431" s="16" t="inlineStr">
        <is>
          <t>Recusar/impedir/cobrar mais para inscrição/ingresso de aluno em escola por preconceito</t>
        </is>
      </c>
      <c r="D431" s="7" t="n">
        <v>36</v>
      </c>
      <c r="E431" s="7" t="n">
        <v>60</v>
      </c>
      <c r="F431" s="7" t="inlineStr">
        <is>
          <t>Reclusão</t>
        </is>
      </c>
      <c r="G431" s="7" t="inlineStr">
        <is>
          <t>Pública Incondicionada</t>
        </is>
      </c>
      <c r="H431" s="7" t="inlineStr">
        <is>
          <t>Não</t>
        </is>
      </c>
      <c r="I431" s="7" t="inlineStr">
        <is>
          <t>Doloso</t>
        </is>
      </c>
      <c r="J431" s="7" t="inlineStr">
        <is>
          <t>Sim</t>
        </is>
      </c>
      <c r="K431" s="7" t="inlineStr">
        <is>
          <t>Não</t>
        </is>
      </c>
      <c r="L431" s="7" t="inlineStr">
        <is>
          <t>Não</t>
        </is>
      </c>
      <c r="M431" s="7" t="inlineStr">
        <is>
          <t>Sim</t>
        </is>
      </c>
      <c r="N431" s="7" t="inlineStr">
        <is>
          <t>Não</t>
        </is>
      </c>
      <c r="O431" s="7" t="inlineStr">
        <is>
          <t>Verificar</t>
        </is>
      </c>
      <c r="P431" s="16" t="inlineStr">
        <is>
          <t>3-5 anos reclusão</t>
        </is>
      </c>
    </row>
    <row r="432">
      <c r="A432" s="7" t="inlineStr">
        <is>
          <t>Lei 7.716/89</t>
        </is>
      </c>
      <c r="B432" s="7" t="inlineStr">
        <is>
          <t>Art. 7º</t>
        </is>
      </c>
      <c r="C432" s="16" t="inlineStr">
        <is>
          <t>Impedir acesso/recusar hospedagem em hotel/similar por preconceito</t>
        </is>
      </c>
      <c r="D432" s="7" t="n">
        <v>36</v>
      </c>
      <c r="E432" s="7" t="n">
        <v>60</v>
      </c>
      <c r="F432" s="7" t="inlineStr">
        <is>
          <t>Reclusão</t>
        </is>
      </c>
      <c r="G432" s="7" t="inlineStr">
        <is>
          <t>Pública Incondicionada</t>
        </is>
      </c>
      <c r="H432" s="7" t="inlineStr">
        <is>
          <t>Não</t>
        </is>
      </c>
      <c r="I432" s="7" t="inlineStr">
        <is>
          <t>Doloso</t>
        </is>
      </c>
      <c r="J432" s="7" t="inlineStr">
        <is>
          <t>Sim</t>
        </is>
      </c>
      <c r="K432" s="7" t="inlineStr">
        <is>
          <t>Não</t>
        </is>
      </c>
      <c r="L432" s="7" t="inlineStr">
        <is>
          <t>Não</t>
        </is>
      </c>
      <c r="M432" s="7" t="inlineStr">
        <is>
          <t>Sim</t>
        </is>
      </c>
      <c r="N432" s="7" t="inlineStr">
        <is>
          <t>Não</t>
        </is>
      </c>
      <c r="O432" s="7" t="inlineStr">
        <is>
          <t>Verificar</t>
        </is>
      </c>
      <c r="P432" s="16" t="inlineStr">
        <is>
          <t>3-5 anos reclusão</t>
        </is>
      </c>
    </row>
    <row r="433">
      <c r="A433" s="7" t="inlineStr">
        <is>
          <t>Lei 7.716/89</t>
        </is>
      </c>
      <c r="B433" s="7" t="inlineStr">
        <is>
          <t>Art. 8º</t>
        </is>
      </c>
      <c r="C433" s="16" t="inlineStr">
        <is>
          <t>Impedir acesso a restaurante/bar/confeitaria ou similares por preconceito</t>
        </is>
      </c>
      <c r="D433" s="7" t="n">
        <v>12</v>
      </c>
      <c r="E433" s="7" t="n">
        <v>36</v>
      </c>
      <c r="F433" s="7" t="inlineStr">
        <is>
          <t>Reclusão</t>
        </is>
      </c>
      <c r="G433" s="7" t="inlineStr">
        <is>
          <t>Pública Incondicionada</t>
        </is>
      </c>
      <c r="H433" s="7" t="inlineStr">
        <is>
          <t>Não</t>
        </is>
      </c>
      <c r="I433" s="7" t="inlineStr">
        <is>
          <t>Doloso</t>
        </is>
      </c>
      <c r="J433" s="7" t="inlineStr">
        <is>
          <t>Sim</t>
        </is>
      </c>
      <c r="K433" s="7" t="inlineStr">
        <is>
          <t>Não</t>
        </is>
      </c>
      <c r="L433" s="7" t="inlineStr">
        <is>
          <t>Não</t>
        </is>
      </c>
      <c r="M433" s="7" t="inlineStr">
        <is>
          <t>Sim</t>
        </is>
      </c>
      <c r="N433" s="7" t="inlineStr">
        <is>
          <t>Sim</t>
        </is>
      </c>
      <c r="O433" s="7" t="inlineStr">
        <is>
          <t>Sim</t>
        </is>
      </c>
      <c r="P433" s="16" t="inlineStr">
        <is>
          <t>1-3 anos reclusão</t>
        </is>
      </c>
    </row>
    <row r="434">
      <c r="A434" s="7" t="inlineStr">
        <is>
          <t>Lei 7.716/89</t>
        </is>
      </c>
      <c r="B434" s="7" t="inlineStr">
        <is>
          <t>Art. 9º</t>
        </is>
      </c>
      <c r="C434" s="16" t="inlineStr">
        <is>
          <t>Impedir acesso a salões de cabeleireiro/barbearia/termas/casas de massagem ou similares por preconceito</t>
        </is>
      </c>
      <c r="D434" s="7" t="n">
        <v>12</v>
      </c>
      <c r="E434" s="7" t="n">
        <v>36</v>
      </c>
      <c r="F434" s="7" t="inlineStr">
        <is>
          <t>Reclusão</t>
        </is>
      </c>
      <c r="G434" s="7" t="inlineStr">
        <is>
          <t>Pública Incondicionada</t>
        </is>
      </c>
      <c r="H434" s="7" t="inlineStr">
        <is>
          <t>Não</t>
        </is>
      </c>
      <c r="I434" s="7" t="inlineStr">
        <is>
          <t>Doloso</t>
        </is>
      </c>
      <c r="J434" s="7" t="inlineStr">
        <is>
          <t>Sim</t>
        </is>
      </c>
      <c r="K434" s="7" t="inlineStr">
        <is>
          <t>Não</t>
        </is>
      </c>
      <c r="L434" s="7" t="inlineStr">
        <is>
          <t>Não</t>
        </is>
      </c>
      <c r="M434" s="7" t="inlineStr">
        <is>
          <t>Sim</t>
        </is>
      </c>
      <c r="N434" s="7" t="inlineStr">
        <is>
          <t>Sim</t>
        </is>
      </c>
      <c r="O434" s="7" t="inlineStr">
        <is>
          <t>Sim</t>
        </is>
      </c>
      <c r="P434" s="16" t="inlineStr">
        <is>
          <t>1-3 anos reclusão</t>
        </is>
      </c>
    </row>
    <row r="435">
      <c r="A435" s="7" t="inlineStr">
        <is>
          <t>Lei 7.716/89</t>
        </is>
      </c>
      <c r="B435" s="7" t="inlineStr">
        <is>
          <t>Art. 10</t>
        </is>
      </c>
      <c r="C435" s="16" t="inlineStr">
        <is>
          <t>Impedir acesso a entrada social de edifícios por preconceito (elevador/escada)</t>
        </is>
      </c>
      <c r="D435" s="7" t="n">
        <v>12</v>
      </c>
      <c r="E435" s="7" t="n">
        <v>36</v>
      </c>
      <c r="F435" s="7" t="inlineStr">
        <is>
          <t>Reclusão</t>
        </is>
      </c>
      <c r="G435" s="7" t="inlineStr">
        <is>
          <t>Pública Incondicionada</t>
        </is>
      </c>
      <c r="H435" s="7" t="inlineStr">
        <is>
          <t>Não</t>
        </is>
      </c>
      <c r="I435" s="7" t="inlineStr">
        <is>
          <t>Doloso</t>
        </is>
      </c>
      <c r="J435" s="7" t="inlineStr">
        <is>
          <t>Sim</t>
        </is>
      </c>
      <c r="K435" s="7" t="inlineStr">
        <is>
          <t>Não</t>
        </is>
      </c>
      <c r="L435" s="7" t="inlineStr">
        <is>
          <t>Não</t>
        </is>
      </c>
      <c r="M435" s="7" t="inlineStr">
        <is>
          <t>Sim</t>
        </is>
      </c>
      <c r="N435" s="7" t="inlineStr">
        <is>
          <t>Sim</t>
        </is>
      </c>
      <c r="O435" s="7" t="inlineStr">
        <is>
          <t>Sim</t>
        </is>
      </c>
      <c r="P435" s="16" t="inlineStr">
        <is>
          <t>1-3 anos reclusão</t>
        </is>
      </c>
    </row>
    <row r="436">
      <c r="A436" s="7" t="inlineStr">
        <is>
          <t>Lei 7.716/89</t>
        </is>
      </c>
      <c r="B436" s="7" t="inlineStr">
        <is>
          <t>Art. 11</t>
        </is>
      </c>
      <c r="C436" s="16" t="inlineStr">
        <is>
          <t>Impedir acesso/uso de transportes públicos por preconceito</t>
        </is>
      </c>
      <c r="D436" s="7" t="n">
        <v>12</v>
      </c>
      <c r="E436" s="7" t="n">
        <v>36</v>
      </c>
      <c r="F436" s="7" t="inlineStr">
        <is>
          <t>Reclusão</t>
        </is>
      </c>
      <c r="G436" s="7" t="inlineStr">
        <is>
          <t>Pública Incondicionada</t>
        </is>
      </c>
      <c r="H436" s="7" t="inlineStr">
        <is>
          <t>Não</t>
        </is>
      </c>
      <c r="I436" s="7" t="inlineStr">
        <is>
          <t>Doloso</t>
        </is>
      </c>
      <c r="J436" s="7" t="inlineStr">
        <is>
          <t>Sim</t>
        </is>
      </c>
      <c r="K436" s="7" t="inlineStr">
        <is>
          <t>Não</t>
        </is>
      </c>
      <c r="L436" s="7" t="inlineStr">
        <is>
          <t>Não</t>
        </is>
      </c>
      <c r="M436" s="7" t="inlineStr">
        <is>
          <t>Sim</t>
        </is>
      </c>
      <c r="N436" s="7" t="inlineStr">
        <is>
          <t>Sim</t>
        </is>
      </c>
      <c r="O436" s="7" t="inlineStr">
        <is>
          <t>Sim</t>
        </is>
      </c>
      <c r="P436" s="16" t="inlineStr">
        <is>
          <t>1-3 anos reclusão</t>
        </is>
      </c>
    </row>
    <row r="437">
      <c r="A437" s="7" t="inlineStr">
        <is>
          <t>Lei 7.716/89</t>
        </is>
      </c>
      <c r="B437" s="7" t="inlineStr">
        <is>
          <t>Art. 12</t>
        </is>
      </c>
      <c r="C437" s="16" t="inlineStr">
        <is>
          <t>Impedir ingresso nas Forças Armadas por preconceito</t>
        </is>
      </c>
      <c r="D437" s="7" t="n">
        <v>24</v>
      </c>
      <c r="E437" s="7" t="n">
        <v>60</v>
      </c>
      <c r="F437" s="7" t="inlineStr">
        <is>
          <t>Reclusão</t>
        </is>
      </c>
      <c r="G437" s="7" t="inlineStr">
        <is>
          <t>Pública Incondicionada</t>
        </is>
      </c>
      <c r="H437" s="7" t="inlineStr">
        <is>
          <t>Não</t>
        </is>
      </c>
      <c r="I437" s="7" t="inlineStr">
        <is>
          <t>Doloso</t>
        </is>
      </c>
      <c r="J437" s="7" t="inlineStr">
        <is>
          <t>Sim</t>
        </is>
      </c>
      <c r="K437" s="7" t="inlineStr">
        <is>
          <t>Não</t>
        </is>
      </c>
      <c r="L437" s="7" t="inlineStr">
        <is>
          <t>Não</t>
        </is>
      </c>
      <c r="M437" s="7" t="inlineStr">
        <is>
          <t>Sim</t>
        </is>
      </c>
      <c r="N437" s="7" t="inlineStr">
        <is>
          <t>Não</t>
        </is>
      </c>
      <c r="O437" s="7" t="inlineStr">
        <is>
          <t>Sim</t>
        </is>
      </c>
      <c r="P437" s="16" t="inlineStr">
        <is>
          <t>2-5 anos reclusão</t>
        </is>
      </c>
    </row>
    <row r="438">
      <c r="A438" s="7" t="inlineStr">
        <is>
          <t>Lei 7.716/89</t>
        </is>
      </c>
      <c r="B438" s="7" t="inlineStr">
        <is>
          <t>Art. 13</t>
        </is>
      </c>
      <c r="C438" s="16" t="inlineStr">
        <is>
          <t>Impedir/obstar casamento ou convivência familiar e social por preconceito</t>
        </is>
      </c>
      <c r="D438" s="7" t="n">
        <v>24</v>
      </c>
      <c r="E438" s="7" t="n">
        <v>60</v>
      </c>
      <c r="F438" s="7" t="inlineStr">
        <is>
          <t>Reclusão</t>
        </is>
      </c>
      <c r="G438" s="7" t="inlineStr">
        <is>
          <t>Pública Incondicionada</t>
        </is>
      </c>
      <c r="H438" s="7" t="inlineStr">
        <is>
          <t>Não</t>
        </is>
      </c>
      <c r="I438" s="7" t="inlineStr">
        <is>
          <t>Doloso</t>
        </is>
      </c>
      <c r="J438" s="7" t="inlineStr">
        <is>
          <t>Sim</t>
        </is>
      </c>
      <c r="K438" s="7" t="inlineStr">
        <is>
          <t>Não</t>
        </is>
      </c>
      <c r="L438" s="7" t="inlineStr">
        <is>
          <t>Não</t>
        </is>
      </c>
      <c r="M438" s="7" t="inlineStr">
        <is>
          <t>Sim</t>
        </is>
      </c>
      <c r="N438" s="7" t="inlineStr">
        <is>
          <t>Não</t>
        </is>
      </c>
      <c r="O438" s="7" t="inlineStr">
        <is>
          <t>Sim</t>
        </is>
      </c>
      <c r="P438" s="16" t="inlineStr">
        <is>
          <t>2-5 anos reclusão</t>
        </is>
      </c>
    </row>
    <row r="439">
      <c r="A439" s="7" t="inlineStr">
        <is>
          <t>Lei 7.716/89</t>
        </is>
      </c>
      <c r="B439" s="7" t="inlineStr">
        <is>
          <t>Art. 14</t>
        </is>
      </c>
      <c r="C439" s="16" t="inlineStr">
        <is>
          <t>Impedir o exercício de qualquer direito por preconceito</t>
        </is>
      </c>
      <c r="D439" s="7" t="n">
        <v>24</v>
      </c>
      <c r="E439" s="7" t="n">
        <v>60</v>
      </c>
      <c r="F439" s="7" t="inlineStr">
        <is>
          <t>Reclusão</t>
        </is>
      </c>
      <c r="G439" s="7" t="inlineStr">
        <is>
          <t>Pública Incondicionada</t>
        </is>
      </c>
      <c r="H439" s="7" t="inlineStr">
        <is>
          <t>Não</t>
        </is>
      </c>
      <c r="I439" s="7" t="inlineStr">
        <is>
          <t>Doloso</t>
        </is>
      </c>
      <c r="J439" s="7" t="inlineStr">
        <is>
          <t>Sim</t>
        </is>
      </c>
      <c r="K439" s="7" t="inlineStr">
        <is>
          <t>Não</t>
        </is>
      </c>
      <c r="L439" s="7" t="inlineStr">
        <is>
          <t>Não</t>
        </is>
      </c>
      <c r="M439" s="7" t="inlineStr">
        <is>
          <t>Sim</t>
        </is>
      </c>
      <c r="N439" s="7" t="inlineStr">
        <is>
          <t>Não</t>
        </is>
      </c>
      <c r="O439" s="7" t="inlineStr">
        <is>
          <t>Sim</t>
        </is>
      </c>
      <c r="P439" s="16" t="inlineStr">
        <is>
          <t>2-5 anos reclusão (residual)</t>
        </is>
      </c>
    </row>
    <row r="440">
      <c r="A440" s="7" t="inlineStr">
        <is>
          <t>Lei 7.716/89</t>
        </is>
      </c>
      <c r="B440" s="7" t="inlineStr">
        <is>
          <t>Art. 20</t>
        </is>
      </c>
      <c r="C440" s="16" t="inlineStr">
        <is>
          <t>Praticar/induzir/incitar discriminação ou preconceito de raça/cor/etnia/religião/procedência nacional</t>
        </is>
      </c>
      <c r="D440" s="7" t="n">
        <v>12</v>
      </c>
      <c r="E440" s="7" t="n">
        <v>36</v>
      </c>
      <c r="F440" s="7" t="inlineStr">
        <is>
          <t>Reclusão</t>
        </is>
      </c>
      <c r="G440" s="7" t="inlineStr">
        <is>
          <t>Pública Incondicionada</t>
        </is>
      </c>
      <c r="H440" s="7" t="inlineStr">
        <is>
          <t>Não</t>
        </is>
      </c>
      <c r="I440" s="7" t="inlineStr">
        <is>
          <t>Doloso</t>
        </is>
      </c>
      <c r="J440" s="7" t="inlineStr">
        <is>
          <t>Sim</t>
        </is>
      </c>
      <c r="K440" s="7" t="inlineStr">
        <is>
          <t>Não</t>
        </is>
      </c>
      <c r="L440" s="7" t="inlineStr">
        <is>
          <t>Não</t>
        </is>
      </c>
      <c r="M440" s="7" t="inlineStr">
        <is>
          <t>Sim</t>
        </is>
      </c>
      <c r="N440" s="7" t="inlineStr">
        <is>
          <t>Sim</t>
        </is>
      </c>
      <c r="O440" s="7" t="inlineStr">
        <is>
          <t>Sim</t>
        </is>
      </c>
      <c r="P440" s="16" t="inlineStr">
        <is>
          <t>1-3 anos reclusão + multa. §1º: +1/3 se por meios de comunicação social ou publicação. §2º: 2-5 anos se nazismo/suástica/cruz gamada</t>
        </is>
      </c>
    </row>
    <row r="441">
      <c r="A441" s="7" t="inlineStr">
        <is>
          <t>Lei 13.869/19</t>
        </is>
      </c>
      <c r="B441" s="7" t="inlineStr">
        <is>
          <t>Art. 9º</t>
        </is>
      </c>
      <c r="C441" s="16" t="inlineStr">
        <is>
          <t>Decretar medida de privação da liberdade em manifesta desconformidade com hipóteses legais</t>
        </is>
      </c>
      <c r="D441" s="7" t="n">
        <v>12</v>
      </c>
      <c r="E441" s="7" t="n">
        <v>48</v>
      </c>
      <c r="F441" s="7" t="inlineStr">
        <is>
          <t>Detenção</t>
        </is>
      </c>
      <c r="G441" s="7" t="inlineStr">
        <is>
          <t>Pública Incondicionada</t>
        </is>
      </c>
      <c r="H441" s="7" t="inlineStr">
        <is>
          <t>Não</t>
        </is>
      </c>
      <c r="I441" s="7" t="inlineStr">
        <is>
          <t>Doloso</t>
        </is>
      </c>
      <c r="J441" s="7" t="inlineStr">
        <is>
          <t>Sim</t>
        </is>
      </c>
      <c r="K441" s="7" t="inlineStr">
        <is>
          <t>Não</t>
        </is>
      </c>
      <c r="L441" s="7" t="inlineStr">
        <is>
          <t>Não</t>
        </is>
      </c>
      <c r="M441" s="7" t="inlineStr">
        <is>
          <t>Sim</t>
        </is>
      </c>
      <c r="N441" s="7" t="inlineStr">
        <is>
          <t>Sim</t>
        </is>
      </c>
      <c r="O441" s="7" t="inlineStr">
        <is>
          <t>Sim</t>
        </is>
      </c>
      <c r="P441" s="16" t="inlineStr">
        <is>
          <t>1-4 anos detenção + multa</t>
        </is>
      </c>
    </row>
    <row r="442">
      <c r="A442" s="7" t="inlineStr">
        <is>
          <t>Lei 13.869/19</t>
        </is>
      </c>
      <c r="B442" s="7" t="inlineStr">
        <is>
          <t>Art. 10</t>
        </is>
      </c>
      <c r="C442" s="16" t="inlineStr">
        <is>
          <t>Decretar condução coercitiva sem prévia intimação para comparecimento espontâneo</t>
        </is>
      </c>
      <c r="D442" s="7" t="n">
        <v>12</v>
      </c>
      <c r="E442" s="7" t="n">
        <v>48</v>
      </c>
      <c r="F442" s="7" t="inlineStr">
        <is>
          <t>Detenção</t>
        </is>
      </c>
      <c r="G442" s="7" t="inlineStr">
        <is>
          <t>Pública Incondicionada</t>
        </is>
      </c>
      <c r="H442" s="7" t="inlineStr">
        <is>
          <t>Não</t>
        </is>
      </c>
      <c r="I442" s="7" t="inlineStr">
        <is>
          <t>Doloso</t>
        </is>
      </c>
      <c r="J442" s="7" t="inlineStr">
        <is>
          <t>Sim</t>
        </is>
      </c>
      <c r="K442" s="7" t="inlineStr">
        <is>
          <t>Não</t>
        </is>
      </c>
      <c r="L442" s="7" t="inlineStr">
        <is>
          <t>Não</t>
        </is>
      </c>
      <c r="M442" s="7" t="inlineStr">
        <is>
          <t>Sim</t>
        </is>
      </c>
      <c r="N442" s="7" t="inlineStr">
        <is>
          <t>Sim</t>
        </is>
      </c>
      <c r="O442" s="7" t="inlineStr">
        <is>
          <t>Sim</t>
        </is>
      </c>
      <c r="P442" s="16" t="inlineStr">
        <is>
          <t>1-4 anos detenção + multa</t>
        </is>
      </c>
    </row>
    <row r="443">
      <c r="A443" s="7" t="inlineStr">
        <is>
          <t>Lei 13.869/19</t>
        </is>
      </c>
      <c r="B443" s="7" t="inlineStr">
        <is>
          <t>Art. 12</t>
        </is>
      </c>
      <c r="C443" s="16" t="inlineStr">
        <is>
          <t>Deixar injustificadamente de comunicar prisão em flagrante à autoridade judiciária em até 24h</t>
        </is>
      </c>
      <c r="D443" s="7" t="n">
        <v>6</v>
      </c>
      <c r="E443" s="7" t="n">
        <v>24</v>
      </c>
      <c r="F443" s="7" t="inlineStr">
        <is>
          <t>Detenção</t>
        </is>
      </c>
      <c r="G443" s="7" t="inlineStr">
        <is>
          <t>Pública Incondicionada</t>
        </is>
      </c>
      <c r="H443" s="7" t="inlineStr">
        <is>
          <t>Não</t>
        </is>
      </c>
      <c r="I443" s="7" t="inlineStr">
        <is>
          <t>Doloso</t>
        </is>
      </c>
      <c r="J443" s="7" t="inlineStr">
        <is>
          <t>Não</t>
        </is>
      </c>
      <c r="K443" s="7" t="inlineStr">
        <is>
          <t>Não</t>
        </is>
      </c>
      <c r="L443" s="7" t="inlineStr">
        <is>
          <t>Não</t>
        </is>
      </c>
      <c r="M443" s="7" t="inlineStr">
        <is>
          <t>Sim</t>
        </is>
      </c>
      <c r="N443" s="7" t="inlineStr">
        <is>
          <t>Sim</t>
        </is>
      </c>
      <c r="O443" s="7" t="inlineStr">
        <is>
          <t>Sim</t>
        </is>
      </c>
      <c r="P443" s="16" t="inlineStr">
        <is>
          <t>6 meses a 2 anos detenção + multa</t>
        </is>
      </c>
    </row>
    <row r="444">
      <c r="A444" s="26" t="inlineStr">
        <is>
          <t>Lei 13.869/19</t>
        </is>
      </c>
      <c r="B444" s="26" t="inlineStr">
        <is>
          <t>Art. 13</t>
        </is>
      </c>
      <c r="C444" s="27" t="inlineStr">
        <is>
          <t>Constranger o preso ou detido a exibir-se ou ter sua imagem divulgada</t>
        </is>
      </c>
      <c r="D444" s="26" t="n">
        <v>12</v>
      </c>
      <c r="E444" s="26" t="n">
        <v>48</v>
      </c>
      <c r="F444" s="26" t="inlineStr">
        <is>
          <t>Detenção</t>
        </is>
      </c>
      <c r="G444" s="26" t="inlineStr">
        <is>
          <t>Pública Incondicionada</t>
        </is>
      </c>
      <c r="H444" s="26" t="inlineStr">
        <is>
          <t>Não</t>
        </is>
      </c>
      <c r="I444" s="26" t="inlineStr">
        <is>
          <t>Doloso</t>
        </is>
      </c>
      <c r="J444" s="26" t="inlineStr">
        <is>
          <t>Sim</t>
        </is>
      </c>
      <c r="K444" s="26" t="inlineStr">
        <is>
          <t>Sim</t>
        </is>
      </c>
      <c r="L444" s="26" t="inlineStr">
        <is>
          <t>Sim</t>
        </is>
      </c>
      <c r="M444" s="26" t="inlineStr">
        <is>
          <t>Não</t>
        </is>
      </c>
      <c r="N444" s="26" t="inlineStr">
        <is>
          <t>Sim</t>
        </is>
      </c>
      <c r="O444" s="26" t="inlineStr">
        <is>
          <t>Sim</t>
        </is>
      </c>
      <c r="P444" s="27" t="inlineStr">
        <is>
          <t>1-4 anos detenção + multa. §único: mesma pena para uso abusivo de algemas</t>
        </is>
      </c>
    </row>
    <row r="445">
      <c r="A445" s="7" t="inlineStr">
        <is>
          <t>Lei 13.869/19</t>
        </is>
      </c>
      <c r="B445" s="7" t="inlineStr">
        <is>
          <t>Art. 15</t>
        </is>
      </c>
      <c r="C445" s="16" t="inlineStr">
        <is>
          <t>Constranger a depor pessoa que deva guardar segredo ou que se possa eximir de depoimento</t>
        </is>
      </c>
      <c r="D445" s="7" t="n">
        <v>12</v>
      </c>
      <c r="E445" s="7" t="n">
        <v>48</v>
      </c>
      <c r="F445" s="7" t="inlineStr">
        <is>
          <t>Detenção</t>
        </is>
      </c>
      <c r="G445" s="7" t="inlineStr">
        <is>
          <t>Pública Incondicionada</t>
        </is>
      </c>
      <c r="H445" s="7" t="inlineStr">
        <is>
          <t>Não</t>
        </is>
      </c>
      <c r="I445" s="7" t="inlineStr">
        <is>
          <t>Doloso</t>
        </is>
      </c>
      <c r="J445" s="7" t="inlineStr">
        <is>
          <t>Sim</t>
        </is>
      </c>
      <c r="K445" s="7" t="inlineStr">
        <is>
          <t>Não</t>
        </is>
      </c>
      <c r="L445" s="7" t="inlineStr">
        <is>
          <t>Não</t>
        </is>
      </c>
      <c r="M445" s="7" t="inlineStr">
        <is>
          <t>Sim</t>
        </is>
      </c>
      <c r="N445" s="7" t="inlineStr">
        <is>
          <t>Sim</t>
        </is>
      </c>
      <c r="O445" s="7" t="inlineStr">
        <is>
          <t>Sim</t>
        </is>
      </c>
      <c r="P445" s="16" t="inlineStr">
        <is>
          <t>1-4 anos detenção + multa</t>
        </is>
      </c>
    </row>
    <row r="446">
      <c r="A446" s="7" t="inlineStr">
        <is>
          <t>Lei 13.869/19</t>
        </is>
      </c>
      <c r="B446" s="7" t="inlineStr">
        <is>
          <t>Art. 16</t>
        </is>
      </c>
      <c r="C446" s="16" t="inlineStr">
        <is>
          <t>Deixar de identificar-se ou identificar-se falsamente ao preso por ocasião da captura/interrogatório</t>
        </is>
      </c>
      <c r="D446" s="7" t="n">
        <v>6</v>
      </c>
      <c r="E446" s="7" t="n">
        <v>24</v>
      </c>
      <c r="F446" s="7" t="inlineStr">
        <is>
          <t>Detenção</t>
        </is>
      </c>
      <c r="G446" s="7" t="inlineStr">
        <is>
          <t>Pública Incondicionada</t>
        </is>
      </c>
      <c r="H446" s="7" t="inlineStr">
        <is>
          <t>Não</t>
        </is>
      </c>
      <c r="I446" s="7" t="inlineStr">
        <is>
          <t>Doloso</t>
        </is>
      </c>
      <c r="J446" s="7" t="inlineStr">
        <is>
          <t>Não</t>
        </is>
      </c>
      <c r="K446" s="7" t="inlineStr">
        <is>
          <t>Não</t>
        </is>
      </c>
      <c r="L446" s="7" t="inlineStr">
        <is>
          <t>Não</t>
        </is>
      </c>
      <c r="M446" s="7" t="inlineStr">
        <is>
          <t>Sim</t>
        </is>
      </c>
      <c r="N446" s="7" t="inlineStr">
        <is>
          <t>Sim</t>
        </is>
      </c>
      <c r="O446" s="7" t="inlineStr">
        <is>
          <t>Sim</t>
        </is>
      </c>
      <c r="P446" s="16" t="inlineStr">
        <is>
          <t>6 meses a 2 anos detenção + multa</t>
        </is>
      </c>
    </row>
    <row r="447">
      <c r="A447" s="7" t="inlineStr">
        <is>
          <t>Lei 13.869/19</t>
        </is>
      </c>
      <c r="B447" s="7" t="inlineStr">
        <is>
          <t>Art. 18</t>
        </is>
      </c>
      <c r="C447" s="16" t="inlineStr">
        <is>
          <t>Submeter preso a interrogatório policial durante o período de repouso noturno (21h-5h)</t>
        </is>
      </c>
      <c r="D447" s="7" t="n">
        <v>6</v>
      </c>
      <c r="E447" s="7" t="n">
        <v>24</v>
      </c>
      <c r="F447" s="7" t="inlineStr">
        <is>
          <t>Detenção</t>
        </is>
      </c>
      <c r="G447" s="7" t="inlineStr">
        <is>
          <t>Pública Incondicionada</t>
        </is>
      </c>
      <c r="H447" s="7" t="inlineStr">
        <is>
          <t>Não</t>
        </is>
      </c>
      <c r="I447" s="7" t="inlineStr">
        <is>
          <t>Doloso</t>
        </is>
      </c>
      <c r="J447" s="7" t="inlineStr">
        <is>
          <t>Sim</t>
        </is>
      </c>
      <c r="K447" s="7" t="inlineStr">
        <is>
          <t>Não</t>
        </is>
      </c>
      <c r="L447" s="7" t="inlineStr">
        <is>
          <t>Não</t>
        </is>
      </c>
      <c r="M447" s="7" t="inlineStr">
        <is>
          <t>Sim</t>
        </is>
      </c>
      <c r="N447" s="7" t="inlineStr">
        <is>
          <t>Sim</t>
        </is>
      </c>
      <c r="O447" s="7" t="inlineStr">
        <is>
          <t>Sim</t>
        </is>
      </c>
      <c r="P447" s="16" t="inlineStr">
        <is>
          <t>6 meses a 2 anos detenção + multa. Salvo se expressamente autorizado pelo juiz</t>
        </is>
      </c>
    </row>
    <row r="448">
      <c r="A448" s="7" t="inlineStr">
        <is>
          <t>Lei 13.869/19</t>
        </is>
      </c>
      <c r="B448" s="7" t="inlineStr">
        <is>
          <t>Art. 19</t>
        </is>
      </c>
      <c r="C448" s="16" t="inlineStr">
        <is>
          <t>Impedir ou retardar comunicação do preso com advogado</t>
        </is>
      </c>
      <c r="D448" s="7" t="n">
        <v>6</v>
      </c>
      <c r="E448" s="7" t="n">
        <v>24</v>
      </c>
      <c r="F448" s="7" t="inlineStr">
        <is>
          <t>Detenção</t>
        </is>
      </c>
      <c r="G448" s="7" t="inlineStr">
        <is>
          <t>Pública Incondicionada</t>
        </is>
      </c>
      <c r="H448" s="7" t="inlineStr">
        <is>
          <t>Não</t>
        </is>
      </c>
      <c r="I448" s="7" t="inlineStr">
        <is>
          <t>Doloso</t>
        </is>
      </c>
      <c r="J448" s="7" t="inlineStr">
        <is>
          <t>Sim</t>
        </is>
      </c>
      <c r="K448" s="7" t="inlineStr">
        <is>
          <t>Não</t>
        </is>
      </c>
      <c r="L448" s="7" t="inlineStr">
        <is>
          <t>Não</t>
        </is>
      </c>
      <c r="M448" s="7" t="inlineStr">
        <is>
          <t>Sim</t>
        </is>
      </c>
      <c r="N448" s="7" t="inlineStr">
        <is>
          <t>Sim</t>
        </is>
      </c>
      <c r="O448" s="7" t="inlineStr">
        <is>
          <t>Sim</t>
        </is>
      </c>
      <c r="P448" s="16" t="inlineStr">
        <is>
          <t>6 meses a 2 anos detenção + multa</t>
        </is>
      </c>
    </row>
    <row r="449">
      <c r="A449" s="7" t="inlineStr">
        <is>
          <t>Lei 13.869/19</t>
        </is>
      </c>
      <c r="B449" s="7" t="inlineStr">
        <is>
          <t>Art. 20</t>
        </is>
      </c>
      <c r="C449" s="16" t="inlineStr">
        <is>
          <t>Impedir/dificultar entrevista do preso com seu advogado</t>
        </is>
      </c>
      <c r="D449" s="7" t="n">
        <v>6</v>
      </c>
      <c r="E449" s="7" t="n">
        <v>24</v>
      </c>
      <c r="F449" s="7" t="inlineStr">
        <is>
          <t>Detenção</t>
        </is>
      </c>
      <c r="G449" s="7" t="inlineStr">
        <is>
          <t>Pública Incondicionada</t>
        </is>
      </c>
      <c r="H449" s="7" t="inlineStr">
        <is>
          <t>Não</t>
        </is>
      </c>
      <c r="I449" s="7" t="inlineStr">
        <is>
          <t>Doloso</t>
        </is>
      </c>
      <c r="J449" s="7" t="inlineStr">
        <is>
          <t>Sim</t>
        </is>
      </c>
      <c r="K449" s="7" t="inlineStr">
        <is>
          <t>Não</t>
        </is>
      </c>
      <c r="L449" s="7" t="inlineStr">
        <is>
          <t>Não</t>
        </is>
      </c>
      <c r="M449" s="7" t="inlineStr">
        <is>
          <t>Sim</t>
        </is>
      </c>
      <c r="N449" s="7" t="inlineStr">
        <is>
          <t>Sim</t>
        </is>
      </c>
      <c r="O449" s="7" t="inlineStr">
        <is>
          <t>Sim</t>
        </is>
      </c>
      <c r="P449" s="16" t="inlineStr">
        <is>
          <t>6 meses a 2 anos detenção + multa</t>
        </is>
      </c>
    </row>
    <row r="450">
      <c r="A450" s="7" t="inlineStr">
        <is>
          <t>Lei 13.869/19</t>
        </is>
      </c>
      <c r="B450" s="7" t="inlineStr">
        <is>
          <t>Art. 21</t>
        </is>
      </c>
      <c r="C450" s="16" t="inlineStr">
        <is>
          <t>Manter presos de ambos os sexos na mesma cela ou espaço de confinamento</t>
        </is>
      </c>
      <c r="D450" s="7" t="n">
        <v>12</v>
      </c>
      <c r="E450" s="7" t="n">
        <v>48</v>
      </c>
      <c r="F450" s="7" t="inlineStr">
        <is>
          <t>Detenção</t>
        </is>
      </c>
      <c r="G450" s="7" t="inlineStr">
        <is>
          <t>Pública Incondicionada</t>
        </is>
      </c>
      <c r="H450" s="7" t="inlineStr">
        <is>
          <t>Não</t>
        </is>
      </c>
      <c r="I450" s="7" t="inlineStr">
        <is>
          <t>Doloso</t>
        </is>
      </c>
      <c r="J450" s="7" t="inlineStr">
        <is>
          <t>Não</t>
        </is>
      </c>
      <c r="K450" s="7" t="inlineStr">
        <is>
          <t>Não</t>
        </is>
      </c>
      <c r="L450" s="7" t="inlineStr">
        <is>
          <t>Não</t>
        </is>
      </c>
      <c r="M450" s="7" t="inlineStr">
        <is>
          <t>Sim</t>
        </is>
      </c>
      <c r="N450" s="7" t="inlineStr">
        <is>
          <t>Sim</t>
        </is>
      </c>
      <c r="O450" s="7" t="inlineStr">
        <is>
          <t>Sim</t>
        </is>
      </c>
      <c r="P450" s="16" t="inlineStr">
        <is>
          <t>1-4 anos detenção + multa</t>
        </is>
      </c>
    </row>
    <row r="451">
      <c r="A451" s="7" t="inlineStr">
        <is>
          <t>Lei 13.869/19</t>
        </is>
      </c>
      <c r="B451" s="7" t="inlineStr">
        <is>
          <t>Art. 22</t>
        </is>
      </c>
      <c r="C451" s="16" t="inlineStr">
        <is>
          <t>Invadir ou adentrar casa alheia ou suas dependências sem determinação judicial ou fora das condições legais</t>
        </is>
      </c>
      <c r="D451" s="7" t="n">
        <v>12</v>
      </c>
      <c r="E451" s="7" t="n">
        <v>48</v>
      </c>
      <c r="F451" s="7" t="inlineStr">
        <is>
          <t>Detenção</t>
        </is>
      </c>
      <c r="G451" s="7" t="inlineStr">
        <is>
          <t>Pública Incondicionada</t>
        </is>
      </c>
      <c r="H451" s="7" t="inlineStr">
        <is>
          <t>Não</t>
        </is>
      </c>
      <c r="I451" s="7" t="inlineStr">
        <is>
          <t>Doloso</t>
        </is>
      </c>
      <c r="J451" s="7" t="inlineStr">
        <is>
          <t>Sim</t>
        </is>
      </c>
      <c r="K451" s="7" t="inlineStr">
        <is>
          <t>Não</t>
        </is>
      </c>
      <c r="L451" s="7" t="inlineStr">
        <is>
          <t>Não</t>
        </is>
      </c>
      <c r="M451" s="7" t="inlineStr">
        <is>
          <t>Sim</t>
        </is>
      </c>
      <c r="N451" s="7" t="inlineStr">
        <is>
          <t>Sim</t>
        </is>
      </c>
      <c r="O451" s="7" t="inlineStr">
        <is>
          <t>Sim</t>
        </is>
      </c>
      <c r="P451" s="16" t="inlineStr">
        <is>
          <t>1-4 anos detenção + multa. §1º: +1/3 a +1/2 se noturna ou sem testemunhas</t>
        </is>
      </c>
    </row>
    <row r="452">
      <c r="A452" s="7" t="inlineStr">
        <is>
          <t>Lei 13.869/19</t>
        </is>
      </c>
      <c r="B452" s="7" t="inlineStr">
        <is>
          <t>Art. 25</t>
        </is>
      </c>
      <c r="C452" s="16" t="inlineStr">
        <is>
          <t>Proceder a obtenção de prova por meio manifestamente ilícito</t>
        </is>
      </c>
      <c r="D452" s="7" t="n">
        <v>12</v>
      </c>
      <c r="E452" s="7" t="n">
        <v>48</v>
      </c>
      <c r="F452" s="7" t="inlineStr">
        <is>
          <t>Detenção</t>
        </is>
      </c>
      <c r="G452" s="7" t="inlineStr">
        <is>
          <t>Pública Incondicionada</t>
        </is>
      </c>
      <c r="H452" s="7" t="inlineStr">
        <is>
          <t>Não</t>
        </is>
      </c>
      <c r="I452" s="7" t="inlineStr">
        <is>
          <t>Doloso</t>
        </is>
      </c>
      <c r="J452" s="7" t="inlineStr">
        <is>
          <t>Sim</t>
        </is>
      </c>
      <c r="K452" s="7" t="inlineStr">
        <is>
          <t>Não</t>
        </is>
      </c>
      <c r="L452" s="7" t="inlineStr">
        <is>
          <t>Não</t>
        </is>
      </c>
      <c r="M452" s="7" t="inlineStr">
        <is>
          <t>Sim</t>
        </is>
      </c>
      <c r="N452" s="7" t="inlineStr">
        <is>
          <t>Sim</t>
        </is>
      </c>
      <c r="O452" s="7" t="inlineStr">
        <is>
          <t>Sim</t>
        </is>
      </c>
      <c r="P452" s="16" t="inlineStr">
        <is>
          <t>1-4 anos detenção + multa</t>
        </is>
      </c>
    </row>
    <row r="453">
      <c r="A453" s="7" t="inlineStr">
        <is>
          <t>Lei 13.869/19</t>
        </is>
      </c>
      <c r="B453" s="7" t="inlineStr">
        <is>
          <t>Art. 27</t>
        </is>
      </c>
      <c r="C453" s="16" t="inlineStr">
        <is>
          <t>Requisitar instauração ou instaurar procedimento investigatório de infração penal sem indícios</t>
        </is>
      </c>
      <c r="D453" s="7" t="n">
        <v>6</v>
      </c>
      <c r="E453" s="7" t="n">
        <v>24</v>
      </c>
      <c r="F453" s="7" t="inlineStr">
        <is>
          <t>Detenção</t>
        </is>
      </c>
      <c r="G453" s="7" t="inlineStr">
        <is>
          <t>Pública Incondicionada</t>
        </is>
      </c>
      <c r="H453" s="7" t="inlineStr">
        <is>
          <t>Não</t>
        </is>
      </c>
      <c r="I453" s="7" t="inlineStr">
        <is>
          <t>Doloso</t>
        </is>
      </c>
      <c r="J453" s="7" t="inlineStr">
        <is>
          <t>Sim</t>
        </is>
      </c>
      <c r="K453" s="7" t="inlineStr">
        <is>
          <t>Não</t>
        </is>
      </c>
      <c r="L453" s="7" t="inlineStr">
        <is>
          <t>Não</t>
        </is>
      </c>
      <c r="M453" s="7" t="inlineStr">
        <is>
          <t>Sim</t>
        </is>
      </c>
      <c r="N453" s="7" t="inlineStr">
        <is>
          <t>Sim</t>
        </is>
      </c>
      <c r="O453" s="7" t="inlineStr">
        <is>
          <t>Sim</t>
        </is>
      </c>
      <c r="P453" s="16" t="inlineStr">
        <is>
          <t>6 meses a 2 anos detenção + multa</t>
        </is>
      </c>
    </row>
    <row r="454">
      <c r="A454" s="7" t="inlineStr">
        <is>
          <t>Lei 13.869/19</t>
        </is>
      </c>
      <c r="B454" s="7" t="inlineStr">
        <is>
          <t>Art. 28</t>
        </is>
      </c>
      <c r="C454" s="16" t="inlineStr">
        <is>
          <t>Divulgar gravação ou interceptação telefônica/telemática ilegal ou obtida licitamente mas sem autorização para divulgação</t>
        </is>
      </c>
      <c r="D454" s="7" t="n">
        <v>12</v>
      </c>
      <c r="E454" s="7" t="n">
        <v>48</v>
      </c>
      <c r="F454" s="7" t="inlineStr">
        <is>
          <t>Detenção</t>
        </is>
      </c>
      <c r="G454" s="7" t="inlineStr">
        <is>
          <t>Pública Incondicionada</t>
        </is>
      </c>
      <c r="H454" s="7" t="inlineStr">
        <is>
          <t>Não</t>
        </is>
      </c>
      <c r="I454" s="7" t="inlineStr">
        <is>
          <t>Doloso</t>
        </is>
      </c>
      <c r="J454" s="7" t="inlineStr">
        <is>
          <t>Sim</t>
        </is>
      </c>
      <c r="K454" s="7" t="inlineStr">
        <is>
          <t>Não</t>
        </is>
      </c>
      <c r="L454" s="7" t="inlineStr">
        <is>
          <t>Não</t>
        </is>
      </c>
      <c r="M454" s="7" t="inlineStr">
        <is>
          <t>Sim</t>
        </is>
      </c>
      <c r="N454" s="7" t="inlineStr">
        <is>
          <t>Sim</t>
        </is>
      </c>
      <c r="O454" s="7" t="inlineStr">
        <is>
          <t>Sim</t>
        </is>
      </c>
      <c r="P454" s="16" t="inlineStr">
        <is>
          <t>1-4 anos detenção + multa</t>
        </is>
      </c>
    </row>
    <row r="455">
      <c r="A455" s="7" t="inlineStr">
        <is>
          <t>Lei 13.869/19</t>
        </is>
      </c>
      <c r="B455" s="7" t="inlineStr">
        <is>
          <t>Art. 30</t>
        </is>
      </c>
      <c r="C455" s="16" t="inlineStr">
        <is>
          <t>Dar início ou proceder a persecução penal/civil/administrativa sem justa causa ou contra quem sabe inocente</t>
        </is>
      </c>
      <c r="D455" s="7" t="n">
        <v>12</v>
      </c>
      <c r="E455" s="7" t="n">
        <v>48</v>
      </c>
      <c r="F455" s="7" t="inlineStr">
        <is>
          <t>Detenção</t>
        </is>
      </c>
      <c r="G455" s="7" t="inlineStr">
        <is>
          <t>Pública Incondicionada</t>
        </is>
      </c>
      <c r="H455" s="7" t="inlineStr">
        <is>
          <t>Não</t>
        </is>
      </c>
      <c r="I455" s="7" t="inlineStr">
        <is>
          <t>Doloso</t>
        </is>
      </c>
      <c r="J455" s="7" t="inlineStr">
        <is>
          <t>Sim</t>
        </is>
      </c>
      <c r="K455" s="7" t="inlineStr">
        <is>
          <t>Não</t>
        </is>
      </c>
      <c r="L455" s="7" t="inlineStr">
        <is>
          <t>Não</t>
        </is>
      </c>
      <c r="M455" s="7" t="inlineStr">
        <is>
          <t>Sim</t>
        </is>
      </c>
      <c r="N455" s="7" t="inlineStr">
        <is>
          <t>Sim</t>
        </is>
      </c>
      <c r="O455" s="7" t="inlineStr">
        <is>
          <t>Sim</t>
        </is>
      </c>
      <c r="P455" s="16" t="inlineStr">
        <is>
          <t>1-4 anos detenção + multa</t>
        </is>
      </c>
    </row>
    <row r="456">
      <c r="A456" s="7" t="inlineStr">
        <is>
          <t>Lei 13.869/19</t>
        </is>
      </c>
      <c r="B456" s="7" t="inlineStr">
        <is>
          <t>Art. 31</t>
        </is>
      </c>
      <c r="C456" s="16" t="inlineStr">
        <is>
          <t>Estender injustificadamente a investigação além do prazo razoável</t>
        </is>
      </c>
      <c r="D456" s="7" t="n">
        <v>6</v>
      </c>
      <c r="E456" s="7" t="n">
        <v>24</v>
      </c>
      <c r="F456" s="7" t="inlineStr">
        <is>
          <t>Detenção</t>
        </is>
      </c>
      <c r="G456" s="7" t="inlineStr">
        <is>
          <t>Pública Incondicionada</t>
        </is>
      </c>
      <c r="H456" s="7" t="inlineStr">
        <is>
          <t>Não</t>
        </is>
      </c>
      <c r="I456" s="7" t="inlineStr">
        <is>
          <t>Doloso</t>
        </is>
      </c>
      <c r="J456" s="7" t="inlineStr">
        <is>
          <t>Não</t>
        </is>
      </c>
      <c r="K456" s="7" t="inlineStr">
        <is>
          <t>Não</t>
        </is>
      </c>
      <c r="L456" s="7" t="inlineStr">
        <is>
          <t>Não</t>
        </is>
      </c>
      <c r="M456" s="7" t="inlineStr">
        <is>
          <t>Sim</t>
        </is>
      </c>
      <c r="N456" s="7" t="inlineStr">
        <is>
          <t>Sim</t>
        </is>
      </c>
      <c r="O456" s="7" t="inlineStr">
        <is>
          <t>Sim</t>
        </is>
      </c>
      <c r="P456" s="16" t="inlineStr">
        <is>
          <t>6 meses a 2 anos detenção + multa. Procrastinar injustificadamente a investigação de qualquer natureza</t>
        </is>
      </c>
    </row>
    <row r="457">
      <c r="A457" s="7" t="inlineStr">
        <is>
          <t>Lei 13.869/19</t>
        </is>
      </c>
      <c r="B457" s="7" t="inlineStr">
        <is>
          <t>Art. 33</t>
        </is>
      </c>
      <c r="C457" s="16" t="inlineStr">
        <is>
          <t>Exigir informação ou cumprimento de obrigação sem embasamento legal</t>
        </is>
      </c>
      <c r="D457" s="7" t="n">
        <v>6</v>
      </c>
      <c r="E457" s="7" t="n">
        <v>24</v>
      </c>
      <c r="F457" s="7" t="inlineStr">
        <is>
          <t>Detenção</t>
        </is>
      </c>
      <c r="G457" s="7" t="inlineStr">
        <is>
          <t>Pública Incondicionada</t>
        </is>
      </c>
      <c r="H457" s="7" t="inlineStr">
        <is>
          <t>Não</t>
        </is>
      </c>
      <c r="I457" s="7" t="inlineStr">
        <is>
          <t>Doloso</t>
        </is>
      </c>
      <c r="J457" s="7" t="inlineStr">
        <is>
          <t>Sim</t>
        </is>
      </c>
      <c r="K457" s="7" t="inlineStr">
        <is>
          <t>Não</t>
        </is>
      </c>
      <c r="L457" s="7" t="inlineStr">
        <is>
          <t>Não</t>
        </is>
      </c>
      <c r="M457" s="7" t="inlineStr">
        <is>
          <t>Sim</t>
        </is>
      </c>
      <c r="N457" s="7" t="inlineStr">
        <is>
          <t>Sim</t>
        </is>
      </c>
      <c r="O457" s="7" t="inlineStr">
        <is>
          <t>Sim</t>
        </is>
      </c>
      <c r="P457" s="16" t="inlineStr">
        <is>
          <t>6 meses a 2 anos detenção + multa</t>
        </is>
      </c>
    </row>
    <row r="458">
      <c r="A458" s="7" t="inlineStr">
        <is>
          <t>Lei 13.869/19</t>
        </is>
      </c>
      <c r="B458" s="7" t="inlineStr">
        <is>
          <t>Art. 36</t>
        </is>
      </c>
      <c r="C458" s="16" t="inlineStr">
        <is>
          <t>Decretar/executar medida cautelar diversa da prisão ou sanção administrativa sem amparo legal</t>
        </is>
      </c>
      <c r="D458" s="7" t="n">
        <v>12</v>
      </c>
      <c r="E458" s="7" t="n">
        <v>48</v>
      </c>
      <c r="F458" s="7" t="inlineStr">
        <is>
          <t>Detenção</t>
        </is>
      </c>
      <c r="G458" s="7" t="inlineStr">
        <is>
          <t>Pública Incondicionada</t>
        </is>
      </c>
      <c r="H458" s="7" t="inlineStr">
        <is>
          <t>Não</t>
        </is>
      </c>
      <c r="I458" s="7" t="inlineStr">
        <is>
          <t>Doloso</t>
        </is>
      </c>
      <c r="J458" s="7" t="inlineStr">
        <is>
          <t>Sim</t>
        </is>
      </c>
      <c r="K458" s="7" t="inlineStr">
        <is>
          <t>Não</t>
        </is>
      </c>
      <c r="L458" s="7" t="inlineStr">
        <is>
          <t>Não</t>
        </is>
      </c>
      <c r="M458" s="7" t="inlineStr">
        <is>
          <t>Sim</t>
        </is>
      </c>
      <c r="N458" s="7" t="inlineStr">
        <is>
          <t>Sim</t>
        </is>
      </c>
      <c r="O458" s="7" t="inlineStr">
        <is>
          <t>Sim</t>
        </is>
      </c>
      <c r="P458" s="16" t="inlineStr">
        <is>
          <t>1-4 anos detenção + multa</t>
        </is>
      </c>
    </row>
    <row r="459">
      <c r="A459" s="7" t="inlineStr">
        <is>
          <t>Lei 13.869/19</t>
        </is>
      </c>
      <c r="B459" s="7" t="inlineStr">
        <is>
          <t>Art. 37</t>
        </is>
      </c>
      <c r="C459" s="16" t="inlineStr">
        <is>
          <t>Demorar demasiada e injustificadamente no exame de processo/documento/procedimento em que tenha interesse o preso ou tenha sido decretada qualquer medida restritiva de liberdade</t>
        </is>
      </c>
      <c r="D459" s="7" t="n">
        <v>6</v>
      </c>
      <c r="E459" s="7" t="n">
        <v>24</v>
      </c>
      <c r="F459" s="7" t="inlineStr">
        <is>
          <t>Detenção</t>
        </is>
      </c>
      <c r="G459" s="7" t="inlineStr">
        <is>
          <t>Pública Incondicionada</t>
        </is>
      </c>
      <c r="H459" s="7" t="inlineStr">
        <is>
          <t>Não</t>
        </is>
      </c>
      <c r="I459" s="7" t="inlineStr">
        <is>
          <t>Doloso</t>
        </is>
      </c>
      <c r="J459" s="7" t="inlineStr">
        <is>
          <t>Não</t>
        </is>
      </c>
      <c r="K459" s="7" t="inlineStr">
        <is>
          <t>Não</t>
        </is>
      </c>
      <c r="L459" s="7" t="inlineStr">
        <is>
          <t>Não</t>
        </is>
      </c>
      <c r="M459" s="7" t="inlineStr">
        <is>
          <t>Sim</t>
        </is>
      </c>
      <c r="N459" s="7" t="inlineStr">
        <is>
          <t>Sim</t>
        </is>
      </c>
      <c r="O459" s="7" t="inlineStr">
        <is>
          <t>Sim</t>
        </is>
      </c>
      <c r="P459" s="16" t="inlineStr">
        <is>
          <t>6 meses a 2 anos detenção + multa</t>
        </is>
      </c>
    </row>
    <row r="460">
      <c r="A460" s="7" t="inlineStr">
        <is>
          <t>Lei 13.869/19</t>
        </is>
      </c>
      <c r="B460" s="7" t="inlineStr">
        <is>
          <t>Art. 38</t>
        </is>
      </c>
      <c r="C460" s="16" t="inlineStr">
        <is>
          <t>Antecipar o responsável pelas investigações atribuição de culpabilidade ao investigado por meio de comunicação</t>
        </is>
      </c>
      <c r="D460" s="7" t="n">
        <v>6</v>
      </c>
      <c r="E460" s="7" t="n">
        <v>24</v>
      </c>
      <c r="F460" s="7" t="inlineStr">
        <is>
          <t>Detenção</t>
        </is>
      </c>
      <c r="G460" s="7" t="inlineStr">
        <is>
          <t>Pública Incondicionada</t>
        </is>
      </c>
      <c r="H460" s="7" t="inlineStr">
        <is>
          <t>Não</t>
        </is>
      </c>
      <c r="I460" s="7" t="inlineStr">
        <is>
          <t>Doloso</t>
        </is>
      </c>
      <c r="J460" s="7" t="inlineStr">
        <is>
          <t>Sim</t>
        </is>
      </c>
      <c r="K460" s="7" t="inlineStr">
        <is>
          <t>Não</t>
        </is>
      </c>
      <c r="L460" s="7" t="inlineStr">
        <is>
          <t>Não</t>
        </is>
      </c>
      <c r="M460" s="7" t="inlineStr">
        <is>
          <t>Sim</t>
        </is>
      </c>
      <c r="N460" s="7" t="inlineStr">
        <is>
          <t>Sim</t>
        </is>
      </c>
      <c r="O460" s="7" t="inlineStr">
        <is>
          <t>Sim</t>
        </is>
      </c>
      <c r="P460" s="16" t="inlineStr">
        <is>
          <t>6 meses a 2 anos detenção + multa. Inclusive por meio de comunicação, inclusive rede social, atribuindo culpa antes de concluídas as apurações e formalizada a acusação</t>
        </is>
      </c>
    </row>
    <row r="461">
      <c r="A461" s="7" t="inlineStr">
        <is>
          <t>ECA</t>
        </is>
      </c>
      <c r="B461" s="7" t="inlineStr">
        <is>
          <t>Art. 228</t>
        </is>
      </c>
      <c r="C461" s="16" t="inlineStr">
        <is>
          <t>Omissão de identificação do neonatal (hospitais)</t>
        </is>
      </c>
      <c r="D461" s="7" t="n">
        <v>6</v>
      </c>
      <c r="E461" s="7" t="n">
        <v>24</v>
      </c>
      <c r="F461" s="7" t="inlineStr">
        <is>
          <t>Detenção</t>
        </is>
      </c>
      <c r="G461" s="7" t="inlineStr">
        <is>
          <t>Pública Incondicionada</t>
        </is>
      </c>
      <c r="H461" s="7" t="inlineStr">
        <is>
          <t>Não</t>
        </is>
      </c>
      <c r="I461" s="7" t="inlineStr">
        <is>
          <t>Doloso</t>
        </is>
      </c>
      <c r="J461" s="7" t="inlineStr">
        <is>
          <t>Não</t>
        </is>
      </c>
      <c r="K461" s="7" t="inlineStr">
        <is>
          <t>Não</t>
        </is>
      </c>
      <c r="L461" s="7" t="inlineStr">
        <is>
          <t>Não</t>
        </is>
      </c>
      <c r="M461" s="7" t="inlineStr">
        <is>
          <t>Sim</t>
        </is>
      </c>
      <c r="N461" s="7" t="inlineStr">
        <is>
          <t>Sim</t>
        </is>
      </c>
      <c r="O461" s="7" t="inlineStr">
        <is>
          <t>Sim</t>
        </is>
      </c>
      <c r="P461" s="16" t="inlineStr">
        <is>
          <t>6 meses a 2 anos detenção. Deixar o encarregado de serviço/estabelecimento de saúde de identificar corretamente o neonato e a parturiente no ato do nascimento</t>
        </is>
      </c>
    </row>
    <row r="462">
      <c r="A462" s="7" t="inlineStr">
        <is>
          <t>ECA</t>
        </is>
      </c>
      <c r="B462" s="7" t="inlineStr">
        <is>
          <t>Art. 229</t>
        </is>
      </c>
      <c r="C462" s="16" t="inlineStr">
        <is>
          <t>Deixar médico/enfermeiro de identificar corretamente o neonato</t>
        </is>
      </c>
      <c r="D462" s="7" t="n">
        <v>6</v>
      </c>
      <c r="E462" s="7" t="n">
        <v>24</v>
      </c>
      <c r="F462" s="7" t="inlineStr">
        <is>
          <t>Detenção</t>
        </is>
      </c>
      <c r="G462" s="7" t="inlineStr">
        <is>
          <t>Pública Incondicionada</t>
        </is>
      </c>
      <c r="H462" s="7" t="inlineStr">
        <is>
          <t>Não</t>
        </is>
      </c>
      <c r="I462" s="7" t="inlineStr">
        <is>
          <t>Doloso</t>
        </is>
      </c>
      <c r="J462" s="7" t="inlineStr">
        <is>
          <t>Não</t>
        </is>
      </c>
      <c r="K462" s="7" t="inlineStr">
        <is>
          <t>Não</t>
        </is>
      </c>
      <c r="L462" s="7" t="inlineStr">
        <is>
          <t>Não</t>
        </is>
      </c>
      <c r="M462" s="7" t="inlineStr">
        <is>
          <t>Sim</t>
        </is>
      </c>
      <c r="N462" s="7" t="inlineStr">
        <is>
          <t>Sim</t>
        </is>
      </c>
      <c r="O462" s="7" t="inlineStr">
        <is>
          <t>Sim</t>
        </is>
      </c>
      <c r="P462" s="16" t="inlineStr">
        <is>
          <t>6 meses a 2 anos detenção</t>
        </is>
      </c>
    </row>
    <row r="463">
      <c r="A463" s="7" t="inlineStr">
        <is>
          <t>ECA</t>
        </is>
      </c>
      <c r="B463" s="7" t="inlineStr">
        <is>
          <t>Art. 230</t>
        </is>
      </c>
      <c r="C463" s="16" t="inlineStr">
        <is>
          <t>Privar criança/adolescente de sua liberdade sem estar em flagrante ou sem ordem escrita de autoridade judiciária competente</t>
        </is>
      </c>
      <c r="D463" s="7" t="n">
        <v>6</v>
      </c>
      <c r="E463" s="7" t="n">
        <v>24</v>
      </c>
      <c r="F463" s="7" t="inlineStr">
        <is>
          <t>Detenção</t>
        </is>
      </c>
      <c r="G463" s="7" t="inlineStr">
        <is>
          <t>Pública Incondicionada</t>
        </is>
      </c>
      <c r="H463" s="7" t="inlineStr">
        <is>
          <t>Não</t>
        </is>
      </c>
      <c r="I463" s="7" t="inlineStr">
        <is>
          <t>Doloso</t>
        </is>
      </c>
      <c r="J463" s="7" t="inlineStr">
        <is>
          <t>Sim</t>
        </is>
      </c>
      <c r="K463" s="7" t="inlineStr">
        <is>
          <t>Não</t>
        </is>
      </c>
      <c r="L463" s="7" t="inlineStr">
        <is>
          <t>Não</t>
        </is>
      </c>
      <c r="M463" s="7" t="inlineStr">
        <is>
          <t>Sim</t>
        </is>
      </c>
      <c r="N463" s="7" t="inlineStr">
        <is>
          <t>Sim</t>
        </is>
      </c>
      <c r="O463" s="7" t="inlineStr">
        <is>
          <t>Sim</t>
        </is>
      </c>
      <c r="P463" s="16" t="inlineStr">
        <is>
          <t>6 meses a 2 anos detenção. §único: mesma pena para quem recebe criança/adolescente mantido ilicitamente em sua companhia</t>
        </is>
      </c>
    </row>
    <row r="464">
      <c r="A464" s="7" t="inlineStr">
        <is>
          <t>ECA</t>
        </is>
      </c>
      <c r="B464" s="7" t="inlineStr">
        <is>
          <t>Art. 231</t>
        </is>
      </c>
      <c r="C464" s="16" t="inlineStr">
        <is>
          <t>Deixar a autoridade policial de efetuar apreensão de adolescente em flagrante ou por ordem judicial</t>
        </is>
      </c>
      <c r="D464" s="7" t="n">
        <v>6</v>
      </c>
      <c r="E464" s="7" t="n">
        <v>24</v>
      </c>
      <c r="F464" s="7" t="inlineStr">
        <is>
          <t>Detenção</t>
        </is>
      </c>
      <c r="G464" s="7" t="inlineStr">
        <is>
          <t>Pública Incondicionada</t>
        </is>
      </c>
      <c r="H464" s="7" t="inlineStr">
        <is>
          <t>Não</t>
        </is>
      </c>
      <c r="I464" s="7" t="inlineStr">
        <is>
          <t>Doloso</t>
        </is>
      </c>
      <c r="J464" s="7" t="inlineStr">
        <is>
          <t>Não</t>
        </is>
      </c>
      <c r="K464" s="7" t="inlineStr">
        <is>
          <t>Não</t>
        </is>
      </c>
      <c r="L464" s="7" t="inlineStr">
        <is>
          <t>Não</t>
        </is>
      </c>
      <c r="M464" s="7" t="inlineStr">
        <is>
          <t>Sim</t>
        </is>
      </c>
      <c r="N464" s="7" t="inlineStr">
        <is>
          <t>Sim</t>
        </is>
      </c>
      <c r="O464" s="7" t="inlineStr">
        <is>
          <t>Sim</t>
        </is>
      </c>
      <c r="P464" s="16" t="inlineStr">
        <is>
          <t>6 meses a 2 anos detenção</t>
        </is>
      </c>
    </row>
    <row r="465">
      <c r="A465" s="7" t="inlineStr">
        <is>
          <t>ECA</t>
        </is>
      </c>
      <c r="B465" s="7" t="inlineStr">
        <is>
          <t>Art. 232</t>
        </is>
      </c>
      <c r="C465" s="16" t="inlineStr">
        <is>
          <t>Submeter criança/adolescente sob sua autoridade a vexame ou constrangimento</t>
        </is>
      </c>
      <c r="D465" s="7" t="n">
        <v>6</v>
      </c>
      <c r="E465" s="7" t="n">
        <v>24</v>
      </c>
      <c r="F465" s="7" t="inlineStr">
        <is>
          <t>Detenção</t>
        </is>
      </c>
      <c r="G465" s="7" t="inlineStr">
        <is>
          <t>Pública Incondicionada</t>
        </is>
      </c>
      <c r="H465" s="7" t="inlineStr">
        <is>
          <t>Não</t>
        </is>
      </c>
      <c r="I465" s="7" t="inlineStr">
        <is>
          <t>Doloso</t>
        </is>
      </c>
      <c r="J465" s="7" t="inlineStr">
        <is>
          <t>Sim</t>
        </is>
      </c>
      <c r="K465" s="7" t="inlineStr">
        <is>
          <t>Não</t>
        </is>
      </c>
      <c r="L465" s="7" t="inlineStr">
        <is>
          <t>Não</t>
        </is>
      </c>
      <c r="M465" s="7" t="inlineStr">
        <is>
          <t>Sim</t>
        </is>
      </c>
      <c r="N465" s="7" t="inlineStr">
        <is>
          <t>Sim</t>
        </is>
      </c>
      <c r="O465" s="7" t="inlineStr">
        <is>
          <t>Sim</t>
        </is>
      </c>
      <c r="P465" s="16" t="inlineStr">
        <is>
          <t>6 meses a 2 anos detenção</t>
        </is>
      </c>
    </row>
    <row r="466">
      <c r="A466" s="28" t="inlineStr">
        <is>
          <t>ECA</t>
        </is>
      </c>
      <c r="B466" s="28" t="inlineStr">
        <is>
          <t>Art. 233</t>
        </is>
      </c>
      <c r="C466" s="29" t="inlineStr">
        <is>
          <t>Submeter criança/adolescente sob sua guarda a tortura (revogado — aplicar Lei 9.455/97)</t>
        </is>
      </c>
      <c r="D466" s="28" t="inlineStr">
        <is>
          <t>—</t>
        </is>
      </c>
      <c r="E466" s="28" t="inlineStr">
        <is>
          <t>—</t>
        </is>
      </c>
      <c r="F466" s="28" t="inlineStr">
        <is>
          <t>—</t>
        </is>
      </c>
      <c r="G466" s="28" t="inlineStr">
        <is>
          <t>—</t>
        </is>
      </c>
      <c r="H466" s="28" t="inlineStr">
        <is>
          <t>—</t>
        </is>
      </c>
      <c r="I466" s="28" t="inlineStr">
        <is>
          <t>—</t>
        </is>
      </c>
      <c r="J466" s="28" t="inlineStr">
        <is>
          <t>—</t>
        </is>
      </c>
      <c r="K466" s="28" t="inlineStr">
        <is>
          <t>—</t>
        </is>
      </c>
      <c r="L466" s="28" t="inlineStr">
        <is>
          <t>—</t>
        </is>
      </c>
      <c r="M466" s="28" t="inlineStr">
        <is>
          <t>—</t>
        </is>
      </c>
      <c r="N466" s="28" t="inlineStr">
        <is>
          <t>—</t>
        </is>
      </c>
      <c r="O466" s="28" t="inlineStr">
        <is>
          <t>—</t>
        </is>
      </c>
      <c r="P466" s="29" t="inlineStr">
        <is>
          <t>REVOGADO pela Lei 9.455/1997 (Lei de Tortura). Aplicar diretamente a Lei de Tortura</t>
        </is>
      </c>
    </row>
    <row r="467">
      <c r="A467" s="7" t="inlineStr">
        <is>
          <t>ECA</t>
        </is>
      </c>
      <c r="B467" s="7" t="inlineStr">
        <is>
          <t>Art. 234</t>
        </is>
      </c>
      <c r="C467" s="16" t="inlineStr">
        <is>
          <t>Deixar a autoridade de ordenar a imediata liberação de menor mantido preso além do tempo devido</t>
        </is>
      </c>
      <c r="D467" s="7" t="n">
        <v>6</v>
      </c>
      <c r="E467" s="7" t="n">
        <v>24</v>
      </c>
      <c r="F467" s="7" t="inlineStr">
        <is>
          <t>Detenção</t>
        </is>
      </c>
      <c r="G467" s="7" t="inlineStr">
        <is>
          <t>Pública Incondicionada</t>
        </is>
      </c>
      <c r="H467" s="7" t="inlineStr">
        <is>
          <t>Não</t>
        </is>
      </c>
      <c r="I467" s="7" t="inlineStr">
        <is>
          <t>Doloso</t>
        </is>
      </c>
      <c r="J467" s="7" t="inlineStr">
        <is>
          <t>Não</t>
        </is>
      </c>
      <c r="K467" s="7" t="inlineStr">
        <is>
          <t>Não</t>
        </is>
      </c>
      <c r="L467" s="7" t="inlineStr">
        <is>
          <t>Não</t>
        </is>
      </c>
      <c r="M467" s="7" t="inlineStr">
        <is>
          <t>Sim</t>
        </is>
      </c>
      <c r="N467" s="7" t="inlineStr">
        <is>
          <t>Sim</t>
        </is>
      </c>
      <c r="O467" s="7" t="inlineStr">
        <is>
          <t>Sim</t>
        </is>
      </c>
      <c r="P467" s="16" t="inlineStr">
        <is>
          <t>6 meses a 2 anos detenção</t>
        </is>
      </c>
    </row>
    <row r="468">
      <c r="A468" s="7" t="inlineStr">
        <is>
          <t>ECA</t>
        </is>
      </c>
      <c r="B468" s="7" t="inlineStr">
        <is>
          <t>Art. 235</t>
        </is>
      </c>
      <c r="C468" s="16" t="inlineStr">
        <is>
          <t>Descumprir injustificadamente prazo fixado em lei para conclusão de procedimentos contra adolescente infrator</t>
        </is>
      </c>
      <c r="D468" s="7" t="n">
        <v>6</v>
      </c>
      <c r="E468" s="7" t="n">
        <v>24</v>
      </c>
      <c r="F468" s="7" t="inlineStr">
        <is>
          <t>Detenção</t>
        </is>
      </c>
      <c r="G468" s="7" t="inlineStr">
        <is>
          <t>Pública Incondicionada</t>
        </is>
      </c>
      <c r="H468" s="7" t="inlineStr">
        <is>
          <t>Não</t>
        </is>
      </c>
      <c r="I468" s="7" t="inlineStr">
        <is>
          <t>Doloso</t>
        </is>
      </c>
      <c r="J468" s="7" t="inlineStr">
        <is>
          <t>Não</t>
        </is>
      </c>
      <c r="K468" s="7" t="inlineStr">
        <is>
          <t>Não</t>
        </is>
      </c>
      <c r="L468" s="7" t="inlineStr">
        <is>
          <t>Não</t>
        </is>
      </c>
      <c r="M468" s="7" t="inlineStr">
        <is>
          <t>Sim</t>
        </is>
      </c>
      <c r="N468" s="7" t="inlineStr">
        <is>
          <t>Sim</t>
        </is>
      </c>
      <c r="O468" s="7" t="inlineStr">
        <is>
          <t>Sim</t>
        </is>
      </c>
      <c r="P468" s="16" t="inlineStr">
        <is>
          <t>6 meses a 2 anos detenção</t>
        </is>
      </c>
    </row>
    <row r="469">
      <c r="A469" s="7" t="inlineStr">
        <is>
          <t>ECA</t>
        </is>
      </c>
      <c r="B469" s="7" t="inlineStr">
        <is>
          <t>Art. 236</t>
        </is>
      </c>
      <c r="C469" s="16" t="inlineStr">
        <is>
          <t>Impedir/embaraçar a ação de autoridade judiciária/membro do Conselho Tutelar ou do MP no exercício de função prevista no ECA</t>
        </is>
      </c>
      <c r="D469" s="7" t="n">
        <v>6</v>
      </c>
      <c r="E469" s="7" t="n">
        <v>24</v>
      </c>
      <c r="F469" s="7" t="inlineStr">
        <is>
          <t>Detenção</t>
        </is>
      </c>
      <c r="G469" s="7" t="inlineStr">
        <is>
          <t>Pública Incondicionada</t>
        </is>
      </c>
      <c r="H469" s="7" t="inlineStr">
        <is>
          <t>Não</t>
        </is>
      </c>
      <c r="I469" s="7" t="inlineStr">
        <is>
          <t>Doloso</t>
        </is>
      </c>
      <c r="J469" s="7" t="inlineStr">
        <is>
          <t>Sim</t>
        </is>
      </c>
      <c r="K469" s="7" t="inlineStr">
        <is>
          <t>Não</t>
        </is>
      </c>
      <c r="L469" s="7" t="inlineStr">
        <is>
          <t>Não</t>
        </is>
      </c>
      <c r="M469" s="7" t="inlineStr">
        <is>
          <t>Sim</t>
        </is>
      </c>
      <c r="N469" s="7" t="inlineStr">
        <is>
          <t>Sim</t>
        </is>
      </c>
      <c r="O469" s="7" t="inlineStr">
        <is>
          <t>Sim</t>
        </is>
      </c>
      <c r="P469" s="16" t="inlineStr">
        <is>
          <t>6 meses a 2 anos detenção</t>
        </is>
      </c>
    </row>
    <row r="470">
      <c r="A470" s="7" t="inlineStr">
        <is>
          <t>ECA</t>
        </is>
      </c>
      <c r="B470" s="7" t="inlineStr">
        <is>
          <t>Art. 237</t>
        </is>
      </c>
      <c r="C470" s="16" t="inlineStr">
        <is>
          <t>Subtrair criança/adolescente ao poder de quem o tem legalmente sob sua guarda</t>
        </is>
      </c>
      <c r="D470" s="7" t="n">
        <v>24</v>
      </c>
      <c r="E470" s="7" t="n">
        <v>72</v>
      </c>
      <c r="F470" s="7" t="inlineStr">
        <is>
          <t>Reclusão</t>
        </is>
      </c>
      <c r="G470" s="7" t="inlineStr">
        <is>
          <t>Pública Incondicionada</t>
        </is>
      </c>
      <c r="H470" s="7" t="inlineStr">
        <is>
          <t>Não</t>
        </is>
      </c>
      <c r="I470" s="7" t="inlineStr">
        <is>
          <t>Doloso</t>
        </is>
      </c>
      <c r="J470" s="7" t="inlineStr">
        <is>
          <t>Sim</t>
        </is>
      </c>
      <c r="K470" s="7" t="inlineStr">
        <is>
          <t>Não</t>
        </is>
      </c>
      <c r="L470" s="7" t="inlineStr">
        <is>
          <t>Não</t>
        </is>
      </c>
      <c r="M470" s="7" t="inlineStr">
        <is>
          <t>Sim</t>
        </is>
      </c>
      <c r="N470" s="7" t="inlineStr">
        <is>
          <t>Não</t>
        </is>
      </c>
      <c r="O470" s="7" t="inlineStr">
        <is>
          <t>Sim</t>
        </is>
      </c>
      <c r="P470" s="16" t="inlineStr">
        <is>
          <t>2-6 anos reclusão + multa</t>
        </is>
      </c>
    </row>
    <row r="471">
      <c r="A471" s="7" t="inlineStr">
        <is>
          <t>ECA</t>
        </is>
      </c>
      <c r="B471" s="7" t="inlineStr">
        <is>
          <t>Art. 238</t>
        </is>
      </c>
      <c r="C471" s="16" t="inlineStr">
        <is>
          <t>Prometer/efetivar entrega de filho/pupilo a terceiro mediante paga ou recompensa</t>
        </is>
      </c>
      <c r="D471" s="7" t="n">
        <v>12</v>
      </c>
      <c r="E471" s="7" t="n">
        <v>48</v>
      </c>
      <c r="F471" s="7" t="inlineStr">
        <is>
          <t>Reclusão</t>
        </is>
      </c>
      <c r="G471" s="7" t="inlineStr">
        <is>
          <t>Pública Incondicionada</t>
        </is>
      </c>
      <c r="H471" s="7" t="inlineStr">
        <is>
          <t>Não</t>
        </is>
      </c>
      <c r="I471" s="7" t="inlineStr">
        <is>
          <t>Doloso</t>
        </is>
      </c>
      <c r="J471" s="7" t="inlineStr">
        <is>
          <t>Sim</t>
        </is>
      </c>
      <c r="K471" s="7" t="inlineStr">
        <is>
          <t>Não</t>
        </is>
      </c>
      <c r="L471" s="7" t="inlineStr">
        <is>
          <t>Não</t>
        </is>
      </c>
      <c r="M471" s="7" t="inlineStr">
        <is>
          <t>Sim</t>
        </is>
      </c>
      <c r="N471" s="7" t="inlineStr">
        <is>
          <t>Sim</t>
        </is>
      </c>
      <c r="O471" s="7" t="inlineStr">
        <is>
          <t>Sim</t>
        </is>
      </c>
      <c r="P471" s="16" t="inlineStr">
        <is>
          <t>1-4 anos reclusão + multa. §único: mesma pena para quem oferece paga</t>
        </is>
      </c>
    </row>
    <row r="472">
      <c r="A472" s="7" t="inlineStr">
        <is>
          <t>ECA</t>
        </is>
      </c>
      <c r="B472" s="7" t="inlineStr">
        <is>
          <t>Art. 239</t>
        </is>
      </c>
      <c r="C472" s="16" t="inlineStr">
        <is>
          <t>Promover/auxiliar envio de criança/adolescente ao exterior sem observância das formalidades legais</t>
        </is>
      </c>
      <c r="D472" s="7" t="n">
        <v>48</v>
      </c>
      <c r="E472" s="7" t="n">
        <v>72</v>
      </c>
      <c r="F472" s="7" t="inlineStr">
        <is>
          <t>Reclusão</t>
        </is>
      </c>
      <c r="G472" s="7" t="inlineStr">
        <is>
          <t>Pública Incondicionada</t>
        </is>
      </c>
      <c r="H472" s="7" t="inlineStr">
        <is>
          <t>Não</t>
        </is>
      </c>
      <c r="I472" s="7" t="inlineStr">
        <is>
          <t>Doloso</t>
        </is>
      </c>
      <c r="J472" s="7" t="inlineStr">
        <is>
          <t>Sim</t>
        </is>
      </c>
      <c r="K472" s="7" t="inlineStr">
        <is>
          <t>Não</t>
        </is>
      </c>
      <c r="L472" s="7" t="inlineStr">
        <is>
          <t>Não</t>
        </is>
      </c>
      <c r="M472" s="7" t="inlineStr">
        <is>
          <t>Não</t>
        </is>
      </c>
      <c r="N472" s="7" t="inlineStr">
        <is>
          <t>Não</t>
        </is>
      </c>
      <c r="O472" s="7" t="inlineStr">
        <is>
          <t>Verificar</t>
        </is>
      </c>
      <c r="P472" s="16" t="inlineStr">
        <is>
          <t>4-6 anos reclusão + multa. §único: se com fito de lucro: aumento de 1/3</t>
        </is>
      </c>
    </row>
    <row r="473">
      <c r="A473" s="17" t="inlineStr">
        <is>
          <t>ECA</t>
        </is>
      </c>
      <c r="B473" s="17" t="inlineStr">
        <is>
          <t>Art. 240</t>
        </is>
      </c>
      <c r="C473" s="18" t="inlineStr">
        <is>
          <t>Produzir/reproduzir/dirigir/fotografar/filmar cena de sexo explícito ou pornográfica envolvendo criança/adolescente</t>
        </is>
      </c>
      <c r="D473" s="17" t="n">
        <v>48</v>
      </c>
      <c r="E473" s="17" t="n">
        <v>96</v>
      </c>
      <c r="F473" s="17" t="inlineStr">
        <is>
          <t>Reclusão</t>
        </is>
      </c>
      <c r="G473" s="17" t="inlineStr">
        <is>
          <t>Pública Incondicionada</t>
        </is>
      </c>
      <c r="H473" s="17" t="inlineStr">
        <is>
          <t>Sim</t>
        </is>
      </c>
      <c r="I473" s="17" t="inlineStr">
        <is>
          <t>Doloso</t>
        </is>
      </c>
      <c r="J473" s="17" t="inlineStr">
        <is>
          <t>Sim</t>
        </is>
      </c>
      <c r="K473" s="17" t="inlineStr">
        <is>
          <t>Não</t>
        </is>
      </c>
      <c r="L473" s="17" t="inlineStr">
        <is>
          <t>Não</t>
        </is>
      </c>
      <c r="M473" s="17" t="inlineStr">
        <is>
          <t>Não</t>
        </is>
      </c>
      <c r="N473" s="17" t="inlineStr">
        <is>
          <t>Não</t>
        </is>
      </c>
      <c r="O473" s="17" t="inlineStr">
        <is>
          <t>Verificar</t>
        </is>
      </c>
      <c r="P473" s="18" t="inlineStr">
        <is>
          <t>4-8 anos reclusão + multa. HEDIONDO. §1º: mesma pena para quem agencia/facilita/recruta/coage/intermediário</t>
        </is>
      </c>
    </row>
    <row r="474">
      <c r="A474" s="17" t="inlineStr">
        <is>
          <t>ECA</t>
        </is>
      </c>
      <c r="B474" s="17" t="inlineStr">
        <is>
          <t>Art. 241</t>
        </is>
      </c>
      <c r="C474" s="18" t="inlineStr">
        <is>
          <t>Vender/expor à venda fotografia/vídeo/registro/imagem com cena de sexo explícito ou pornográfica envolvendo criança/adolescente</t>
        </is>
      </c>
      <c r="D474" s="17" t="n">
        <v>48</v>
      </c>
      <c r="E474" s="17" t="n">
        <v>96</v>
      </c>
      <c r="F474" s="17" t="inlineStr">
        <is>
          <t>Reclusão</t>
        </is>
      </c>
      <c r="G474" s="17" t="inlineStr">
        <is>
          <t>Pública Incondicionada</t>
        </is>
      </c>
      <c r="H474" s="17" t="inlineStr">
        <is>
          <t>Sim</t>
        </is>
      </c>
      <c r="I474" s="17" t="inlineStr">
        <is>
          <t>Doloso</t>
        </is>
      </c>
      <c r="J474" s="17" t="inlineStr">
        <is>
          <t>Sim</t>
        </is>
      </c>
      <c r="K474" s="17" t="inlineStr">
        <is>
          <t>Não</t>
        </is>
      </c>
      <c r="L474" s="17" t="inlineStr">
        <is>
          <t>Não</t>
        </is>
      </c>
      <c r="M474" s="17" t="inlineStr">
        <is>
          <t>Não</t>
        </is>
      </c>
      <c r="N474" s="17" t="inlineStr">
        <is>
          <t>Não</t>
        </is>
      </c>
      <c r="O474" s="17" t="inlineStr">
        <is>
          <t>Verificar</t>
        </is>
      </c>
      <c r="P474" s="18" t="inlineStr">
        <is>
          <t>4-8 anos reclusão + multa. HEDIONDO</t>
        </is>
      </c>
    </row>
    <row r="475">
      <c r="A475" s="17" t="inlineStr">
        <is>
          <t>ECA</t>
        </is>
      </c>
      <c r="B475" s="17" t="inlineStr">
        <is>
          <t>Art. 241-A</t>
        </is>
      </c>
      <c r="C475" s="18" t="inlineStr">
        <is>
          <t>Oferecer/trocar/disponibilizar/transmitir/distribuir/publicar/divulgar por meio de sistema de informática fotografia/vídeo/registro com cena de sexo explícito ou pornográfica envolvendo criança/adolescente</t>
        </is>
      </c>
      <c r="D475" s="17" t="n">
        <v>36</v>
      </c>
      <c r="E475" s="17" t="n">
        <v>72</v>
      </c>
      <c r="F475" s="17" t="inlineStr">
        <is>
          <t>Reclusão</t>
        </is>
      </c>
      <c r="G475" s="17" t="inlineStr">
        <is>
          <t>Pública Incondicionada</t>
        </is>
      </c>
      <c r="H475" s="17" t="inlineStr">
        <is>
          <t>Sim</t>
        </is>
      </c>
      <c r="I475" s="17" t="inlineStr">
        <is>
          <t>Doloso</t>
        </is>
      </c>
      <c r="J475" s="17" t="inlineStr">
        <is>
          <t>Sim</t>
        </is>
      </c>
      <c r="K475" s="17" t="inlineStr">
        <is>
          <t>Não</t>
        </is>
      </c>
      <c r="L475" s="17" t="inlineStr">
        <is>
          <t>Não</t>
        </is>
      </c>
      <c r="M475" s="17" t="inlineStr">
        <is>
          <t>Não</t>
        </is>
      </c>
      <c r="N475" s="17" t="inlineStr">
        <is>
          <t>Não</t>
        </is>
      </c>
      <c r="O475" s="17" t="inlineStr">
        <is>
          <t>Verificar</t>
        </is>
      </c>
      <c r="P475" s="18" t="inlineStr">
        <is>
          <t>3-6 anos reclusão + multa. HEDIONDO</t>
        </is>
      </c>
    </row>
    <row r="476">
      <c r="A476" s="7" t="inlineStr">
        <is>
          <t>ECA</t>
        </is>
      </c>
      <c r="B476" s="7" t="inlineStr">
        <is>
          <t>Art. 241-B</t>
        </is>
      </c>
      <c r="C476" s="16" t="inlineStr">
        <is>
          <t>Adquirir/possuir/armazenar fotografia/vídeo/outra forma de registro com cena de sexo explícito ou pornográfica envolvendo criança/adolescente</t>
        </is>
      </c>
      <c r="D476" s="7" t="n">
        <v>12</v>
      </c>
      <c r="E476" s="7" t="n">
        <v>48</v>
      </c>
      <c r="F476" s="7" t="inlineStr">
        <is>
          <t>Reclusão</t>
        </is>
      </c>
      <c r="G476" s="7" t="inlineStr">
        <is>
          <t>Pública Incondicionada</t>
        </is>
      </c>
      <c r="H476" s="7" t="inlineStr">
        <is>
          <t>Não</t>
        </is>
      </c>
      <c r="I476" s="7" t="inlineStr">
        <is>
          <t>Doloso</t>
        </is>
      </c>
      <c r="J476" s="7" t="inlineStr">
        <is>
          <t>Sim</t>
        </is>
      </c>
      <c r="K476" s="7" t="inlineStr">
        <is>
          <t>Não</t>
        </is>
      </c>
      <c r="L476" s="7" t="inlineStr">
        <is>
          <t>Não</t>
        </is>
      </c>
      <c r="M476" s="7" t="inlineStr">
        <is>
          <t>Sim</t>
        </is>
      </c>
      <c r="N476" s="7" t="inlineStr">
        <is>
          <t>Sim</t>
        </is>
      </c>
      <c r="O476" s="7" t="inlineStr">
        <is>
          <t>Sim</t>
        </is>
      </c>
      <c r="P476" s="16" t="inlineStr">
        <is>
          <t>1-4 anos reclusão + multa</t>
        </is>
      </c>
    </row>
    <row r="477">
      <c r="A477" s="7" t="inlineStr">
        <is>
          <t>ECA</t>
        </is>
      </c>
      <c r="B477" s="7" t="inlineStr">
        <is>
          <t>Art. 241-C</t>
        </is>
      </c>
      <c r="C477" s="16" t="inlineStr">
        <is>
          <t>Simular participação de criança/adolescente em cena de sexo explícito ou pornográfica por montagem/modificação/adulteração de fotografia/vídeo</t>
        </is>
      </c>
      <c r="D477" s="7" t="n">
        <v>12</v>
      </c>
      <c r="E477" s="7" t="n">
        <v>36</v>
      </c>
      <c r="F477" s="7" t="inlineStr">
        <is>
          <t>Reclusão</t>
        </is>
      </c>
      <c r="G477" s="7" t="inlineStr">
        <is>
          <t>Pública Incondicionada</t>
        </is>
      </c>
      <c r="H477" s="7" t="inlineStr">
        <is>
          <t>Não</t>
        </is>
      </c>
      <c r="I477" s="7" t="inlineStr">
        <is>
          <t>Doloso</t>
        </is>
      </c>
      <c r="J477" s="7" t="inlineStr">
        <is>
          <t>Sim</t>
        </is>
      </c>
      <c r="K477" s="7" t="inlineStr">
        <is>
          <t>Não</t>
        </is>
      </c>
      <c r="L477" s="7" t="inlineStr">
        <is>
          <t>Não</t>
        </is>
      </c>
      <c r="M477" s="7" t="inlineStr">
        <is>
          <t>Sim</t>
        </is>
      </c>
      <c r="N477" s="7" t="inlineStr">
        <is>
          <t>Sim</t>
        </is>
      </c>
      <c r="O477" s="7" t="inlineStr">
        <is>
          <t>Sim</t>
        </is>
      </c>
      <c r="P477" s="16" t="inlineStr">
        <is>
          <t>1-3 anos reclusão + multa</t>
        </is>
      </c>
    </row>
    <row r="478">
      <c r="A478" s="7" t="inlineStr">
        <is>
          <t>ECA</t>
        </is>
      </c>
      <c r="B478" s="7" t="inlineStr">
        <is>
          <t>Art. 241-D</t>
        </is>
      </c>
      <c r="C478" s="16" t="inlineStr">
        <is>
          <t>Aliciar/assediar/instigar/constranger criança a praticar ato libidinoso por meio de comunicação (grooming)</t>
        </is>
      </c>
      <c r="D478" s="7" t="n">
        <v>12</v>
      </c>
      <c r="E478" s="7" t="n">
        <v>36</v>
      </c>
      <c r="F478" s="7" t="inlineStr">
        <is>
          <t>Reclusão</t>
        </is>
      </c>
      <c r="G478" s="7" t="inlineStr">
        <is>
          <t>Pública Incondicionada</t>
        </is>
      </c>
      <c r="H478" s="7" t="inlineStr">
        <is>
          <t>Não</t>
        </is>
      </c>
      <c r="I478" s="7" t="inlineStr">
        <is>
          <t>Doloso</t>
        </is>
      </c>
      <c r="J478" s="7" t="inlineStr">
        <is>
          <t>Sim</t>
        </is>
      </c>
      <c r="K478" s="7" t="inlineStr">
        <is>
          <t>Não</t>
        </is>
      </c>
      <c r="L478" s="7" t="inlineStr">
        <is>
          <t>Não</t>
        </is>
      </c>
      <c r="M478" s="7" t="inlineStr">
        <is>
          <t>Sim</t>
        </is>
      </c>
      <c r="N478" s="7" t="inlineStr">
        <is>
          <t>Sim</t>
        </is>
      </c>
      <c r="O478" s="7" t="inlineStr">
        <is>
          <t>Sim</t>
        </is>
      </c>
      <c r="P478" s="16" t="inlineStr">
        <is>
          <t>1-3 anos reclusão + multa. §único: I - facilitar/induzir acesso a material pornográfico: mesma pena; II - praticar ato libidinoso com a criança: mesma pena + pena do ato libidinoso</t>
        </is>
      </c>
    </row>
    <row r="479">
      <c r="A479" s="28" t="inlineStr">
        <is>
          <t>ECA</t>
        </is>
      </c>
      <c r="B479" s="28" t="inlineStr">
        <is>
          <t>Art. 241-E</t>
        </is>
      </c>
      <c r="C479" s="29" t="inlineStr">
        <is>
          <t>REFERÊNCIA — definição de cena de sexo explícito ou pornográfica para fins do ECA</t>
        </is>
      </c>
      <c r="D479" s="28" t="inlineStr">
        <is>
          <t>—</t>
        </is>
      </c>
      <c r="E479" s="28" t="inlineStr">
        <is>
          <t>—</t>
        </is>
      </c>
      <c r="F479" s="28" t="inlineStr">
        <is>
          <t>—</t>
        </is>
      </c>
      <c r="G479" s="28" t="inlineStr">
        <is>
          <t>—</t>
        </is>
      </c>
      <c r="H479" s="28" t="inlineStr">
        <is>
          <t>—</t>
        </is>
      </c>
      <c r="I479" s="28" t="inlineStr">
        <is>
          <t>—</t>
        </is>
      </c>
      <c r="J479" s="28" t="inlineStr">
        <is>
          <t>—</t>
        </is>
      </c>
      <c r="K479" s="28" t="inlineStr">
        <is>
          <t>—</t>
        </is>
      </c>
      <c r="L479" s="28" t="inlineStr">
        <is>
          <t>—</t>
        </is>
      </c>
      <c r="M479" s="28" t="inlineStr">
        <is>
          <t>—</t>
        </is>
      </c>
      <c r="N479" s="28" t="inlineStr">
        <is>
          <t>—</t>
        </is>
      </c>
      <c r="O479" s="28" t="inlineStr">
        <is>
          <t>—</t>
        </is>
      </c>
      <c r="P479" s="29" t="inlineStr">
        <is>
          <t>REFERÊNCIA — Para efeito dos crimes previstos no ECA, a expressão 'cena de sexo explícito ou pornográfica' compreende qualquer situação que envolva criança ou adolescente em atividades sexuais explícitas, reais ou simuladas, ou exibição dos órgãos genitais de uma criança ou adolescente para fins primordialmente sexuais</t>
        </is>
      </c>
    </row>
    <row r="480">
      <c r="A480" s="7" t="inlineStr">
        <is>
          <t>ECA</t>
        </is>
      </c>
      <c r="B480" s="7" t="inlineStr">
        <is>
          <t>Art. 242</t>
        </is>
      </c>
      <c r="C480" s="16" t="inlineStr">
        <is>
          <t>Vender/fornecer/entregar arma/munição/explosivo a criança ou adolescente</t>
        </is>
      </c>
      <c r="D480" s="7" t="n">
        <v>36</v>
      </c>
      <c r="E480" s="7" t="n">
        <v>72</v>
      </c>
      <c r="F480" s="7" t="inlineStr">
        <is>
          <t>Reclusão</t>
        </is>
      </c>
      <c r="G480" s="7" t="inlineStr">
        <is>
          <t>Pública Incondicionada</t>
        </is>
      </c>
      <c r="H480" s="7" t="inlineStr">
        <is>
          <t>Não</t>
        </is>
      </c>
      <c r="I480" s="7" t="inlineStr">
        <is>
          <t>Doloso</t>
        </is>
      </c>
      <c r="J480" s="7" t="inlineStr">
        <is>
          <t>Sim</t>
        </is>
      </c>
      <c r="K480" s="7" t="inlineStr">
        <is>
          <t>Não</t>
        </is>
      </c>
      <c r="L480" s="7" t="inlineStr">
        <is>
          <t>Não</t>
        </is>
      </c>
      <c r="M480" s="7" t="inlineStr">
        <is>
          <t>Sim</t>
        </is>
      </c>
      <c r="N480" s="7" t="inlineStr">
        <is>
          <t>Não</t>
        </is>
      </c>
      <c r="O480" s="7" t="inlineStr">
        <is>
          <t>Verificar</t>
        </is>
      </c>
      <c r="P480" s="16" t="inlineStr">
        <is>
          <t>3-6 anos reclusão + multa</t>
        </is>
      </c>
    </row>
    <row r="481">
      <c r="A481" s="7" t="inlineStr">
        <is>
          <t>ECA</t>
        </is>
      </c>
      <c r="B481" s="7" t="inlineStr">
        <is>
          <t>Art. 243</t>
        </is>
      </c>
      <c r="C481" s="16" t="inlineStr">
        <is>
          <t>Vender/fornecer/entregar/ministrar bebida alcoólica a criança ou adolescente</t>
        </is>
      </c>
      <c r="D481" s="7" t="n">
        <v>24</v>
      </c>
      <c r="E481" s="7" t="n">
        <v>48</v>
      </c>
      <c r="F481" s="7" t="inlineStr">
        <is>
          <t>Detenção</t>
        </is>
      </c>
      <c r="G481" s="7" t="inlineStr">
        <is>
          <t>Pública Incondicionada</t>
        </is>
      </c>
      <c r="H481" s="7" t="inlineStr">
        <is>
          <t>Não</t>
        </is>
      </c>
      <c r="I481" s="7" t="inlineStr">
        <is>
          <t>Doloso</t>
        </is>
      </c>
      <c r="J481" s="7" t="inlineStr">
        <is>
          <t>Sim</t>
        </is>
      </c>
      <c r="K481" s="7" t="inlineStr">
        <is>
          <t>Não</t>
        </is>
      </c>
      <c r="L481" s="7" t="inlineStr">
        <is>
          <t>Não</t>
        </is>
      </c>
      <c r="M481" s="7" t="inlineStr">
        <is>
          <t>Sim</t>
        </is>
      </c>
      <c r="N481" s="7" t="inlineStr">
        <is>
          <t>Não</t>
        </is>
      </c>
      <c r="O481" s="7" t="inlineStr">
        <is>
          <t>Sim</t>
        </is>
      </c>
      <c r="P481" s="16" t="inlineStr">
        <is>
          <t>2-4 anos detenção + multa. Lei 13.106/2015</t>
        </is>
      </c>
    </row>
    <row r="482">
      <c r="A482" s="7" t="inlineStr">
        <is>
          <t>ECA</t>
        </is>
      </c>
      <c r="B482" s="7" t="inlineStr">
        <is>
          <t>Art. 244</t>
        </is>
      </c>
      <c r="C482" s="16" t="inlineStr">
        <is>
          <t>Vender/fornecer fogos de estampido ou de artifício a criança ou adolescente (exceto se incapazes de provocar dano)</t>
        </is>
      </c>
      <c r="D482" s="7" t="n">
        <v>6</v>
      </c>
      <c r="E482" s="7" t="n">
        <v>24</v>
      </c>
      <c r="F482" s="7" t="inlineStr">
        <is>
          <t>Detenção</t>
        </is>
      </c>
      <c r="G482" s="7" t="inlineStr">
        <is>
          <t>Pública Incondicionada</t>
        </is>
      </c>
      <c r="H482" s="7" t="inlineStr">
        <is>
          <t>Não</t>
        </is>
      </c>
      <c r="I482" s="7" t="inlineStr">
        <is>
          <t>Doloso</t>
        </is>
      </c>
      <c r="J482" s="7" t="inlineStr">
        <is>
          <t>Sim</t>
        </is>
      </c>
      <c r="K482" s="7" t="inlineStr">
        <is>
          <t>Não</t>
        </is>
      </c>
      <c r="L482" s="7" t="inlineStr">
        <is>
          <t>Não</t>
        </is>
      </c>
      <c r="M482" s="7" t="inlineStr">
        <is>
          <t>Sim</t>
        </is>
      </c>
      <c r="N482" s="7" t="inlineStr">
        <is>
          <t>Sim</t>
        </is>
      </c>
      <c r="O482" s="7" t="inlineStr">
        <is>
          <t>Sim</t>
        </is>
      </c>
      <c r="P482" s="16" t="inlineStr">
        <is>
          <t>6 meses a 2 anos detenção + multa</t>
        </is>
      </c>
    </row>
    <row r="483">
      <c r="A483" s="17" t="inlineStr">
        <is>
          <t>ECA</t>
        </is>
      </c>
      <c r="B483" s="17" t="inlineStr">
        <is>
          <t>Art. 244-A</t>
        </is>
      </c>
      <c r="C483" s="18" t="inlineStr">
        <is>
          <t>Submeter criança ou adolescente à prostituição ou à exploração sexual</t>
        </is>
      </c>
      <c r="D483" s="17" t="n">
        <v>48</v>
      </c>
      <c r="E483" s="17" t="n">
        <v>120</v>
      </c>
      <c r="F483" s="17" t="inlineStr">
        <is>
          <t>Reclusão</t>
        </is>
      </c>
      <c r="G483" s="17" t="inlineStr">
        <is>
          <t>Pública Incondicionada</t>
        </is>
      </c>
      <c r="H483" s="17" t="inlineStr">
        <is>
          <t>Sim</t>
        </is>
      </c>
      <c r="I483" s="17" t="inlineStr">
        <is>
          <t>Doloso</t>
        </is>
      </c>
      <c r="J483" s="17" t="inlineStr">
        <is>
          <t>Sim</t>
        </is>
      </c>
      <c r="K483" s="17" t="inlineStr">
        <is>
          <t>Não</t>
        </is>
      </c>
      <c r="L483" s="17" t="inlineStr">
        <is>
          <t>Não</t>
        </is>
      </c>
      <c r="M483" s="17" t="inlineStr">
        <is>
          <t>Não</t>
        </is>
      </c>
      <c r="N483" s="17" t="inlineStr">
        <is>
          <t>Não</t>
        </is>
      </c>
      <c r="O483" s="17" t="inlineStr">
        <is>
          <t>Verificar</t>
        </is>
      </c>
      <c r="P483" s="18" t="inlineStr">
        <is>
          <t>4-10 anos reclusão + multa. HEDIONDO</t>
        </is>
      </c>
    </row>
    <row r="484">
      <c r="A484" s="7" t="inlineStr">
        <is>
          <t>ECA</t>
        </is>
      </c>
      <c r="B484" s="7" t="inlineStr">
        <is>
          <t>Art. 244-B</t>
        </is>
      </c>
      <c r="C484" s="16" t="inlineStr">
        <is>
          <t>Corrupção de menores (praticar infração penal na companhia de menor de 18 anos)</t>
        </is>
      </c>
      <c r="D484" s="7" t="n">
        <v>12</v>
      </c>
      <c r="E484" s="7" t="n">
        <v>48</v>
      </c>
      <c r="F484" s="7" t="inlineStr">
        <is>
          <t>Reclusão</t>
        </is>
      </c>
      <c r="G484" s="7" t="inlineStr">
        <is>
          <t>Pública Incondicionada</t>
        </is>
      </c>
      <c r="H484" s="7" t="inlineStr">
        <is>
          <t>Não</t>
        </is>
      </c>
      <c r="I484" s="7" t="inlineStr">
        <is>
          <t>Doloso</t>
        </is>
      </c>
      <c r="J484" s="7" t="inlineStr">
        <is>
          <t>Sim</t>
        </is>
      </c>
      <c r="K484" s="7" t="inlineStr">
        <is>
          <t>Não</t>
        </is>
      </c>
      <c r="L484" s="7" t="inlineStr">
        <is>
          <t>Não</t>
        </is>
      </c>
      <c r="M484" s="7" t="inlineStr">
        <is>
          <t>Sim</t>
        </is>
      </c>
      <c r="N484" s="7" t="inlineStr">
        <is>
          <t>Sim</t>
        </is>
      </c>
      <c r="O484" s="7" t="inlineStr">
        <is>
          <t>Sim</t>
        </is>
      </c>
      <c r="P484" s="16" t="inlineStr">
        <is>
          <t>1-4 anos reclusão + multa. §1º: +1/3 se reincidente. §2º: +1/3 se menores de 12 anos</t>
        </is>
      </c>
    </row>
    <row r="485">
      <c r="A485" s="7" t="inlineStr">
        <is>
          <t>ECA</t>
        </is>
      </c>
      <c r="B485" s="7" t="inlineStr">
        <is>
          <t>Art. 245</t>
        </is>
      </c>
      <c r="C485" s="16" t="inlineStr">
        <is>
          <t>Deixar médico/professor/responsável por estabelecimento de atenção à saúde de comunicar maus-tratos contra criança/adolescente</t>
        </is>
      </c>
      <c r="D485" s="7" t="n">
        <v>6</v>
      </c>
      <c r="E485" s="7" t="n">
        <v>24</v>
      </c>
      <c r="F485" s="7" t="inlineStr">
        <is>
          <t>Detenção</t>
        </is>
      </c>
      <c r="G485" s="7" t="inlineStr">
        <is>
          <t>Pública Incondicionada</t>
        </is>
      </c>
      <c r="H485" s="7" t="inlineStr">
        <is>
          <t>Não</t>
        </is>
      </c>
      <c r="I485" s="7" t="inlineStr">
        <is>
          <t>Doloso</t>
        </is>
      </c>
      <c r="J485" s="7" t="inlineStr">
        <is>
          <t>Não</t>
        </is>
      </c>
      <c r="K485" s="7" t="inlineStr">
        <is>
          <t>Não</t>
        </is>
      </c>
      <c r="L485" s="7" t="inlineStr">
        <is>
          <t>Não</t>
        </is>
      </c>
      <c r="M485" s="7" t="inlineStr">
        <is>
          <t>Sim</t>
        </is>
      </c>
      <c r="N485" s="7" t="inlineStr">
        <is>
          <t>Sim</t>
        </is>
      </c>
      <c r="O485" s="7" t="inlineStr">
        <is>
          <t>Sim</t>
        </is>
      </c>
      <c r="P485" s="16" t="inlineStr">
        <is>
          <t>6 meses a 2 anos detenção</t>
        </is>
      </c>
    </row>
    <row r="486">
      <c r="A486" s="7" t="inlineStr">
        <is>
          <t>ECA</t>
        </is>
      </c>
      <c r="B486" s="7" t="inlineStr">
        <is>
          <t>Art. 246</t>
        </is>
      </c>
      <c r="C486" s="16" t="inlineStr">
        <is>
          <t>Impedir/embaraçar ação de autoridade judiciária destinada ao afastamento de criança/adolescente do convívio familiar ou de instituição</t>
        </is>
      </c>
      <c r="D486" s="7" t="n">
        <v>6</v>
      </c>
      <c r="E486" s="7" t="n">
        <v>24</v>
      </c>
      <c r="F486" s="7" t="inlineStr">
        <is>
          <t>Detenção</t>
        </is>
      </c>
      <c r="G486" s="7" t="inlineStr">
        <is>
          <t>Pública Incondicionada</t>
        </is>
      </c>
      <c r="H486" s="7" t="inlineStr">
        <is>
          <t>Não</t>
        </is>
      </c>
      <c r="I486" s="7" t="inlineStr">
        <is>
          <t>Doloso</t>
        </is>
      </c>
      <c r="J486" s="7" t="inlineStr">
        <is>
          <t>Sim</t>
        </is>
      </c>
      <c r="K486" s="7" t="inlineStr">
        <is>
          <t>Não</t>
        </is>
      </c>
      <c r="L486" s="7" t="inlineStr">
        <is>
          <t>Não</t>
        </is>
      </c>
      <c r="M486" s="7" t="inlineStr">
        <is>
          <t>Sim</t>
        </is>
      </c>
      <c r="N486" s="7" t="inlineStr">
        <is>
          <t>Sim</t>
        </is>
      </c>
      <c r="O486" s="7" t="inlineStr">
        <is>
          <t>Sim</t>
        </is>
      </c>
      <c r="P486" s="16" t="inlineStr">
        <is>
          <t>6 meses a 2 anos detenção</t>
        </is>
      </c>
    </row>
    <row r="487">
      <c r="A487" s="7" t="inlineStr">
        <is>
          <t>Lei 10.741/03</t>
        </is>
      </c>
      <c r="B487" s="7" t="inlineStr">
        <is>
          <t>Art. 96</t>
        </is>
      </c>
      <c r="C487" s="16" t="inlineStr">
        <is>
          <t>Discriminar pessoa idosa, impedindo ou dificultando seu acesso a operações bancárias, aos meios de transporte, ao direito de contratar, ou por qualquer outro meio</t>
        </is>
      </c>
      <c r="D487" s="7" t="n">
        <v>6</v>
      </c>
      <c r="E487" s="7" t="n">
        <v>12</v>
      </c>
      <c r="F487" s="7" t="inlineStr">
        <is>
          <t>Reclusão</t>
        </is>
      </c>
      <c r="G487" s="7" t="inlineStr">
        <is>
          <t>Pública Incondicionada</t>
        </is>
      </c>
      <c r="H487" s="7" t="inlineStr">
        <is>
          <t>Não</t>
        </is>
      </c>
      <c r="I487" s="7" t="inlineStr">
        <is>
          <t>Doloso</t>
        </is>
      </c>
      <c r="J487" s="7" t="inlineStr">
        <is>
          <t>Sim</t>
        </is>
      </c>
      <c r="K487" s="7" t="inlineStr">
        <is>
          <t>Não</t>
        </is>
      </c>
      <c r="L487" s="7" t="inlineStr">
        <is>
          <t>Não</t>
        </is>
      </c>
      <c r="M487" s="7" t="inlineStr">
        <is>
          <t>Sim</t>
        </is>
      </c>
      <c r="N487" s="7" t="inlineStr">
        <is>
          <t>Sim</t>
        </is>
      </c>
      <c r="O487" s="7" t="inlineStr">
        <is>
          <t>Sim</t>
        </is>
      </c>
      <c r="P487" s="16" t="inlineStr">
        <is>
          <t>6 meses a 1 ano reclusão + multa. §1º: +1/3 se contra coletividade. §3º: não constitui crime se razoável recusa em atender</t>
        </is>
      </c>
    </row>
    <row r="488">
      <c r="A488" s="7" t="inlineStr">
        <is>
          <t>Lei 10.741/03</t>
        </is>
      </c>
      <c r="B488" s="7" t="inlineStr">
        <is>
          <t>Art. 97</t>
        </is>
      </c>
      <c r="C488" s="16" t="inlineStr">
        <is>
          <t>Deixar de prestar assistência ao idoso quando obrigado por lei ou mandado</t>
        </is>
      </c>
      <c r="D488" s="7" t="n">
        <v>6</v>
      </c>
      <c r="E488" s="7" t="n">
        <v>12</v>
      </c>
      <c r="F488" s="7" t="inlineStr">
        <is>
          <t>Detenção</t>
        </is>
      </c>
      <c r="G488" s="7" t="inlineStr">
        <is>
          <t>Pública Incondicionada</t>
        </is>
      </c>
      <c r="H488" s="7" t="inlineStr">
        <is>
          <t>Não</t>
        </is>
      </c>
      <c r="I488" s="7" t="inlineStr">
        <is>
          <t>Doloso</t>
        </is>
      </c>
      <c r="J488" s="7" t="inlineStr">
        <is>
          <t>Não</t>
        </is>
      </c>
      <c r="K488" s="7" t="inlineStr">
        <is>
          <t>Não</t>
        </is>
      </c>
      <c r="L488" s="7" t="inlineStr">
        <is>
          <t>Não</t>
        </is>
      </c>
      <c r="M488" s="7" t="inlineStr">
        <is>
          <t>Sim</t>
        </is>
      </c>
      <c r="N488" s="7" t="inlineStr">
        <is>
          <t>Sim</t>
        </is>
      </c>
      <c r="O488" s="7" t="inlineStr">
        <is>
          <t>Sim</t>
        </is>
      </c>
      <c r="P488" s="16" t="inlineStr">
        <is>
          <t>6 meses a 1 ano detenção + multa</t>
        </is>
      </c>
    </row>
    <row r="489">
      <c r="A489" s="7" t="inlineStr">
        <is>
          <t>Lei 10.741/03</t>
        </is>
      </c>
      <c r="B489" s="7" t="inlineStr">
        <is>
          <t>Art. 98</t>
        </is>
      </c>
      <c r="C489" s="16" t="inlineStr">
        <is>
          <t>Abandonar idoso em hospitais/casas de saúde/entidades de longa permanência ou não prover suas necessidades básicas</t>
        </is>
      </c>
      <c r="D489" s="7" t="n">
        <v>6</v>
      </c>
      <c r="E489" s="7" t="n">
        <v>36</v>
      </c>
      <c r="F489" s="7" t="inlineStr">
        <is>
          <t>Detenção</t>
        </is>
      </c>
      <c r="G489" s="7" t="inlineStr">
        <is>
          <t>Pública Incondicionada</t>
        </is>
      </c>
      <c r="H489" s="7" t="inlineStr">
        <is>
          <t>Não</t>
        </is>
      </c>
      <c r="I489" s="7" t="inlineStr">
        <is>
          <t>Doloso</t>
        </is>
      </c>
      <c r="J489" s="7" t="inlineStr">
        <is>
          <t>Não</t>
        </is>
      </c>
      <c r="K489" s="7" t="inlineStr">
        <is>
          <t>Não</t>
        </is>
      </c>
      <c r="L489" s="7" t="inlineStr">
        <is>
          <t>Não</t>
        </is>
      </c>
      <c r="M489" s="7" t="inlineStr">
        <is>
          <t>Sim</t>
        </is>
      </c>
      <c r="N489" s="7" t="inlineStr">
        <is>
          <t>Sim</t>
        </is>
      </c>
      <c r="O489" s="7" t="inlineStr">
        <is>
          <t>Sim</t>
        </is>
      </c>
      <c r="P489" s="16" t="inlineStr">
        <is>
          <t>6 meses a 3 anos detenção + multa</t>
        </is>
      </c>
    </row>
    <row r="490">
      <c r="A490" s="7" t="inlineStr">
        <is>
          <t>Lei 10.741/03</t>
        </is>
      </c>
      <c r="B490" s="7" t="inlineStr">
        <is>
          <t>Art. 99</t>
        </is>
      </c>
      <c r="C490" s="16" t="inlineStr">
        <is>
          <t>Expor idoso a perigo à integridade e à saúde, submetendo-o a condições desumanas ou degradantes ou privando-o de alimentos e cuidados indispensáveis</t>
        </is>
      </c>
      <c r="D490" s="7" t="n">
        <v>24</v>
      </c>
      <c r="E490" s="7" t="n">
        <v>144</v>
      </c>
      <c r="F490" s="7" t="inlineStr">
        <is>
          <t>Detenção</t>
        </is>
      </c>
      <c r="G490" s="7" t="inlineStr">
        <is>
          <t>Pública Incondicionada</t>
        </is>
      </c>
      <c r="H490" s="7" t="inlineStr">
        <is>
          <t>Não</t>
        </is>
      </c>
      <c r="I490" s="7" t="inlineStr">
        <is>
          <t>Doloso</t>
        </is>
      </c>
      <c r="J490" s="7" t="inlineStr">
        <is>
          <t>Sim</t>
        </is>
      </c>
      <c r="K490" s="7" t="inlineStr">
        <is>
          <t>Não</t>
        </is>
      </c>
      <c r="L490" s="7" t="inlineStr">
        <is>
          <t>Não</t>
        </is>
      </c>
      <c r="M490" s="7" t="inlineStr">
        <is>
          <t>Sim</t>
        </is>
      </c>
      <c r="N490" s="7" t="inlineStr">
        <is>
          <t>Não</t>
        </is>
      </c>
      <c r="O490" s="7" t="inlineStr">
        <is>
          <t>Sim</t>
        </is>
      </c>
      <c r="P490" s="16" t="inlineStr">
        <is>
          <t>2 meses a 1 ano detenção + multa. §1º: +1/3 se resulta lesão grave. §2º: 4-12 anos reclusão se resulta morte</t>
        </is>
      </c>
    </row>
    <row r="491">
      <c r="A491" s="7" t="inlineStr">
        <is>
          <t>Lei 10.741/03</t>
        </is>
      </c>
      <c r="B491" s="7" t="inlineStr">
        <is>
          <t>Art. 100</t>
        </is>
      </c>
      <c r="C491" s="16" t="inlineStr">
        <is>
          <t>Obstar acesso de idoso a cargo público por motivo de idade</t>
        </is>
      </c>
      <c r="D491" s="7" t="n">
        <v>6</v>
      </c>
      <c r="E491" s="7" t="n">
        <v>24</v>
      </c>
      <c r="F491" s="7" t="inlineStr">
        <is>
          <t>Reclusão</t>
        </is>
      </c>
      <c r="G491" s="7" t="inlineStr">
        <is>
          <t>Pública Incondicionada</t>
        </is>
      </c>
      <c r="H491" s="7" t="inlineStr">
        <is>
          <t>Não</t>
        </is>
      </c>
      <c r="I491" s="7" t="inlineStr">
        <is>
          <t>Doloso</t>
        </is>
      </c>
      <c r="J491" s="7" t="inlineStr">
        <is>
          <t>Sim</t>
        </is>
      </c>
      <c r="K491" s="7" t="inlineStr">
        <is>
          <t>Não</t>
        </is>
      </c>
      <c r="L491" s="7" t="inlineStr">
        <is>
          <t>Não</t>
        </is>
      </c>
      <c r="M491" s="7" t="inlineStr">
        <is>
          <t>Sim</t>
        </is>
      </c>
      <c r="N491" s="7" t="inlineStr">
        <is>
          <t>Sim</t>
        </is>
      </c>
      <c r="O491" s="7" t="inlineStr">
        <is>
          <t>Sim</t>
        </is>
      </c>
      <c r="P491" s="16" t="inlineStr">
        <is>
          <t>6 meses a 2 anos reclusão + multa</t>
        </is>
      </c>
    </row>
    <row r="492">
      <c r="A492" s="7" t="inlineStr">
        <is>
          <t>Lei 10.741/03</t>
        </is>
      </c>
      <c r="B492" s="7" t="inlineStr">
        <is>
          <t>Art. 101</t>
        </is>
      </c>
      <c r="C492" s="16" t="inlineStr">
        <is>
          <t>Negar/dificultar a qualquer pessoa o acesso a ações e serviços de saúde por motivo de idade</t>
        </is>
      </c>
      <c r="D492" s="7" t="n">
        <v>6</v>
      </c>
      <c r="E492" s="7" t="n">
        <v>12</v>
      </c>
      <c r="F492" s="7" t="inlineStr">
        <is>
          <t>Detenção</t>
        </is>
      </c>
      <c r="G492" s="7" t="inlineStr">
        <is>
          <t>Pública Incondicionada</t>
        </is>
      </c>
      <c r="H492" s="7" t="inlineStr">
        <is>
          <t>Não</t>
        </is>
      </c>
      <c r="I492" s="7" t="inlineStr">
        <is>
          <t>Doloso</t>
        </is>
      </c>
      <c r="J492" s="7" t="inlineStr">
        <is>
          <t>Sim</t>
        </is>
      </c>
      <c r="K492" s="7" t="inlineStr">
        <is>
          <t>Não</t>
        </is>
      </c>
      <c r="L492" s="7" t="inlineStr">
        <is>
          <t>Não</t>
        </is>
      </c>
      <c r="M492" s="7" t="inlineStr">
        <is>
          <t>Sim</t>
        </is>
      </c>
      <c r="N492" s="7" t="inlineStr">
        <is>
          <t>Sim</t>
        </is>
      </c>
      <c r="O492" s="7" t="inlineStr">
        <is>
          <t>Sim</t>
        </is>
      </c>
      <c r="P492" s="16" t="inlineStr">
        <is>
          <t>6 meses a 1 ano detenção + multa</t>
        </is>
      </c>
    </row>
    <row r="493">
      <c r="A493" s="7" t="inlineStr">
        <is>
          <t>Lei 10.741/03</t>
        </is>
      </c>
      <c r="B493" s="7" t="inlineStr">
        <is>
          <t>Art. 102</t>
        </is>
      </c>
      <c r="C493" s="16" t="inlineStr">
        <is>
          <t>Apropriar-se de/desviar bens, proventos, pensão ou qualquer outro rendimento do idoso, dando-lhes aplicação diversa de sua finalidade</t>
        </is>
      </c>
      <c r="D493" s="7" t="n">
        <v>12</v>
      </c>
      <c r="E493" s="7" t="n">
        <v>48</v>
      </c>
      <c r="F493" s="7" t="inlineStr">
        <is>
          <t>Reclusão</t>
        </is>
      </c>
      <c r="G493" s="7" t="inlineStr">
        <is>
          <t>Pública Incondicionada</t>
        </is>
      </c>
      <c r="H493" s="7" t="inlineStr">
        <is>
          <t>Não</t>
        </is>
      </c>
      <c r="I493" s="7" t="inlineStr">
        <is>
          <t>Doloso</t>
        </is>
      </c>
      <c r="J493" s="7" t="inlineStr">
        <is>
          <t>Sim</t>
        </is>
      </c>
      <c r="K493" s="7" t="inlineStr">
        <is>
          <t>Não</t>
        </is>
      </c>
      <c r="L493" s="7" t="inlineStr">
        <is>
          <t>Não</t>
        </is>
      </c>
      <c r="M493" s="7" t="inlineStr">
        <is>
          <t>Sim</t>
        </is>
      </c>
      <c r="N493" s="7" t="inlineStr">
        <is>
          <t>Sim</t>
        </is>
      </c>
      <c r="O493" s="7" t="inlineStr">
        <is>
          <t>Sim</t>
        </is>
      </c>
      <c r="P493" s="16" t="inlineStr">
        <is>
          <t>1-4 anos reclusão + multa</t>
        </is>
      </c>
    </row>
    <row r="494">
      <c r="A494" s="7" t="inlineStr">
        <is>
          <t>Lei 10.741/03</t>
        </is>
      </c>
      <c r="B494" s="7" t="inlineStr">
        <is>
          <t>Art. 104</t>
        </is>
      </c>
      <c r="C494" s="16" t="inlineStr">
        <is>
          <t>Reter cartão magnético de conta bancária relativa a benefícios/proventos/pensão de idoso, bem como qualquer outro documento com objetivo de assegurar recebimento ou ressarcimento de dívida</t>
        </is>
      </c>
      <c r="D494" s="7" t="n">
        <v>6</v>
      </c>
      <c r="E494" s="7" t="n">
        <v>24</v>
      </c>
      <c r="F494" s="7" t="inlineStr">
        <is>
          <t>Detenção</t>
        </is>
      </c>
      <c r="G494" s="7" t="inlineStr">
        <is>
          <t>Pública Incondicionada</t>
        </is>
      </c>
      <c r="H494" s="7" t="inlineStr">
        <is>
          <t>Não</t>
        </is>
      </c>
      <c r="I494" s="7" t="inlineStr">
        <is>
          <t>Doloso</t>
        </is>
      </c>
      <c r="J494" s="7" t="inlineStr">
        <is>
          <t>Sim</t>
        </is>
      </c>
      <c r="K494" s="7" t="inlineStr">
        <is>
          <t>Não</t>
        </is>
      </c>
      <c r="L494" s="7" t="inlineStr">
        <is>
          <t>Não</t>
        </is>
      </c>
      <c r="M494" s="7" t="inlineStr">
        <is>
          <t>Sim</t>
        </is>
      </c>
      <c r="N494" s="7" t="inlineStr">
        <is>
          <t>Sim</t>
        </is>
      </c>
      <c r="O494" s="7" t="inlineStr">
        <is>
          <t>Sim</t>
        </is>
      </c>
      <c r="P494" s="16" t="inlineStr">
        <is>
          <t>6 meses a 2 anos detenção + multa</t>
        </is>
      </c>
    </row>
    <row r="495">
      <c r="A495" s="7" t="inlineStr">
        <is>
          <t>Lei 10.741/03</t>
        </is>
      </c>
      <c r="B495" s="7" t="inlineStr">
        <is>
          <t>Art. 106</t>
        </is>
      </c>
      <c r="C495" s="16" t="inlineStr">
        <is>
          <t>Induzir idoso sem discernimento a outorgar procuração para fins de administração de bens ou deles dispor livremente</t>
        </is>
      </c>
      <c r="D495" s="7" t="n">
        <v>24</v>
      </c>
      <c r="E495" s="7" t="n">
        <v>48</v>
      </c>
      <c r="F495" s="7" t="inlineStr">
        <is>
          <t>Reclusão</t>
        </is>
      </c>
      <c r="G495" s="7" t="inlineStr">
        <is>
          <t>Pública Incondicionada</t>
        </is>
      </c>
      <c r="H495" s="7" t="inlineStr">
        <is>
          <t>Não</t>
        </is>
      </c>
      <c r="I495" s="7" t="inlineStr">
        <is>
          <t>Doloso</t>
        </is>
      </c>
      <c r="J495" s="7" t="inlineStr">
        <is>
          <t>Sim</t>
        </is>
      </c>
      <c r="K495" s="7" t="inlineStr">
        <is>
          <t>Não</t>
        </is>
      </c>
      <c r="L495" s="7" t="inlineStr">
        <is>
          <t>Não</t>
        </is>
      </c>
      <c r="M495" s="7" t="inlineStr">
        <is>
          <t>Sim</t>
        </is>
      </c>
      <c r="N495" s="7" t="inlineStr">
        <is>
          <t>Não</t>
        </is>
      </c>
      <c r="O495" s="7" t="inlineStr">
        <is>
          <t>Sim</t>
        </is>
      </c>
      <c r="P495" s="16" t="inlineStr">
        <is>
          <t>2-4 anos reclusão</t>
        </is>
      </c>
    </row>
    <row r="496">
      <c r="A496" s="26" t="inlineStr">
        <is>
          <t>Lei 10.741/03</t>
        </is>
      </c>
      <c r="B496" s="26" t="inlineStr">
        <is>
          <t>Art. 107</t>
        </is>
      </c>
      <c r="C496" s="27" t="inlineStr">
        <is>
          <t>Coagir, de qualquer modo, o idoso a doar/contratar/testar/outorgar procuração</t>
        </is>
      </c>
      <c r="D496" s="26" t="n">
        <v>24</v>
      </c>
      <c r="E496" s="26" t="n">
        <v>60</v>
      </c>
      <c r="F496" s="26" t="inlineStr">
        <is>
          <t>Reclusão</t>
        </is>
      </c>
      <c r="G496" s="26" t="inlineStr">
        <is>
          <t>Pública Incondicionada</t>
        </is>
      </c>
      <c r="H496" s="26" t="inlineStr">
        <is>
          <t>Não</t>
        </is>
      </c>
      <c r="I496" s="26" t="inlineStr">
        <is>
          <t>Doloso</t>
        </is>
      </c>
      <c r="J496" s="26" t="inlineStr">
        <is>
          <t>Sim</t>
        </is>
      </c>
      <c r="K496" s="26" t="inlineStr">
        <is>
          <t>Não</t>
        </is>
      </c>
      <c r="L496" s="26" t="inlineStr">
        <is>
          <t>Sim</t>
        </is>
      </c>
      <c r="M496" s="26" t="inlineStr">
        <is>
          <t>Não</t>
        </is>
      </c>
      <c r="N496" s="26" t="inlineStr">
        <is>
          <t>Não</t>
        </is>
      </c>
      <c r="O496" s="26" t="inlineStr">
        <is>
          <t>Sim</t>
        </is>
      </c>
      <c r="P496" s="27" t="inlineStr">
        <is>
          <t>2-5 anos reclusão</t>
        </is>
      </c>
    </row>
    <row r="497">
      <c r="A497" s="7" t="inlineStr">
        <is>
          <t>Lei 10.741/03</t>
        </is>
      </c>
      <c r="B497" s="7" t="inlineStr">
        <is>
          <t>Art. 108</t>
        </is>
      </c>
      <c r="C497" s="16" t="inlineStr">
        <is>
          <t>Lavrar ato notarial que envolva pessoa idosa sem discernimento de seus atos, sem a devida representação legal</t>
        </is>
      </c>
      <c r="D497" s="7" t="n">
        <v>24</v>
      </c>
      <c r="E497" s="7" t="n">
        <v>48</v>
      </c>
      <c r="F497" s="7" t="inlineStr">
        <is>
          <t>Reclusão</t>
        </is>
      </c>
      <c r="G497" s="7" t="inlineStr">
        <is>
          <t>Pública Incondicionada</t>
        </is>
      </c>
      <c r="H497" s="7" t="inlineStr">
        <is>
          <t>Não</t>
        </is>
      </c>
      <c r="I497" s="7" t="inlineStr">
        <is>
          <t>Doloso</t>
        </is>
      </c>
      <c r="J497" s="7" t="inlineStr">
        <is>
          <t>Sim</t>
        </is>
      </c>
      <c r="K497" s="7" t="inlineStr">
        <is>
          <t>Não</t>
        </is>
      </c>
      <c r="L497" s="7" t="inlineStr">
        <is>
          <t>Não</t>
        </is>
      </c>
      <c r="M497" s="7" t="inlineStr">
        <is>
          <t>Sim</t>
        </is>
      </c>
      <c r="N497" s="7" t="inlineStr">
        <is>
          <t>Não</t>
        </is>
      </c>
      <c r="O497" s="7" t="inlineStr">
        <is>
          <t>Sim</t>
        </is>
      </c>
      <c r="P497" s="16" t="inlineStr">
        <is>
          <t>2-4 anos reclusão</t>
        </is>
      </c>
    </row>
    <row r="498">
      <c r="A498" s="7" t="inlineStr">
        <is>
          <t>Lei 11.340/06</t>
        </is>
      </c>
      <c r="B498" s="7" t="inlineStr">
        <is>
          <t>Art. 24-A</t>
        </is>
      </c>
      <c r="C498" s="16" t="inlineStr">
        <is>
          <t>Descumprimento de medida protetiva de urgência</t>
        </is>
      </c>
      <c r="D498" s="7" t="n">
        <v>3</v>
      </c>
      <c r="E498" s="7" t="n">
        <v>24</v>
      </c>
      <c r="F498" s="7" t="inlineStr">
        <is>
          <t>Detenção</t>
        </is>
      </c>
      <c r="G498" s="7" t="inlineStr">
        <is>
          <t>Pública Incondicionada</t>
        </is>
      </c>
      <c r="H498" s="7" t="inlineStr">
        <is>
          <t>Não</t>
        </is>
      </c>
      <c r="I498" s="7" t="inlineStr">
        <is>
          <t>Doloso</t>
        </is>
      </c>
      <c r="J498" s="7" t="inlineStr">
        <is>
          <t>Sim</t>
        </is>
      </c>
      <c r="K498" s="7" t="inlineStr">
        <is>
          <t>Não</t>
        </is>
      </c>
      <c r="L498" s="7" t="inlineStr">
        <is>
          <t>Não</t>
        </is>
      </c>
      <c r="M498" s="7" t="inlineStr">
        <is>
          <t>Sim</t>
        </is>
      </c>
      <c r="N498" s="7" t="inlineStr">
        <is>
          <t>Sim</t>
        </is>
      </c>
      <c r="O498" s="7" t="inlineStr">
        <is>
          <t>Sim</t>
        </is>
      </c>
      <c r="P498" s="16" t="inlineStr">
        <is>
          <t>3 meses a 2 anos detenção. §1º: +1/2 se arma de fogo. §2º: não se aplica LEJECs (Lei 9.099)</t>
        </is>
      </c>
    </row>
    <row r="499">
      <c r="A499" s="7" t="inlineStr">
        <is>
          <t>Lei 9.296/96</t>
        </is>
      </c>
      <c r="B499" s="7" t="inlineStr">
        <is>
          <t>Art. 10</t>
        </is>
      </c>
      <c r="C499" s="16" t="inlineStr">
        <is>
          <t>Realizar interceptação telefônica/telemática/quebrar segredo de justiça sem autorização judicial ou com objetivos não autorizados</t>
        </is>
      </c>
      <c r="D499" s="7" t="n">
        <v>24</v>
      </c>
      <c r="E499" s="7" t="n">
        <v>48</v>
      </c>
      <c r="F499" s="7" t="inlineStr">
        <is>
          <t>Reclusão</t>
        </is>
      </c>
      <c r="G499" s="7" t="inlineStr">
        <is>
          <t>Pública Incondicionada</t>
        </is>
      </c>
      <c r="H499" s="7" t="inlineStr">
        <is>
          <t>Não</t>
        </is>
      </c>
      <c r="I499" s="7" t="inlineStr">
        <is>
          <t>Doloso</t>
        </is>
      </c>
      <c r="J499" s="7" t="inlineStr">
        <is>
          <t>Sim</t>
        </is>
      </c>
      <c r="K499" s="7" t="inlineStr">
        <is>
          <t>Não</t>
        </is>
      </c>
      <c r="L499" s="7" t="inlineStr">
        <is>
          <t>Não</t>
        </is>
      </c>
      <c r="M499" s="7" t="inlineStr">
        <is>
          <t>Sim</t>
        </is>
      </c>
      <c r="N499" s="7" t="inlineStr">
        <is>
          <t>Não</t>
        </is>
      </c>
      <c r="O499" s="7" t="inlineStr">
        <is>
          <t>Sim</t>
        </is>
      </c>
      <c r="P499" s="16" t="inlineStr">
        <is>
          <t>2-4 anos reclusão + multa</t>
        </is>
      </c>
    </row>
    <row r="500">
      <c r="A500" s="7" t="inlineStr">
        <is>
          <t>Lei 14.811/24</t>
        </is>
      </c>
      <c r="B500" s="7" t="inlineStr">
        <is>
          <t>Art. 146-A, caput (CP)</t>
        </is>
      </c>
      <c r="C500" s="16" t="inlineStr">
        <is>
          <t>Intimidação sistemática (bullying)</t>
        </is>
      </c>
      <c r="D500" s="7" t="n">
        <v>2</v>
      </c>
      <c r="E500" s="7" t="n">
        <v>4</v>
      </c>
      <c r="F500" s="7" t="inlineStr">
        <is>
          <t>Multa</t>
        </is>
      </c>
      <c r="G500" s="7" t="inlineStr">
        <is>
          <t>Pública Incondicionada</t>
        </is>
      </c>
      <c r="H500" s="7" t="inlineStr">
        <is>
          <t>Não</t>
        </is>
      </c>
      <c r="I500" s="7" t="inlineStr">
        <is>
          <t>Doloso</t>
        </is>
      </c>
      <c r="J500" s="7" t="inlineStr">
        <is>
          <t>Sim</t>
        </is>
      </c>
      <c r="K500" s="7" t="inlineStr">
        <is>
          <t>Não</t>
        </is>
      </c>
      <c r="L500" s="7" t="inlineStr">
        <is>
          <t>Não</t>
        </is>
      </c>
      <c r="M500" s="7" t="inlineStr">
        <is>
          <t>Sim</t>
        </is>
      </c>
      <c r="N500" s="7" t="inlineStr">
        <is>
          <t>Sim</t>
        </is>
      </c>
      <c r="O500" s="7" t="inlineStr">
        <is>
          <t>Sim</t>
        </is>
      </c>
      <c r="P500" s="16" t="inlineStr">
        <is>
          <t>Multa. Intimidar sistematicamente, individualmente ou em grupo, mediante violência física ou psicológica, uma ou mais pessoas, de modo intencional e repetitivo, sem motivação evidente</t>
        </is>
      </c>
    </row>
    <row r="501">
      <c r="A501" s="7" t="inlineStr">
        <is>
          <t>Lei 14.811/24</t>
        </is>
      </c>
      <c r="B501" s="7" t="inlineStr">
        <is>
          <t>Art. 146-A, §único (CP)</t>
        </is>
      </c>
      <c r="C501" s="16" t="inlineStr">
        <is>
          <t>Intimidação sistemática virtual (cyberbullying)</t>
        </is>
      </c>
      <c r="D501" s="7" t="n">
        <v>24</v>
      </c>
      <c r="E501" s="7" t="n">
        <v>48</v>
      </c>
      <c r="F501" s="7" t="inlineStr">
        <is>
          <t>Reclusão</t>
        </is>
      </c>
      <c r="G501" s="7" t="inlineStr">
        <is>
          <t>Pública Incondicionada</t>
        </is>
      </c>
      <c r="H501" s="7" t="inlineStr">
        <is>
          <t>Não</t>
        </is>
      </c>
      <c r="I501" s="7" t="inlineStr">
        <is>
          <t>Doloso</t>
        </is>
      </c>
      <c r="J501" s="7" t="inlineStr">
        <is>
          <t>Sim</t>
        </is>
      </c>
      <c r="K501" s="7" t="inlineStr">
        <is>
          <t>Não</t>
        </is>
      </c>
      <c r="L501" s="7" t="inlineStr">
        <is>
          <t>Não</t>
        </is>
      </c>
      <c r="M501" s="7" t="inlineStr">
        <is>
          <t>Sim</t>
        </is>
      </c>
      <c r="N501" s="7" t="inlineStr">
        <is>
          <t>Não</t>
        </is>
      </c>
      <c r="O501" s="7" t="inlineStr">
        <is>
          <t>Sim</t>
        </is>
      </c>
      <c r="P501" s="16" t="inlineStr">
        <is>
          <t>2-4 anos reclusão + multa. Se a conduta é realizada por meio da rede de computadores, rede social, aplicativos, jogos on-line ou transmitida em tempo real</t>
        </is>
      </c>
    </row>
    <row r="502">
      <c r="A502" s="7" t="inlineStr">
        <is>
          <t>Lei 11.101/05</t>
        </is>
      </c>
      <c r="B502" s="7" t="inlineStr">
        <is>
          <t>Art. 168</t>
        </is>
      </c>
      <c r="C502" s="16" t="inlineStr">
        <is>
          <t>Fraude a credores (praticar ato fraudulento antes ou depois de sentença de falência/recuperação)</t>
        </is>
      </c>
      <c r="D502" s="7" t="n">
        <v>36</v>
      </c>
      <c r="E502" s="7" t="n">
        <v>72</v>
      </c>
      <c r="F502" s="7" t="inlineStr">
        <is>
          <t>Reclusão</t>
        </is>
      </c>
      <c r="G502" s="7" t="inlineStr">
        <is>
          <t>Pública Incondicionada</t>
        </is>
      </c>
      <c r="H502" s="7" t="inlineStr">
        <is>
          <t>Não</t>
        </is>
      </c>
      <c r="I502" s="7" t="inlineStr">
        <is>
          <t>Doloso</t>
        </is>
      </c>
      <c r="J502" s="7" t="inlineStr">
        <is>
          <t>Sim</t>
        </is>
      </c>
      <c r="K502" s="7" t="inlineStr">
        <is>
          <t>Não</t>
        </is>
      </c>
      <c r="L502" s="7" t="inlineStr">
        <is>
          <t>Não</t>
        </is>
      </c>
      <c r="M502" s="7" t="inlineStr">
        <is>
          <t>Sim</t>
        </is>
      </c>
      <c r="N502" s="7" t="inlineStr">
        <is>
          <t>Não</t>
        </is>
      </c>
      <c r="O502" s="7" t="inlineStr">
        <is>
          <t>Verificar</t>
        </is>
      </c>
      <c r="P502" s="16" t="inlineStr">
        <is>
          <t>3-6 anos reclusão + multa. §1º: aumento de 1/6 a 1/3 se o devedor mantinha escrituração contábil obrigatória</t>
        </is>
      </c>
    </row>
    <row r="503">
      <c r="A503" s="7" t="inlineStr">
        <is>
          <t>Lei 11.101/05</t>
        </is>
      </c>
      <c r="B503" s="7" t="inlineStr">
        <is>
          <t>Art. 169</t>
        </is>
      </c>
      <c r="C503" s="16" t="inlineStr">
        <is>
          <t>Violação de sigilo empresarial (violar/explorar/divulgar segredo da empresa devedora sem justa causa)</t>
        </is>
      </c>
      <c r="D503" s="7" t="n">
        <v>24</v>
      </c>
      <c r="E503" s="7" t="n">
        <v>48</v>
      </c>
      <c r="F503" s="7" t="inlineStr">
        <is>
          <t>Reclusão</t>
        </is>
      </c>
      <c r="G503" s="7" t="inlineStr">
        <is>
          <t>Pública Incondicionada</t>
        </is>
      </c>
      <c r="H503" s="7" t="inlineStr">
        <is>
          <t>Não</t>
        </is>
      </c>
      <c r="I503" s="7" t="inlineStr">
        <is>
          <t>Doloso</t>
        </is>
      </c>
      <c r="J503" s="7" t="inlineStr">
        <is>
          <t>Sim</t>
        </is>
      </c>
      <c r="K503" s="7" t="inlineStr">
        <is>
          <t>Não</t>
        </is>
      </c>
      <c r="L503" s="7" t="inlineStr">
        <is>
          <t>Não</t>
        </is>
      </c>
      <c r="M503" s="7" t="inlineStr">
        <is>
          <t>Sim</t>
        </is>
      </c>
      <c r="N503" s="7" t="inlineStr">
        <is>
          <t>Não</t>
        </is>
      </c>
      <c r="O503" s="7" t="inlineStr">
        <is>
          <t>Sim</t>
        </is>
      </c>
      <c r="P503" s="16" t="inlineStr">
        <is>
          <t>2-4 anos reclusão + multa</t>
        </is>
      </c>
    </row>
    <row r="504">
      <c r="A504" s="7" t="inlineStr">
        <is>
          <t>Lei 11.101/05</t>
        </is>
      </c>
      <c r="B504" s="7" t="inlineStr">
        <is>
          <t>Art. 170</t>
        </is>
      </c>
      <c r="C504" s="16" t="inlineStr">
        <is>
          <t>Divulgação de informações falsas sobre devedor em recuperação judicial</t>
        </is>
      </c>
      <c r="D504" s="7" t="n">
        <v>24</v>
      </c>
      <c r="E504" s="7" t="n">
        <v>48</v>
      </c>
      <c r="F504" s="7" t="inlineStr">
        <is>
          <t>Reclusão</t>
        </is>
      </c>
      <c r="G504" s="7" t="inlineStr">
        <is>
          <t>Pública Incondicionada</t>
        </is>
      </c>
      <c r="H504" s="7" t="inlineStr">
        <is>
          <t>Não</t>
        </is>
      </c>
      <c r="I504" s="7" t="inlineStr">
        <is>
          <t>Doloso</t>
        </is>
      </c>
      <c r="J504" s="7" t="inlineStr">
        <is>
          <t>Sim</t>
        </is>
      </c>
      <c r="K504" s="7" t="inlineStr">
        <is>
          <t>Não</t>
        </is>
      </c>
      <c r="L504" s="7" t="inlineStr">
        <is>
          <t>Não</t>
        </is>
      </c>
      <c r="M504" s="7" t="inlineStr">
        <is>
          <t>Sim</t>
        </is>
      </c>
      <c r="N504" s="7" t="inlineStr">
        <is>
          <t>Não</t>
        </is>
      </c>
      <c r="O504" s="7" t="inlineStr">
        <is>
          <t>Sim</t>
        </is>
      </c>
      <c r="P504" s="16" t="inlineStr">
        <is>
          <t>2-4 anos reclusão + multa</t>
        </is>
      </c>
    </row>
    <row r="505">
      <c r="A505" s="7" t="inlineStr">
        <is>
          <t>Lei 11.101/05</t>
        </is>
      </c>
      <c r="B505" s="7" t="inlineStr">
        <is>
          <t>Art. 171</t>
        </is>
      </c>
      <c r="C505" s="16" t="inlineStr">
        <is>
          <t>Sonegação de bens em processo de falência (apropriar-se/desviar/destruir bens do devedor falido)</t>
        </is>
      </c>
      <c r="D505" s="7" t="n">
        <v>24</v>
      </c>
      <c r="E505" s="7" t="n">
        <v>48</v>
      </c>
      <c r="F505" s="7" t="inlineStr">
        <is>
          <t>Reclusão</t>
        </is>
      </c>
      <c r="G505" s="7" t="inlineStr">
        <is>
          <t>Pública Incondicionada</t>
        </is>
      </c>
      <c r="H505" s="7" t="inlineStr">
        <is>
          <t>Não</t>
        </is>
      </c>
      <c r="I505" s="7" t="inlineStr">
        <is>
          <t>Doloso</t>
        </is>
      </c>
      <c r="J505" s="7" t="inlineStr">
        <is>
          <t>Sim</t>
        </is>
      </c>
      <c r="K505" s="7" t="inlineStr">
        <is>
          <t>Não</t>
        </is>
      </c>
      <c r="L505" s="7" t="inlineStr">
        <is>
          <t>Não</t>
        </is>
      </c>
      <c r="M505" s="7" t="inlineStr">
        <is>
          <t>Sim</t>
        </is>
      </c>
      <c r="N505" s="7" t="inlineStr">
        <is>
          <t>Não</t>
        </is>
      </c>
      <c r="O505" s="7" t="inlineStr">
        <is>
          <t>Sim</t>
        </is>
      </c>
      <c r="P505" s="16" t="inlineStr">
        <is>
          <t>2-4 anos reclusão + multa</t>
        </is>
      </c>
    </row>
    <row r="506">
      <c r="A506" s="7" t="inlineStr">
        <is>
          <t>Lei 11.101/05</t>
        </is>
      </c>
      <c r="B506" s="7" t="inlineStr">
        <is>
          <t>Art. 172</t>
        </is>
      </c>
      <c r="C506" s="16" t="inlineStr">
        <is>
          <t>Favorecimento de credores (favorecer credor em detrimento dos demais)</t>
        </is>
      </c>
      <c r="D506" s="7" t="n">
        <v>24</v>
      </c>
      <c r="E506" s="7" t="n">
        <v>60</v>
      </c>
      <c r="F506" s="7" t="inlineStr">
        <is>
          <t>Reclusão</t>
        </is>
      </c>
      <c r="G506" s="7" t="inlineStr">
        <is>
          <t>Pública Incondicionada</t>
        </is>
      </c>
      <c r="H506" s="7" t="inlineStr">
        <is>
          <t>Não</t>
        </is>
      </c>
      <c r="I506" s="7" t="inlineStr">
        <is>
          <t>Doloso</t>
        </is>
      </c>
      <c r="J506" s="7" t="inlineStr">
        <is>
          <t>Sim</t>
        </is>
      </c>
      <c r="K506" s="7" t="inlineStr">
        <is>
          <t>Não</t>
        </is>
      </c>
      <c r="L506" s="7" t="inlineStr">
        <is>
          <t>Não</t>
        </is>
      </c>
      <c r="M506" s="7" t="inlineStr">
        <is>
          <t>Sim</t>
        </is>
      </c>
      <c r="N506" s="7" t="inlineStr">
        <is>
          <t>Não</t>
        </is>
      </c>
      <c r="O506" s="7" t="inlineStr">
        <is>
          <t>Sim</t>
        </is>
      </c>
      <c r="P506" s="16" t="inlineStr">
        <is>
          <t>2-5 anos reclusão + multa</t>
        </is>
      </c>
    </row>
    <row r="507">
      <c r="A507" s="7" t="inlineStr">
        <is>
          <t>Lei 11.101/05</t>
        </is>
      </c>
      <c r="B507" s="7" t="inlineStr">
        <is>
          <t>Art. 173</t>
        </is>
      </c>
      <c r="C507" s="16" t="inlineStr">
        <is>
          <t>Desvio/destruição/adulteração de documentos referentes à contabilidade do devedor</t>
        </is>
      </c>
      <c r="D507" s="7" t="n">
        <v>36</v>
      </c>
      <c r="E507" s="7" t="n">
        <v>72</v>
      </c>
      <c r="F507" s="7" t="inlineStr">
        <is>
          <t>Reclusão</t>
        </is>
      </c>
      <c r="G507" s="7" t="inlineStr">
        <is>
          <t>Pública Incondicionada</t>
        </is>
      </c>
      <c r="H507" s="7" t="inlineStr">
        <is>
          <t>Não</t>
        </is>
      </c>
      <c r="I507" s="7" t="inlineStr">
        <is>
          <t>Doloso</t>
        </is>
      </c>
      <c r="J507" s="7" t="inlineStr">
        <is>
          <t>Sim</t>
        </is>
      </c>
      <c r="K507" s="7" t="inlineStr">
        <is>
          <t>Não</t>
        </is>
      </c>
      <c r="L507" s="7" t="inlineStr">
        <is>
          <t>Não</t>
        </is>
      </c>
      <c r="M507" s="7" t="inlineStr">
        <is>
          <t>Sim</t>
        </is>
      </c>
      <c r="N507" s="7" t="inlineStr">
        <is>
          <t>Não</t>
        </is>
      </c>
      <c r="O507" s="7" t="inlineStr">
        <is>
          <t>Verificar</t>
        </is>
      </c>
      <c r="P507" s="16" t="inlineStr">
        <is>
          <t>3-6 anos reclusão + multa</t>
        </is>
      </c>
    </row>
    <row r="508">
      <c r="A508" s="7" t="inlineStr">
        <is>
          <t>Lei 11.101/05</t>
        </is>
      </c>
      <c r="B508" s="7" t="inlineStr">
        <is>
          <t>Art. 175</t>
        </is>
      </c>
      <c r="C508" s="16" t="inlineStr">
        <is>
          <t>Habilitação ilegal de crédito na falência (apresentar crédito falso ou em valor indevido)</t>
        </is>
      </c>
      <c r="D508" s="7" t="n">
        <v>24</v>
      </c>
      <c r="E508" s="7" t="n">
        <v>48</v>
      </c>
      <c r="F508" s="7" t="inlineStr">
        <is>
          <t>Reclusão</t>
        </is>
      </c>
      <c r="G508" s="7" t="inlineStr">
        <is>
          <t>Pública Incondicionada</t>
        </is>
      </c>
      <c r="H508" s="7" t="inlineStr">
        <is>
          <t>Não</t>
        </is>
      </c>
      <c r="I508" s="7" t="inlineStr">
        <is>
          <t>Doloso</t>
        </is>
      </c>
      <c r="J508" s="7" t="inlineStr">
        <is>
          <t>Sim</t>
        </is>
      </c>
      <c r="K508" s="7" t="inlineStr">
        <is>
          <t>Não</t>
        </is>
      </c>
      <c r="L508" s="7" t="inlineStr">
        <is>
          <t>Não</t>
        </is>
      </c>
      <c r="M508" s="7" t="inlineStr">
        <is>
          <t>Sim</t>
        </is>
      </c>
      <c r="N508" s="7" t="inlineStr">
        <is>
          <t>Não</t>
        </is>
      </c>
      <c r="O508" s="7" t="inlineStr">
        <is>
          <t>Sim</t>
        </is>
      </c>
      <c r="P508" s="16" t="inlineStr">
        <is>
          <t>2-4 anos reclusão + multa</t>
        </is>
      </c>
    </row>
    <row r="509">
      <c r="A509" s="7" t="inlineStr">
        <is>
          <t>Lei 11.101/05</t>
        </is>
      </c>
      <c r="B509" s="7" t="inlineStr">
        <is>
          <t>Art. 176</t>
        </is>
      </c>
      <c r="C509" s="16" t="inlineStr">
        <is>
          <t>Exercício ilegal de atividade empresarial por pessoa condenada por crime falimentar durante prazo da inabilitação</t>
        </is>
      </c>
      <c r="D509" s="7" t="n">
        <v>12</v>
      </c>
      <c r="E509" s="7" t="n">
        <v>48</v>
      </c>
      <c r="F509" s="7" t="inlineStr">
        <is>
          <t>Reclusão</t>
        </is>
      </c>
      <c r="G509" s="7" t="inlineStr">
        <is>
          <t>Pública Incondicionada</t>
        </is>
      </c>
      <c r="H509" s="7" t="inlineStr">
        <is>
          <t>Não</t>
        </is>
      </c>
      <c r="I509" s="7" t="inlineStr">
        <is>
          <t>Doloso</t>
        </is>
      </c>
      <c r="J509" s="7" t="inlineStr">
        <is>
          <t>Sim</t>
        </is>
      </c>
      <c r="K509" s="7" t="inlineStr">
        <is>
          <t>Não</t>
        </is>
      </c>
      <c r="L509" s="7" t="inlineStr">
        <is>
          <t>Não</t>
        </is>
      </c>
      <c r="M509" s="7" t="inlineStr">
        <is>
          <t>Sim</t>
        </is>
      </c>
      <c r="N509" s="7" t="inlineStr">
        <is>
          <t>Sim</t>
        </is>
      </c>
      <c r="O509" s="7" t="inlineStr">
        <is>
          <t>Sim</t>
        </is>
      </c>
      <c r="P509" s="16" t="inlineStr">
        <is>
          <t>1-4 anos reclusão + multa</t>
        </is>
      </c>
    </row>
    <row r="510">
      <c r="A510" s="7" t="inlineStr">
        <is>
          <t>Lei 11.101/05</t>
        </is>
      </c>
      <c r="B510" s="7" t="inlineStr">
        <is>
          <t>Art. 177</t>
        </is>
      </c>
      <c r="C510" s="16" t="inlineStr">
        <is>
          <t>Omissão dos documentos contábeis obrigatórios</t>
        </is>
      </c>
      <c r="D510" s="7" t="n">
        <v>12</v>
      </c>
      <c r="E510" s="7" t="n">
        <v>24</v>
      </c>
      <c r="F510" s="7" t="inlineStr">
        <is>
          <t>Detenção</t>
        </is>
      </c>
      <c r="G510" s="7" t="inlineStr">
        <is>
          <t>Pública Incondicionada</t>
        </is>
      </c>
      <c r="H510" s="7" t="inlineStr">
        <is>
          <t>Não</t>
        </is>
      </c>
      <c r="I510" s="7" t="inlineStr">
        <is>
          <t>Doloso</t>
        </is>
      </c>
      <c r="J510" s="7" t="inlineStr">
        <is>
          <t>Não</t>
        </is>
      </c>
      <c r="K510" s="7" t="inlineStr">
        <is>
          <t>Não</t>
        </is>
      </c>
      <c r="L510" s="7" t="inlineStr">
        <is>
          <t>Não</t>
        </is>
      </c>
      <c r="M510" s="7" t="inlineStr">
        <is>
          <t>Sim</t>
        </is>
      </c>
      <c r="N510" s="7" t="inlineStr">
        <is>
          <t>Sim</t>
        </is>
      </c>
      <c r="O510" s="7" t="inlineStr">
        <is>
          <t>Sim</t>
        </is>
      </c>
      <c r="P510" s="16" t="inlineStr">
        <is>
          <t>1-2 anos detenção + multa</t>
        </is>
      </c>
    </row>
    <row r="511">
      <c r="A511" s="7" t="inlineStr">
        <is>
          <t>Lei 14.133/21</t>
        </is>
      </c>
      <c r="B511" s="7" t="inlineStr">
        <is>
          <t>Art. 337-E</t>
        </is>
      </c>
      <c r="C511" s="16" t="inlineStr">
        <is>
          <t>Admitir/possibilitar/dar causa a ato ilegal no processo licitatório</t>
        </is>
      </c>
      <c r="D511" s="7" t="n">
        <v>24</v>
      </c>
      <c r="E511" s="7" t="n">
        <v>60</v>
      </c>
      <c r="F511" s="7" t="inlineStr">
        <is>
          <t>Reclusão</t>
        </is>
      </c>
      <c r="G511" s="7" t="inlineStr">
        <is>
          <t>Pública Incondicionada</t>
        </is>
      </c>
      <c r="H511" s="7" t="inlineStr">
        <is>
          <t>Não</t>
        </is>
      </c>
      <c r="I511" s="7" t="inlineStr">
        <is>
          <t>Doloso</t>
        </is>
      </c>
      <c r="J511" s="7" t="inlineStr">
        <is>
          <t>Sim</t>
        </is>
      </c>
      <c r="K511" s="7" t="inlineStr">
        <is>
          <t>Não</t>
        </is>
      </c>
      <c r="L511" s="7" t="inlineStr">
        <is>
          <t>Não</t>
        </is>
      </c>
      <c r="M511" s="7" t="inlineStr">
        <is>
          <t>Sim</t>
        </is>
      </c>
      <c r="N511" s="7" t="inlineStr">
        <is>
          <t>Não</t>
        </is>
      </c>
      <c r="O511" s="7" t="inlineStr">
        <is>
          <t>Sim</t>
        </is>
      </c>
      <c r="P511" s="16" t="inlineStr">
        <is>
          <t>2-5 anos reclusão + multa</t>
        </is>
      </c>
    </row>
    <row r="512">
      <c r="A512" s="7" t="inlineStr">
        <is>
          <t>Lei 14.133/21</t>
        </is>
      </c>
      <c r="B512" s="7" t="inlineStr">
        <is>
          <t>Art. 337-F</t>
        </is>
      </c>
      <c r="C512" s="16" t="inlineStr">
        <is>
          <t>Frustrar/fraudar mediante ajuste/combinação ou qualquer outro expediente o caráter competitivo de licitação</t>
        </is>
      </c>
      <c r="D512" s="7" t="n">
        <v>48</v>
      </c>
      <c r="E512" s="7" t="n">
        <v>96</v>
      </c>
      <c r="F512" s="7" t="inlineStr">
        <is>
          <t>Reclusão</t>
        </is>
      </c>
      <c r="G512" s="7" t="inlineStr">
        <is>
          <t>Pública Incondicionada</t>
        </is>
      </c>
      <c r="H512" s="7" t="inlineStr">
        <is>
          <t>Não</t>
        </is>
      </c>
      <c r="I512" s="7" t="inlineStr">
        <is>
          <t>Doloso</t>
        </is>
      </c>
      <c r="J512" s="7" t="inlineStr">
        <is>
          <t>Sim</t>
        </is>
      </c>
      <c r="K512" s="7" t="inlineStr">
        <is>
          <t>Não</t>
        </is>
      </c>
      <c r="L512" s="7" t="inlineStr">
        <is>
          <t>Não</t>
        </is>
      </c>
      <c r="M512" s="7" t="inlineStr">
        <is>
          <t>Não</t>
        </is>
      </c>
      <c r="N512" s="7" t="inlineStr">
        <is>
          <t>Não</t>
        </is>
      </c>
      <c r="O512" s="7" t="inlineStr">
        <is>
          <t>Verificar</t>
        </is>
      </c>
      <c r="P512" s="16" t="inlineStr">
        <is>
          <t>4-8 anos reclusão + multa</t>
        </is>
      </c>
    </row>
    <row r="513">
      <c r="A513" s="7" t="inlineStr">
        <is>
          <t>Lei 14.133/21</t>
        </is>
      </c>
      <c r="B513" s="7" t="inlineStr">
        <is>
          <t>Art. 337-G</t>
        </is>
      </c>
      <c r="C513" s="16" t="inlineStr">
        <is>
          <t>Patrocinar interesse ilegítimo de particular em processo de licitação</t>
        </is>
      </c>
      <c r="D513" s="7" t="n">
        <v>6</v>
      </c>
      <c r="E513" s="7" t="n">
        <v>24</v>
      </c>
      <c r="F513" s="7" t="inlineStr">
        <is>
          <t>Detenção</t>
        </is>
      </c>
      <c r="G513" s="7" t="inlineStr">
        <is>
          <t>Pública Incondicionada</t>
        </is>
      </c>
      <c r="H513" s="7" t="inlineStr">
        <is>
          <t>Não</t>
        </is>
      </c>
      <c r="I513" s="7" t="inlineStr">
        <is>
          <t>Doloso</t>
        </is>
      </c>
      <c r="J513" s="7" t="inlineStr">
        <is>
          <t>Sim</t>
        </is>
      </c>
      <c r="K513" s="7" t="inlineStr">
        <is>
          <t>Não</t>
        </is>
      </c>
      <c r="L513" s="7" t="inlineStr">
        <is>
          <t>Não</t>
        </is>
      </c>
      <c r="M513" s="7" t="inlineStr">
        <is>
          <t>Sim</t>
        </is>
      </c>
      <c r="N513" s="7" t="inlineStr">
        <is>
          <t>Sim</t>
        </is>
      </c>
      <c r="O513" s="7" t="inlineStr">
        <is>
          <t>Sim</t>
        </is>
      </c>
      <c r="P513" s="16" t="inlineStr">
        <is>
          <t>6 meses a 2 anos detenção + multa</t>
        </is>
      </c>
    </row>
    <row r="514">
      <c r="A514" s="7" t="inlineStr">
        <is>
          <t>Lei 14.133/21</t>
        </is>
      </c>
      <c r="B514" s="7" t="inlineStr">
        <is>
          <t>Art. 337-H</t>
        </is>
      </c>
      <c r="C514" s="16" t="inlineStr">
        <is>
          <t>Modificar/pagar contrato administrativo sem autorização legal</t>
        </is>
      </c>
      <c r="D514" s="7" t="n">
        <v>24</v>
      </c>
      <c r="E514" s="7" t="n">
        <v>72</v>
      </c>
      <c r="F514" s="7" t="inlineStr">
        <is>
          <t>Reclusão</t>
        </is>
      </c>
      <c r="G514" s="7" t="inlineStr">
        <is>
          <t>Pública Incondicionada</t>
        </is>
      </c>
      <c r="H514" s="7" t="inlineStr">
        <is>
          <t>Não</t>
        </is>
      </c>
      <c r="I514" s="7" t="inlineStr">
        <is>
          <t>Doloso</t>
        </is>
      </c>
      <c r="J514" s="7" t="inlineStr">
        <is>
          <t>Sim</t>
        </is>
      </c>
      <c r="K514" s="7" t="inlineStr">
        <is>
          <t>Não</t>
        </is>
      </c>
      <c r="L514" s="7" t="inlineStr">
        <is>
          <t>Não</t>
        </is>
      </c>
      <c r="M514" s="7" t="inlineStr">
        <is>
          <t>Sim</t>
        </is>
      </c>
      <c r="N514" s="7" t="inlineStr">
        <is>
          <t>Não</t>
        </is>
      </c>
      <c r="O514" s="7" t="inlineStr">
        <is>
          <t>Sim</t>
        </is>
      </c>
      <c r="P514" s="16" t="inlineStr">
        <is>
          <t>2-6 anos reclusão + multa. Pagar antecipadamente/modificar regras de contrato sem autorização legal</t>
        </is>
      </c>
    </row>
    <row r="515">
      <c r="A515" s="7" t="inlineStr">
        <is>
          <t>Lei 14.133/21</t>
        </is>
      </c>
      <c r="B515" s="7" t="inlineStr">
        <is>
          <t>Art. 337-I</t>
        </is>
      </c>
      <c r="C515" s="16" t="inlineStr">
        <is>
          <t>Obstar/impedir/dificultar a inscrição ou participação de licitante</t>
        </is>
      </c>
      <c r="D515" s="7" t="n">
        <v>24</v>
      </c>
      <c r="E515" s="7" t="n">
        <v>60</v>
      </c>
      <c r="F515" s="7" t="inlineStr">
        <is>
          <t>Reclusão</t>
        </is>
      </c>
      <c r="G515" s="7" t="inlineStr">
        <is>
          <t>Pública Incondicionada</t>
        </is>
      </c>
      <c r="H515" s="7" t="inlineStr">
        <is>
          <t>Não</t>
        </is>
      </c>
      <c r="I515" s="7" t="inlineStr">
        <is>
          <t>Doloso</t>
        </is>
      </c>
      <c r="J515" s="7" t="inlineStr">
        <is>
          <t>Sim</t>
        </is>
      </c>
      <c r="K515" s="7" t="inlineStr">
        <is>
          <t>Não</t>
        </is>
      </c>
      <c r="L515" s="7" t="inlineStr">
        <is>
          <t>Não</t>
        </is>
      </c>
      <c r="M515" s="7" t="inlineStr">
        <is>
          <t>Sim</t>
        </is>
      </c>
      <c r="N515" s="7" t="inlineStr">
        <is>
          <t>Não</t>
        </is>
      </c>
      <c r="O515" s="7" t="inlineStr">
        <is>
          <t>Sim</t>
        </is>
      </c>
      <c r="P515" s="16" t="inlineStr">
        <is>
          <t>2-5 anos reclusão + multa</t>
        </is>
      </c>
    </row>
    <row r="516">
      <c r="A516" s="26" t="inlineStr">
        <is>
          <t>Lei 14.133/21</t>
        </is>
      </c>
      <c r="B516" s="26" t="inlineStr">
        <is>
          <t>Art. 337-J</t>
        </is>
      </c>
      <c r="C516" s="27" t="inlineStr">
        <is>
          <t>Afastar licitante por meio de violência/grave ameaça/fraude/oferecimento de vantagem</t>
        </is>
      </c>
      <c r="D516" s="26" t="n">
        <v>48</v>
      </c>
      <c r="E516" s="26" t="n">
        <v>96</v>
      </c>
      <c r="F516" s="26" t="inlineStr">
        <is>
          <t>Reclusão</t>
        </is>
      </c>
      <c r="G516" s="26" t="inlineStr">
        <is>
          <t>Pública Incondicionada</t>
        </is>
      </c>
      <c r="H516" s="26" t="inlineStr">
        <is>
          <t>Não</t>
        </is>
      </c>
      <c r="I516" s="26" t="inlineStr">
        <is>
          <t>Doloso</t>
        </is>
      </c>
      <c r="J516" s="26" t="inlineStr">
        <is>
          <t>Sim</t>
        </is>
      </c>
      <c r="K516" s="26" t="inlineStr">
        <is>
          <t>Sim</t>
        </is>
      </c>
      <c r="L516" s="26" t="inlineStr">
        <is>
          <t>Sim</t>
        </is>
      </c>
      <c r="M516" s="26" t="inlineStr">
        <is>
          <t>Não</t>
        </is>
      </c>
      <c r="N516" s="26" t="inlineStr">
        <is>
          <t>Não</t>
        </is>
      </c>
      <c r="O516" s="26" t="inlineStr">
        <is>
          <t>Verificar</t>
        </is>
      </c>
      <c r="P516" s="27" t="inlineStr">
        <is>
          <t>4-8 anos reclusão + multa, além da pena correspondente à violência</t>
        </is>
      </c>
    </row>
    <row r="517">
      <c r="A517" s="7" t="inlineStr">
        <is>
          <t>Lei 14.133/21</t>
        </is>
      </c>
      <c r="B517" s="7" t="inlineStr">
        <is>
          <t>Art. 337-K</t>
        </is>
      </c>
      <c r="C517" s="16" t="inlineStr">
        <is>
          <t>Fraudar em prejuízo da Fazenda Pública licitação ou contrato (sobrepreço, superfaturamento)</t>
        </is>
      </c>
      <c r="D517" s="7" t="n">
        <v>48</v>
      </c>
      <c r="E517" s="7" t="n">
        <v>144</v>
      </c>
      <c r="F517" s="7" t="inlineStr">
        <is>
          <t>Reclusão</t>
        </is>
      </c>
      <c r="G517" s="7" t="inlineStr">
        <is>
          <t>Pública Incondicionada</t>
        </is>
      </c>
      <c r="H517" s="7" t="inlineStr">
        <is>
          <t>Não</t>
        </is>
      </c>
      <c r="I517" s="7" t="inlineStr">
        <is>
          <t>Doloso</t>
        </is>
      </c>
      <c r="J517" s="7" t="inlineStr">
        <is>
          <t>Sim</t>
        </is>
      </c>
      <c r="K517" s="7" t="inlineStr">
        <is>
          <t>Não</t>
        </is>
      </c>
      <c r="L517" s="7" t="inlineStr">
        <is>
          <t>Não</t>
        </is>
      </c>
      <c r="M517" s="7" t="inlineStr">
        <is>
          <t>Não</t>
        </is>
      </c>
      <c r="N517" s="7" t="inlineStr">
        <is>
          <t>Não</t>
        </is>
      </c>
      <c r="O517" s="7" t="inlineStr">
        <is>
          <t>Verificar</t>
        </is>
      </c>
      <c r="P517" s="16" t="inlineStr">
        <is>
          <t>4-12 anos reclusão + multa</t>
        </is>
      </c>
    </row>
    <row r="518">
      <c r="A518" s="7" t="inlineStr">
        <is>
          <t>Lei 14.133/21</t>
        </is>
      </c>
      <c r="B518" s="7" t="inlineStr">
        <is>
          <t>Art. 337-L</t>
        </is>
      </c>
      <c r="C518" s="16" t="inlineStr">
        <is>
          <t>Fraudar licitação/contrato para obtenção de benefício ilegítimo</t>
        </is>
      </c>
      <c r="D518" s="7" t="n">
        <v>36</v>
      </c>
      <c r="E518" s="7" t="n">
        <v>96</v>
      </c>
      <c r="F518" s="7" t="inlineStr">
        <is>
          <t>Reclusão</t>
        </is>
      </c>
      <c r="G518" s="7" t="inlineStr">
        <is>
          <t>Pública Incondicionada</t>
        </is>
      </c>
      <c r="H518" s="7" t="inlineStr">
        <is>
          <t>Não</t>
        </is>
      </c>
      <c r="I518" s="7" t="inlineStr">
        <is>
          <t>Doloso</t>
        </is>
      </c>
      <c r="J518" s="7" t="inlineStr">
        <is>
          <t>Sim</t>
        </is>
      </c>
      <c r="K518" s="7" t="inlineStr">
        <is>
          <t>Não</t>
        </is>
      </c>
      <c r="L518" s="7" t="inlineStr">
        <is>
          <t>Não</t>
        </is>
      </c>
      <c r="M518" s="7" t="inlineStr">
        <is>
          <t>Sim</t>
        </is>
      </c>
      <c r="N518" s="7" t="inlineStr">
        <is>
          <t>Não</t>
        </is>
      </c>
      <c r="O518" s="7" t="inlineStr">
        <is>
          <t>Verificar</t>
        </is>
      </c>
      <c r="P518" s="16" t="inlineStr">
        <is>
          <t>3-8 anos reclusão + multa</t>
        </is>
      </c>
    </row>
    <row r="519">
      <c r="A519" s="26" t="inlineStr">
        <is>
          <t>LCP (DL 3.688/41)</t>
        </is>
      </c>
      <c r="B519" s="26" t="inlineStr">
        <is>
          <t>Art. 21</t>
        </is>
      </c>
      <c r="C519" s="27" t="inlineStr">
        <is>
          <t>Vias de fato (agressão física leve, sem lesão corporal)</t>
        </is>
      </c>
      <c r="D519" s="26" t="n">
        <v>0</v>
      </c>
      <c r="E519" s="26" t="n">
        <v>3</v>
      </c>
      <c r="F519" s="26" t="inlineStr">
        <is>
          <t>Prisão simples</t>
        </is>
      </c>
      <c r="G519" s="26" t="inlineStr">
        <is>
          <t>Pública Incondicionada</t>
        </is>
      </c>
      <c r="H519" s="26" t="inlineStr">
        <is>
          <t>Não</t>
        </is>
      </c>
      <c r="I519" s="26" t="inlineStr">
        <is>
          <t>Doloso</t>
        </is>
      </c>
      <c r="J519" s="26" t="inlineStr">
        <is>
          <t>Não</t>
        </is>
      </c>
      <c r="K519" s="26" t="inlineStr">
        <is>
          <t>Sim</t>
        </is>
      </c>
      <c r="L519" s="26" t="inlineStr">
        <is>
          <t>Não</t>
        </is>
      </c>
      <c r="M519" s="26" t="inlineStr">
        <is>
          <t>—</t>
        </is>
      </c>
      <c r="N519" s="26" t="inlineStr">
        <is>
          <t>—</t>
        </is>
      </c>
      <c r="O519" s="26" t="inlineStr">
        <is>
          <t>—</t>
        </is>
      </c>
      <c r="P519" s="27" t="inlineStr">
        <is>
          <t>15 dias a 3 meses prisão simples ou multa. Não admite tentativa (contravenção). Absorvida pela lesão corporal se houver lesão efetiva</t>
        </is>
      </c>
    </row>
    <row r="520">
      <c r="A520" s="7" t="inlineStr">
        <is>
          <t>LCP (DL 3.688/41)</t>
        </is>
      </c>
      <c r="B520" s="7" t="inlineStr">
        <is>
          <t>Art. 31</t>
        </is>
      </c>
      <c r="C520" s="16" t="inlineStr">
        <is>
          <t>Omissão de cautela na guarda ou condução de animais</t>
        </is>
      </c>
      <c r="D520" s="7" t="n">
        <v>0</v>
      </c>
      <c r="E520" s="7" t="n">
        <v>2</v>
      </c>
      <c r="F520" s="7" t="inlineStr">
        <is>
          <t>Prisão simples</t>
        </is>
      </c>
      <c r="G520" s="7" t="inlineStr">
        <is>
          <t>Pública Incondicionada</t>
        </is>
      </c>
      <c r="H520" s="7" t="inlineStr">
        <is>
          <t>Não</t>
        </is>
      </c>
      <c r="I520" s="7" t="inlineStr">
        <is>
          <t>Culposo</t>
        </is>
      </c>
      <c r="J520" s="7" t="inlineStr">
        <is>
          <t>Não</t>
        </is>
      </c>
      <c r="K520" s="7" t="inlineStr">
        <is>
          <t>Não</t>
        </is>
      </c>
      <c r="L520" s="7" t="inlineStr">
        <is>
          <t>Não</t>
        </is>
      </c>
      <c r="M520" s="7" t="inlineStr">
        <is>
          <t>—</t>
        </is>
      </c>
      <c r="N520" s="7" t="inlineStr">
        <is>
          <t>—</t>
        </is>
      </c>
      <c r="O520" s="7" t="inlineStr">
        <is>
          <t>—</t>
        </is>
      </c>
      <c r="P520" s="16" t="inlineStr">
        <is>
          <t>10 dias a 2 meses prisão simples ou multa. Deixar em liberdade animal perigoso</t>
        </is>
      </c>
    </row>
    <row r="521">
      <c r="A521" s="7" t="inlineStr">
        <is>
          <t>LCP (DL 3.688/41)</t>
        </is>
      </c>
      <c r="B521" s="7" t="inlineStr">
        <is>
          <t>Art. 32</t>
        </is>
      </c>
      <c r="C521" s="16" t="inlineStr">
        <is>
          <t>Disparar arma de fogo em lugar habitado (subsidiário ao Estatuto do Desarmamento)</t>
        </is>
      </c>
      <c r="D521" s="7" t="n">
        <v>0</v>
      </c>
      <c r="E521" s="7" t="n">
        <v>3</v>
      </c>
      <c r="F521" s="7" t="inlineStr">
        <is>
          <t>Prisão simples</t>
        </is>
      </c>
      <c r="G521" s="7" t="inlineStr">
        <is>
          <t>Pública Incondicionada</t>
        </is>
      </c>
      <c r="H521" s="7" t="inlineStr">
        <is>
          <t>Não</t>
        </is>
      </c>
      <c r="I521" s="7" t="inlineStr">
        <is>
          <t>Doloso</t>
        </is>
      </c>
      <c r="J521" s="7" t="inlineStr">
        <is>
          <t>Não</t>
        </is>
      </c>
      <c r="K521" s="7" t="inlineStr">
        <is>
          <t>Não</t>
        </is>
      </c>
      <c r="L521" s="7" t="inlineStr">
        <is>
          <t>Não</t>
        </is>
      </c>
      <c r="M521" s="7" t="inlineStr">
        <is>
          <t>—</t>
        </is>
      </c>
      <c r="N521" s="7" t="inlineStr">
        <is>
          <t>—</t>
        </is>
      </c>
      <c r="O521" s="7" t="inlineStr">
        <is>
          <t>—</t>
        </is>
      </c>
      <c r="P521" s="16" t="inlineStr">
        <is>
          <t>REVOGADA TACITAMENTE pelo Art. 15 da Lei 10.826/03 (Estatuto do Desarmamento). Mantida para referência histórica</t>
        </is>
      </c>
    </row>
    <row r="522">
      <c r="A522" s="7" t="inlineStr">
        <is>
          <t>LCP (DL 3.688/41)</t>
        </is>
      </c>
      <c r="B522" s="7" t="inlineStr">
        <is>
          <t>Art. 34</t>
        </is>
      </c>
      <c r="C522" s="16" t="inlineStr">
        <is>
          <t>Direção perigosa de veículo na via pública (subsidiário ao CTB)</t>
        </is>
      </c>
      <c r="D522" s="7" t="n">
        <v>0</v>
      </c>
      <c r="E522" s="7" t="n">
        <v>3</v>
      </c>
      <c r="F522" s="7" t="inlineStr">
        <is>
          <t>Prisão simples</t>
        </is>
      </c>
      <c r="G522" s="7" t="inlineStr">
        <is>
          <t>Pública Incondicionada</t>
        </is>
      </c>
      <c r="H522" s="7" t="inlineStr">
        <is>
          <t>Não</t>
        </is>
      </c>
      <c r="I522" s="7" t="inlineStr">
        <is>
          <t>Doloso</t>
        </is>
      </c>
      <c r="J522" s="7" t="inlineStr">
        <is>
          <t>Não</t>
        </is>
      </c>
      <c r="K522" s="7" t="inlineStr">
        <is>
          <t>Não</t>
        </is>
      </c>
      <c r="L522" s="7" t="inlineStr">
        <is>
          <t>Não</t>
        </is>
      </c>
      <c r="M522" s="7" t="inlineStr">
        <is>
          <t>—</t>
        </is>
      </c>
      <c r="N522" s="7" t="inlineStr">
        <is>
          <t>—</t>
        </is>
      </c>
      <c r="O522" s="7" t="inlineStr">
        <is>
          <t>—</t>
        </is>
      </c>
      <c r="P522" s="16" t="inlineStr">
        <is>
          <t>15 dias a 3 meses prisão simples ou multa. Subsidiária ao CTB (Arts. 306-312)</t>
        </is>
      </c>
    </row>
    <row r="523">
      <c r="A523" s="7" t="inlineStr">
        <is>
          <t>LCP (DL 3.688/41)</t>
        </is>
      </c>
      <c r="B523" s="7" t="inlineStr">
        <is>
          <t>Art. 40</t>
        </is>
      </c>
      <c r="C523" s="16" t="inlineStr">
        <is>
          <t>Provocação de tumulto ou conduta inconveniente em eventos públicos</t>
        </is>
      </c>
      <c r="D523" s="7" t="n">
        <v>0</v>
      </c>
      <c r="E523" s="7" t="n">
        <v>2</v>
      </c>
      <c r="F523" s="7" t="inlineStr">
        <is>
          <t>Prisão simples</t>
        </is>
      </c>
      <c r="G523" s="7" t="inlineStr">
        <is>
          <t>Pública Incondicionada</t>
        </is>
      </c>
      <c r="H523" s="7" t="inlineStr">
        <is>
          <t>Não</t>
        </is>
      </c>
      <c r="I523" s="7" t="inlineStr">
        <is>
          <t>Doloso</t>
        </is>
      </c>
      <c r="J523" s="7" t="inlineStr">
        <is>
          <t>Não</t>
        </is>
      </c>
      <c r="K523" s="7" t="inlineStr">
        <is>
          <t>Não</t>
        </is>
      </c>
      <c r="L523" s="7" t="inlineStr">
        <is>
          <t>Não</t>
        </is>
      </c>
      <c r="M523" s="7" t="inlineStr">
        <is>
          <t>—</t>
        </is>
      </c>
      <c r="N523" s="7" t="inlineStr">
        <is>
          <t>—</t>
        </is>
      </c>
      <c r="O523" s="7" t="inlineStr">
        <is>
          <t>—</t>
        </is>
      </c>
      <c r="P523" s="16" t="inlineStr">
        <is>
          <t>15 dias a 2 meses prisão simples ou multa</t>
        </is>
      </c>
    </row>
    <row r="524">
      <c r="A524" s="7" t="inlineStr">
        <is>
          <t>LCP (DL 3.688/41)</t>
        </is>
      </c>
      <c r="B524" s="7" t="inlineStr">
        <is>
          <t>Art. 42</t>
        </is>
      </c>
      <c r="C524" s="16" t="inlineStr">
        <is>
          <t>Perturbação do trabalho ou do sossego alheios (ruído excessivo, algazarra)</t>
        </is>
      </c>
      <c r="D524" s="7" t="n">
        <v>0</v>
      </c>
      <c r="E524" s="7" t="n">
        <v>3</v>
      </c>
      <c r="F524" s="7" t="inlineStr">
        <is>
          <t>Prisão simples</t>
        </is>
      </c>
      <c r="G524" s="7" t="inlineStr">
        <is>
          <t>Pública Incondicionada</t>
        </is>
      </c>
      <c r="H524" s="7" t="inlineStr">
        <is>
          <t>Não</t>
        </is>
      </c>
      <c r="I524" s="7" t="inlineStr">
        <is>
          <t>Doloso</t>
        </is>
      </c>
      <c r="J524" s="7" t="inlineStr">
        <is>
          <t>Não</t>
        </is>
      </c>
      <c r="K524" s="7" t="inlineStr">
        <is>
          <t>Não</t>
        </is>
      </c>
      <c r="L524" s="7" t="inlineStr">
        <is>
          <t>Não</t>
        </is>
      </c>
      <c r="M524" s="7" t="inlineStr">
        <is>
          <t>—</t>
        </is>
      </c>
      <c r="N524" s="7" t="inlineStr">
        <is>
          <t>—</t>
        </is>
      </c>
      <c r="O524" s="7" t="inlineStr">
        <is>
          <t>—</t>
        </is>
      </c>
      <c r="P524" s="16" t="inlineStr">
        <is>
          <t>15 dias a 3 meses prisão simples ou multa</t>
        </is>
      </c>
    </row>
    <row r="525">
      <c r="A525" s="7" t="inlineStr">
        <is>
          <t>LCP (DL 3.688/41)</t>
        </is>
      </c>
      <c r="B525" s="7" t="inlineStr">
        <is>
          <t>Art. 50</t>
        </is>
      </c>
      <c r="C525" s="16" t="inlineStr">
        <is>
          <t>Jogo de azar (estabelecer ou explorar)</t>
        </is>
      </c>
      <c r="D525" s="7" t="n">
        <v>0</v>
      </c>
      <c r="E525" s="7" t="n">
        <v>12</v>
      </c>
      <c r="F525" s="7" t="inlineStr">
        <is>
          <t>Prisão simples</t>
        </is>
      </c>
      <c r="G525" s="7" t="inlineStr">
        <is>
          <t>Pública Incondicionada</t>
        </is>
      </c>
      <c r="H525" s="7" t="inlineStr">
        <is>
          <t>Não</t>
        </is>
      </c>
      <c r="I525" s="7" t="inlineStr">
        <is>
          <t>Doloso</t>
        </is>
      </c>
      <c r="J525" s="7" t="inlineStr">
        <is>
          <t>Não</t>
        </is>
      </c>
      <c r="K525" s="7" t="inlineStr">
        <is>
          <t>Não</t>
        </is>
      </c>
      <c r="L525" s="7" t="inlineStr">
        <is>
          <t>Não</t>
        </is>
      </c>
      <c r="M525" s="7" t="inlineStr">
        <is>
          <t>—</t>
        </is>
      </c>
      <c r="N525" s="7" t="inlineStr">
        <is>
          <t>—</t>
        </is>
      </c>
      <c r="O525" s="7" t="inlineStr">
        <is>
          <t>—</t>
        </is>
      </c>
      <c r="P525" s="16" t="inlineStr">
        <is>
          <t>3 meses a 1 ano prisão simples + multa. §3º: se for gerente/banqueiro do jogo: aumento de 1/3</t>
        </is>
      </c>
    </row>
    <row r="526">
      <c r="A526" s="7" t="inlineStr">
        <is>
          <t>LCP (DL 3.688/41)</t>
        </is>
      </c>
      <c r="B526" s="7" t="inlineStr">
        <is>
          <t>Art. 58</t>
        </is>
      </c>
      <c r="C526" s="16" t="inlineStr">
        <is>
          <t>Jogo do bicho (explorar)</t>
        </is>
      </c>
      <c r="D526" s="7" t="n">
        <v>0</v>
      </c>
      <c r="E526" s="7" t="n">
        <v>12</v>
      </c>
      <c r="F526" s="7" t="inlineStr">
        <is>
          <t>Prisão simples</t>
        </is>
      </c>
      <c r="G526" s="7" t="inlineStr">
        <is>
          <t>Pública Incondicionada</t>
        </is>
      </c>
      <c r="H526" s="7" t="inlineStr">
        <is>
          <t>Não</t>
        </is>
      </c>
      <c r="I526" s="7" t="inlineStr">
        <is>
          <t>Doloso</t>
        </is>
      </c>
      <c r="J526" s="7" t="inlineStr">
        <is>
          <t>Não</t>
        </is>
      </c>
      <c r="K526" s="7" t="inlineStr">
        <is>
          <t>Não</t>
        </is>
      </c>
      <c r="L526" s="7" t="inlineStr">
        <is>
          <t>Não</t>
        </is>
      </c>
      <c r="M526" s="7" t="inlineStr">
        <is>
          <t>—</t>
        </is>
      </c>
      <c r="N526" s="7" t="inlineStr">
        <is>
          <t>—</t>
        </is>
      </c>
      <c r="O526" s="7" t="inlineStr">
        <is>
          <t>—</t>
        </is>
      </c>
      <c r="P526" s="16" t="inlineStr">
        <is>
          <t>4 meses a 1 ano prisão simples + multa. §único: se reincidente: +1/3</t>
        </is>
      </c>
    </row>
    <row r="527">
      <c r="A527" s="7" t="inlineStr">
        <is>
          <t>LCP (DL 3.688/41)</t>
        </is>
      </c>
      <c r="B527" s="7" t="inlineStr">
        <is>
          <t>Art. 65</t>
        </is>
      </c>
      <c r="C527" s="16" t="inlineStr">
        <is>
          <t>Perturbação da tranquilidade (molestar alguém ou perturbar-lhe a tranquilidade por acinte ou motivo reprovável)</t>
        </is>
      </c>
      <c r="D527" s="7" t="n">
        <v>0</v>
      </c>
      <c r="E527" s="7" t="n">
        <v>2</v>
      </c>
      <c r="F527" s="7" t="inlineStr">
        <is>
          <t>Prisão simples</t>
        </is>
      </c>
      <c r="G527" s="7" t="inlineStr">
        <is>
          <t>Pública Incondicionada</t>
        </is>
      </c>
      <c r="H527" s="7" t="inlineStr">
        <is>
          <t>Não</t>
        </is>
      </c>
      <c r="I527" s="7" t="inlineStr">
        <is>
          <t>Doloso</t>
        </is>
      </c>
      <c r="J527" s="7" t="inlineStr">
        <is>
          <t>Não</t>
        </is>
      </c>
      <c r="K527" s="7" t="inlineStr">
        <is>
          <t>Não</t>
        </is>
      </c>
      <c r="L527" s="7" t="inlineStr">
        <is>
          <t>Não</t>
        </is>
      </c>
      <c r="M527" s="7" t="inlineStr">
        <is>
          <t>—</t>
        </is>
      </c>
      <c r="N527" s="7" t="inlineStr">
        <is>
          <t>—</t>
        </is>
      </c>
      <c r="O527" s="7" t="inlineStr">
        <is>
          <t>—</t>
        </is>
      </c>
      <c r="P527" s="16" t="inlineStr">
        <is>
          <t>15 dias a 2 meses prisão simples ou multa</t>
        </is>
      </c>
    </row>
    <row r="528">
      <c r="A528" s="7" t="inlineStr">
        <is>
          <t>CDC (Lei 8.078/90)</t>
        </is>
      </c>
      <c r="B528" s="7" t="inlineStr">
        <is>
          <t>Art. 63</t>
        </is>
      </c>
      <c r="C528" s="16" t="inlineStr">
        <is>
          <t>Omitir dizeres ou sinais ostensivos sobre a nocividade ou periculosidade de produtos</t>
        </is>
      </c>
      <c r="D528" s="7" t="n">
        <v>6</v>
      </c>
      <c r="E528" s="7" t="n">
        <v>24</v>
      </c>
      <c r="F528" s="7" t="inlineStr">
        <is>
          <t>Detenção</t>
        </is>
      </c>
      <c r="G528" s="7" t="inlineStr">
        <is>
          <t>Pública Incondicionada</t>
        </is>
      </c>
      <c r="H528" s="7" t="inlineStr">
        <is>
          <t>Não</t>
        </is>
      </c>
      <c r="I528" s="7" t="inlineStr">
        <is>
          <t>Doloso</t>
        </is>
      </c>
      <c r="J528" s="7" t="inlineStr">
        <is>
          <t>Sim</t>
        </is>
      </c>
      <c r="K528" s="7" t="inlineStr">
        <is>
          <t>Não</t>
        </is>
      </c>
      <c r="L528" s="7" t="inlineStr">
        <is>
          <t>Não</t>
        </is>
      </c>
      <c r="M528" s="7" t="inlineStr">
        <is>
          <t>Sim</t>
        </is>
      </c>
      <c r="N528" s="7" t="inlineStr">
        <is>
          <t>Sim</t>
        </is>
      </c>
      <c r="O528" s="7" t="inlineStr">
        <is>
          <t>Sim</t>
        </is>
      </c>
      <c r="P528" s="16" t="inlineStr">
        <is>
          <t>6 meses a 2 anos detenção + multa. §2º: culposo: 1-6 meses detenção</t>
        </is>
      </c>
    </row>
    <row r="529">
      <c r="A529" s="7" t="inlineStr">
        <is>
          <t>CDC (Lei 8.078/90)</t>
        </is>
      </c>
      <c r="B529" s="7" t="inlineStr">
        <is>
          <t>Art. 64</t>
        </is>
      </c>
      <c r="C529" s="16" t="inlineStr">
        <is>
          <t>Deixar de comunicar à autoridade competente e aos consumidores a nocividade ou periculosidade de produtos cujo conhecimento seja posterior à sua colocação no mercado</t>
        </is>
      </c>
      <c r="D529" s="7" t="n">
        <v>6</v>
      </c>
      <c r="E529" s="7" t="n">
        <v>24</v>
      </c>
      <c r="F529" s="7" t="inlineStr">
        <is>
          <t>Detenção</t>
        </is>
      </c>
      <c r="G529" s="7" t="inlineStr">
        <is>
          <t>Pública Incondicionada</t>
        </is>
      </c>
      <c r="H529" s="7" t="inlineStr">
        <is>
          <t>Não</t>
        </is>
      </c>
      <c r="I529" s="7" t="inlineStr">
        <is>
          <t>Doloso</t>
        </is>
      </c>
      <c r="J529" s="7" t="inlineStr">
        <is>
          <t>Não</t>
        </is>
      </c>
      <c r="K529" s="7" t="inlineStr">
        <is>
          <t>Não</t>
        </is>
      </c>
      <c r="L529" s="7" t="inlineStr">
        <is>
          <t>Não</t>
        </is>
      </c>
      <c r="M529" s="7" t="inlineStr">
        <is>
          <t>Sim</t>
        </is>
      </c>
      <c r="N529" s="7" t="inlineStr">
        <is>
          <t>Sim</t>
        </is>
      </c>
      <c r="O529" s="7" t="inlineStr">
        <is>
          <t>Sim</t>
        </is>
      </c>
      <c r="P529" s="16" t="inlineStr">
        <is>
          <t>6 meses a 2 anos detenção + multa</t>
        </is>
      </c>
    </row>
    <row r="530">
      <c r="A530" s="7" t="inlineStr">
        <is>
          <t>CDC (Lei 8.078/90)</t>
        </is>
      </c>
      <c r="B530" s="7" t="inlineStr">
        <is>
          <t>Art. 65</t>
        </is>
      </c>
      <c r="C530" s="16" t="inlineStr">
        <is>
          <t>Executar serviço de alto grau de periculosidade contrariando determinação de autoridade competente</t>
        </is>
      </c>
      <c r="D530" s="7" t="n">
        <v>6</v>
      </c>
      <c r="E530" s="7" t="n">
        <v>24</v>
      </c>
      <c r="F530" s="7" t="inlineStr">
        <is>
          <t>Detenção</t>
        </is>
      </c>
      <c r="G530" s="7" t="inlineStr">
        <is>
          <t>Pública Incondicionada</t>
        </is>
      </c>
      <c r="H530" s="7" t="inlineStr">
        <is>
          <t>Não</t>
        </is>
      </c>
      <c r="I530" s="7" t="inlineStr">
        <is>
          <t>Doloso</t>
        </is>
      </c>
      <c r="J530" s="7" t="inlineStr">
        <is>
          <t>Sim</t>
        </is>
      </c>
      <c r="K530" s="7" t="inlineStr">
        <is>
          <t>Não</t>
        </is>
      </c>
      <c r="L530" s="7" t="inlineStr">
        <is>
          <t>Não</t>
        </is>
      </c>
      <c r="M530" s="7" t="inlineStr">
        <is>
          <t>Sim</t>
        </is>
      </c>
      <c r="N530" s="7" t="inlineStr">
        <is>
          <t>Sim</t>
        </is>
      </c>
      <c r="O530" s="7" t="inlineStr">
        <is>
          <t>Sim</t>
        </is>
      </c>
      <c r="P530" s="16" t="inlineStr">
        <is>
          <t>6 meses a 2 anos detenção + multa</t>
        </is>
      </c>
    </row>
    <row r="531">
      <c r="A531" s="7" t="inlineStr">
        <is>
          <t>CDC (Lei 8.078/90)</t>
        </is>
      </c>
      <c r="B531" s="7" t="inlineStr">
        <is>
          <t>Art. 66</t>
        </is>
      </c>
      <c r="C531" s="16" t="inlineStr">
        <is>
          <t>Fazer afirmação falsa ou enganosa/omitir informação relevante sobre produto ou serviço</t>
        </is>
      </c>
      <c r="D531" s="7" t="n">
        <v>3</v>
      </c>
      <c r="E531" s="7" t="n">
        <v>12</v>
      </c>
      <c r="F531" s="7" t="inlineStr">
        <is>
          <t>Detenção</t>
        </is>
      </c>
      <c r="G531" s="7" t="inlineStr">
        <is>
          <t>Pública Incondicionada</t>
        </is>
      </c>
      <c r="H531" s="7" t="inlineStr">
        <is>
          <t>Não</t>
        </is>
      </c>
      <c r="I531" s="7" t="inlineStr">
        <is>
          <t>Doloso</t>
        </is>
      </c>
      <c r="J531" s="7" t="inlineStr">
        <is>
          <t>Sim</t>
        </is>
      </c>
      <c r="K531" s="7" t="inlineStr">
        <is>
          <t>Não</t>
        </is>
      </c>
      <c r="L531" s="7" t="inlineStr">
        <is>
          <t>Não</t>
        </is>
      </c>
      <c r="M531" s="7" t="inlineStr">
        <is>
          <t>Sim</t>
        </is>
      </c>
      <c r="N531" s="7" t="inlineStr">
        <is>
          <t>Sim</t>
        </is>
      </c>
      <c r="O531" s="7" t="inlineStr">
        <is>
          <t>Sim</t>
        </is>
      </c>
      <c r="P531" s="16" t="inlineStr">
        <is>
          <t>3 meses a 1 ano detenção + multa. §2º: culposo: 1-6 meses detenção</t>
        </is>
      </c>
    </row>
    <row r="532">
      <c r="A532" s="7" t="inlineStr">
        <is>
          <t>CDC (Lei 8.078/90)</t>
        </is>
      </c>
      <c r="B532" s="7" t="inlineStr">
        <is>
          <t>Art. 67</t>
        </is>
      </c>
      <c r="C532" s="16" t="inlineStr">
        <is>
          <t>Publicidade enganosa ou abusiva</t>
        </is>
      </c>
      <c r="D532" s="7" t="n">
        <v>3</v>
      </c>
      <c r="E532" s="7" t="n">
        <v>12</v>
      </c>
      <c r="F532" s="7" t="inlineStr">
        <is>
          <t>Detenção</t>
        </is>
      </c>
      <c r="G532" s="7" t="inlineStr">
        <is>
          <t>Pública Incondicionada</t>
        </is>
      </c>
      <c r="H532" s="7" t="inlineStr">
        <is>
          <t>Não</t>
        </is>
      </c>
      <c r="I532" s="7" t="inlineStr">
        <is>
          <t>Doloso</t>
        </is>
      </c>
      <c r="J532" s="7" t="inlineStr">
        <is>
          <t>Sim</t>
        </is>
      </c>
      <c r="K532" s="7" t="inlineStr">
        <is>
          <t>Não</t>
        </is>
      </c>
      <c r="L532" s="7" t="inlineStr">
        <is>
          <t>Não</t>
        </is>
      </c>
      <c r="M532" s="7" t="inlineStr">
        <is>
          <t>Sim</t>
        </is>
      </c>
      <c r="N532" s="7" t="inlineStr">
        <is>
          <t>Sim</t>
        </is>
      </c>
      <c r="O532" s="7" t="inlineStr">
        <is>
          <t>Sim</t>
        </is>
      </c>
      <c r="P532" s="16" t="inlineStr">
        <is>
          <t>3 meses a 1 ano detenção + multa</t>
        </is>
      </c>
    </row>
    <row r="533">
      <c r="A533" s="7" t="inlineStr">
        <is>
          <t>CDC (Lei 8.078/90)</t>
        </is>
      </c>
      <c r="B533" s="7" t="inlineStr">
        <is>
          <t>Art. 68</t>
        </is>
      </c>
      <c r="C533" s="16" t="inlineStr">
        <is>
          <t>Publicidade de produto ou serviço que sabe ou deveria saber ser capaz de provocar acidente de consumo</t>
        </is>
      </c>
      <c r="D533" s="7" t="n">
        <v>6</v>
      </c>
      <c r="E533" s="7" t="n">
        <v>24</v>
      </c>
      <c r="F533" s="7" t="inlineStr">
        <is>
          <t>Detenção</t>
        </is>
      </c>
      <c r="G533" s="7" t="inlineStr">
        <is>
          <t>Pública Incondicionada</t>
        </is>
      </c>
      <c r="H533" s="7" t="inlineStr">
        <is>
          <t>Não</t>
        </is>
      </c>
      <c r="I533" s="7" t="inlineStr">
        <is>
          <t>Doloso</t>
        </is>
      </c>
      <c r="J533" s="7" t="inlineStr">
        <is>
          <t>Sim</t>
        </is>
      </c>
      <c r="K533" s="7" t="inlineStr">
        <is>
          <t>Não</t>
        </is>
      </c>
      <c r="L533" s="7" t="inlineStr">
        <is>
          <t>Não</t>
        </is>
      </c>
      <c r="M533" s="7" t="inlineStr">
        <is>
          <t>Sim</t>
        </is>
      </c>
      <c r="N533" s="7" t="inlineStr">
        <is>
          <t>Sim</t>
        </is>
      </c>
      <c r="O533" s="7" t="inlineStr">
        <is>
          <t>Sim</t>
        </is>
      </c>
      <c r="P533" s="16" t="inlineStr">
        <is>
          <t>6 meses a 2 anos detenção + multa</t>
        </is>
      </c>
    </row>
    <row r="534">
      <c r="A534" s="7" t="inlineStr">
        <is>
          <t>CDC (Lei 8.078/90)</t>
        </is>
      </c>
      <c r="B534" s="7" t="inlineStr">
        <is>
          <t>Art. 69</t>
        </is>
      </c>
      <c r="C534" s="16" t="inlineStr">
        <is>
          <t>Deixar de organizar dados fáticos/técnicos/científicos que dão base à publicidade</t>
        </is>
      </c>
      <c r="D534" s="7" t="n">
        <v>1</v>
      </c>
      <c r="E534" s="7" t="n">
        <v>6</v>
      </c>
      <c r="F534" s="7" t="inlineStr">
        <is>
          <t>Detenção</t>
        </is>
      </c>
      <c r="G534" s="7" t="inlineStr">
        <is>
          <t>Pública Incondicionada</t>
        </is>
      </c>
      <c r="H534" s="7" t="inlineStr">
        <is>
          <t>Não</t>
        </is>
      </c>
      <c r="I534" s="7" t="inlineStr">
        <is>
          <t>Doloso</t>
        </is>
      </c>
      <c r="J534" s="7" t="inlineStr">
        <is>
          <t>Não</t>
        </is>
      </c>
      <c r="K534" s="7" t="inlineStr">
        <is>
          <t>Não</t>
        </is>
      </c>
      <c r="L534" s="7" t="inlineStr">
        <is>
          <t>Não</t>
        </is>
      </c>
      <c r="M534" s="7" t="inlineStr">
        <is>
          <t>Sim</t>
        </is>
      </c>
      <c r="N534" s="7" t="inlineStr">
        <is>
          <t>Sim</t>
        </is>
      </c>
      <c r="O534" s="7" t="inlineStr">
        <is>
          <t>Sim</t>
        </is>
      </c>
      <c r="P534" s="16" t="inlineStr">
        <is>
          <t>1-6 meses detenção ou multa</t>
        </is>
      </c>
    </row>
    <row r="535">
      <c r="A535" s="7" t="inlineStr">
        <is>
          <t>CDC (Lei 8.078/90)</t>
        </is>
      </c>
      <c r="B535" s="7" t="inlineStr">
        <is>
          <t>Art. 70</t>
        </is>
      </c>
      <c r="C535" s="16" t="inlineStr">
        <is>
          <t>Empregar, na reparação de produtos, peças ou componentes de reposição usados sem autorização do consumidor</t>
        </is>
      </c>
      <c r="D535" s="7" t="n">
        <v>3</v>
      </c>
      <c r="E535" s="7" t="n">
        <v>12</v>
      </c>
      <c r="F535" s="7" t="inlineStr">
        <is>
          <t>Detenção</t>
        </is>
      </c>
      <c r="G535" s="7" t="inlineStr">
        <is>
          <t>Pública Incondicionada</t>
        </is>
      </c>
      <c r="H535" s="7" t="inlineStr">
        <is>
          <t>Não</t>
        </is>
      </c>
      <c r="I535" s="7" t="inlineStr">
        <is>
          <t>Doloso</t>
        </is>
      </c>
      <c r="J535" s="7" t="inlineStr">
        <is>
          <t>Sim</t>
        </is>
      </c>
      <c r="K535" s="7" t="inlineStr">
        <is>
          <t>Não</t>
        </is>
      </c>
      <c r="L535" s="7" t="inlineStr">
        <is>
          <t>Não</t>
        </is>
      </c>
      <c r="M535" s="7" t="inlineStr">
        <is>
          <t>Sim</t>
        </is>
      </c>
      <c r="N535" s="7" t="inlineStr">
        <is>
          <t>Sim</t>
        </is>
      </c>
      <c r="O535" s="7" t="inlineStr">
        <is>
          <t>Sim</t>
        </is>
      </c>
      <c r="P535" s="16" t="inlineStr">
        <is>
          <t>3 meses a 1 ano detenção + multa</t>
        </is>
      </c>
    </row>
    <row r="536">
      <c r="A536" s="26" t="inlineStr">
        <is>
          <t>CDC (Lei 8.078/90)</t>
        </is>
      </c>
      <c r="B536" s="26" t="inlineStr">
        <is>
          <t>Art. 71</t>
        </is>
      </c>
      <c r="C536" s="27" t="inlineStr">
        <is>
          <t>Cobranças de dívidas com ameaça/constrangimento/exposição ao ridículo ou interferência em trabalho/descanso/lazer</t>
        </is>
      </c>
      <c r="D536" s="26" t="n">
        <v>3</v>
      </c>
      <c r="E536" s="26" t="n">
        <v>12</v>
      </c>
      <c r="F536" s="26" t="inlineStr">
        <is>
          <t>Detenção</t>
        </is>
      </c>
      <c r="G536" s="26" t="inlineStr">
        <is>
          <t>Pública Incondicionada</t>
        </is>
      </c>
      <c r="H536" s="26" t="inlineStr">
        <is>
          <t>Não</t>
        </is>
      </c>
      <c r="I536" s="26" t="inlineStr">
        <is>
          <t>Doloso</t>
        </is>
      </c>
      <c r="J536" s="26" t="inlineStr">
        <is>
          <t>Sim</t>
        </is>
      </c>
      <c r="K536" s="26" t="inlineStr">
        <is>
          <t>Não</t>
        </is>
      </c>
      <c r="L536" s="26" t="inlineStr">
        <is>
          <t>Sim</t>
        </is>
      </c>
      <c r="M536" s="26" t="inlineStr">
        <is>
          <t>Não</t>
        </is>
      </c>
      <c r="N536" s="26" t="inlineStr">
        <is>
          <t>Sim</t>
        </is>
      </c>
      <c r="O536" s="26" t="inlineStr">
        <is>
          <t>Sim</t>
        </is>
      </c>
      <c r="P536" s="27" t="inlineStr">
        <is>
          <t>3 meses a 1 ano detenção + multa</t>
        </is>
      </c>
    </row>
    <row r="537">
      <c r="A537" s="7" t="inlineStr">
        <is>
          <t>CDC (Lei 8.078/90)</t>
        </is>
      </c>
      <c r="B537" s="7" t="inlineStr">
        <is>
          <t>Art. 72</t>
        </is>
      </c>
      <c r="C537" s="16" t="inlineStr">
        <is>
          <t>Impedir ou dificultar acesso do consumidor a informações que sobre ele constem em cadastros/banco de dados/fichas/registros</t>
        </is>
      </c>
      <c r="D537" s="7" t="n">
        <v>6</v>
      </c>
      <c r="E537" s="7" t="n">
        <v>12</v>
      </c>
      <c r="F537" s="7" t="inlineStr">
        <is>
          <t>Detenção</t>
        </is>
      </c>
      <c r="G537" s="7" t="inlineStr">
        <is>
          <t>Pública Incondicionada</t>
        </is>
      </c>
      <c r="H537" s="7" t="inlineStr">
        <is>
          <t>Não</t>
        </is>
      </c>
      <c r="I537" s="7" t="inlineStr">
        <is>
          <t>Doloso</t>
        </is>
      </c>
      <c r="J537" s="7" t="inlineStr">
        <is>
          <t>Sim</t>
        </is>
      </c>
      <c r="K537" s="7" t="inlineStr">
        <is>
          <t>Não</t>
        </is>
      </c>
      <c r="L537" s="7" t="inlineStr">
        <is>
          <t>Não</t>
        </is>
      </c>
      <c r="M537" s="7" t="inlineStr">
        <is>
          <t>Sim</t>
        </is>
      </c>
      <c r="N537" s="7" t="inlineStr">
        <is>
          <t>Sim</t>
        </is>
      </c>
      <c r="O537" s="7" t="inlineStr">
        <is>
          <t>Sim</t>
        </is>
      </c>
      <c r="P537" s="16" t="inlineStr">
        <is>
          <t>6 meses a 1 ano detenção ou multa</t>
        </is>
      </c>
    </row>
    <row r="538">
      <c r="A538" s="7" t="inlineStr">
        <is>
          <t>CDC (Lei 8.078/90)</t>
        </is>
      </c>
      <c r="B538" s="7" t="inlineStr">
        <is>
          <t>Art. 73</t>
        </is>
      </c>
      <c r="C538" s="16" t="inlineStr">
        <is>
          <t>Deixar de corrigir imediatamente informação sobre consumidor constante de banco de dados/cadastro, quando sabidamente inexata</t>
        </is>
      </c>
      <c r="D538" s="7" t="n">
        <v>12</v>
      </c>
      <c r="E538" s="7" t="n">
        <v>60</v>
      </c>
      <c r="F538" s="7" t="inlineStr">
        <is>
          <t>Detenção</t>
        </is>
      </c>
      <c r="G538" s="7" t="inlineStr">
        <is>
          <t>Pública Incondicionada</t>
        </is>
      </c>
      <c r="H538" s="7" t="inlineStr">
        <is>
          <t>Não</t>
        </is>
      </c>
      <c r="I538" s="7" t="inlineStr">
        <is>
          <t>Doloso</t>
        </is>
      </c>
      <c r="J538" s="7" t="inlineStr">
        <is>
          <t>Não</t>
        </is>
      </c>
      <c r="K538" s="7" t="inlineStr">
        <is>
          <t>Não</t>
        </is>
      </c>
      <c r="L538" s="7" t="inlineStr">
        <is>
          <t>Não</t>
        </is>
      </c>
      <c r="M538" s="7" t="inlineStr">
        <is>
          <t>Sim</t>
        </is>
      </c>
      <c r="N538" s="7" t="inlineStr">
        <is>
          <t>Sim</t>
        </is>
      </c>
      <c r="O538" s="7" t="inlineStr">
        <is>
          <t>Sim</t>
        </is>
      </c>
      <c r="P538" s="16" t="inlineStr">
        <is>
          <t>1-5 anos detenção ou multa</t>
        </is>
      </c>
    </row>
    <row r="539">
      <c r="A539" s="7" t="inlineStr">
        <is>
          <t>CDC (Lei 8.078/90)</t>
        </is>
      </c>
      <c r="B539" s="7" t="inlineStr">
        <is>
          <t>Art. 74</t>
        </is>
      </c>
      <c r="C539" s="16" t="inlineStr">
        <is>
          <t>Deixar de entregar ao consumidor o termo de garantia adequadamente preenchido e com especificação clara de seu conteúdo</t>
        </is>
      </c>
      <c r="D539" s="7" t="n">
        <v>1</v>
      </c>
      <c r="E539" s="7" t="n">
        <v>6</v>
      </c>
      <c r="F539" s="7" t="inlineStr">
        <is>
          <t>Detenção</t>
        </is>
      </c>
      <c r="G539" s="7" t="inlineStr">
        <is>
          <t>Pública Incondicionada</t>
        </is>
      </c>
      <c r="H539" s="7" t="inlineStr">
        <is>
          <t>Não</t>
        </is>
      </c>
      <c r="I539" s="7" t="inlineStr">
        <is>
          <t>Doloso</t>
        </is>
      </c>
      <c r="J539" s="7" t="inlineStr">
        <is>
          <t>Não</t>
        </is>
      </c>
      <c r="K539" s="7" t="inlineStr">
        <is>
          <t>Não</t>
        </is>
      </c>
      <c r="L539" s="7" t="inlineStr">
        <is>
          <t>Não</t>
        </is>
      </c>
      <c r="M539" s="7" t="inlineStr">
        <is>
          <t>Sim</t>
        </is>
      </c>
      <c r="N539" s="7" t="inlineStr">
        <is>
          <t>Sim</t>
        </is>
      </c>
      <c r="O539" s="7" t="inlineStr">
        <is>
          <t>Sim</t>
        </is>
      </c>
      <c r="P539" s="16" t="inlineStr">
        <is>
          <t>1-6 meses detenção ou multa</t>
        </is>
      </c>
    </row>
    <row r="540">
      <c r="A540" s="7" t="inlineStr">
        <is>
          <t>Lei 1.521/51</t>
        </is>
      </c>
      <c r="B540" s="7" t="inlineStr">
        <is>
          <t>Art. 2º, IX</t>
        </is>
      </c>
      <c r="C540" s="16" t="inlineStr">
        <is>
          <t>Usura (cobrar juros/comissões/descontos acima dos tabelados/permitidos)</t>
        </is>
      </c>
      <c r="D540" s="7" t="n">
        <v>6</v>
      </c>
      <c r="E540" s="7" t="n">
        <v>24</v>
      </c>
      <c r="F540" s="7" t="inlineStr">
        <is>
          <t>Detenção</t>
        </is>
      </c>
      <c r="G540" s="7" t="inlineStr">
        <is>
          <t>Pública Incondicionada</t>
        </is>
      </c>
      <c r="H540" s="7" t="inlineStr">
        <is>
          <t>Não</t>
        </is>
      </c>
      <c r="I540" s="7" t="inlineStr">
        <is>
          <t>Doloso</t>
        </is>
      </c>
      <c r="J540" s="7" t="inlineStr">
        <is>
          <t>Sim</t>
        </is>
      </c>
      <c r="K540" s="7" t="inlineStr">
        <is>
          <t>Não</t>
        </is>
      </c>
      <c r="L540" s="7" t="inlineStr">
        <is>
          <t>Não</t>
        </is>
      </c>
      <c r="M540" s="7" t="inlineStr">
        <is>
          <t>Sim</t>
        </is>
      </c>
      <c r="N540" s="7" t="inlineStr">
        <is>
          <t>Sim</t>
        </is>
      </c>
      <c r="O540" s="7" t="inlineStr">
        <is>
          <t>Sim</t>
        </is>
      </c>
      <c r="P540" s="16" t="inlineStr">
        <is>
          <t>6 meses a 2 anos detenção + multa</t>
        </is>
      </c>
    </row>
    <row r="541">
      <c r="A541" s="7" t="inlineStr">
        <is>
          <t>Lei 1.521/51</t>
        </is>
      </c>
      <c r="B541" s="7" t="inlineStr">
        <is>
          <t>Art. 2º, IV</t>
        </is>
      </c>
      <c r="C541" s="16" t="inlineStr">
        <is>
          <t>Açambarcamento (reter matérias-primas/mercadorias para provocar alta de preços)</t>
        </is>
      </c>
      <c r="D541" s="7" t="n">
        <v>6</v>
      </c>
      <c r="E541" s="7" t="n">
        <v>24</v>
      </c>
      <c r="F541" s="7" t="inlineStr">
        <is>
          <t>Detenção</t>
        </is>
      </c>
      <c r="G541" s="7" t="inlineStr">
        <is>
          <t>Pública Incondicionada</t>
        </is>
      </c>
      <c r="H541" s="7" t="inlineStr">
        <is>
          <t>Não</t>
        </is>
      </c>
      <c r="I541" s="7" t="inlineStr">
        <is>
          <t>Doloso</t>
        </is>
      </c>
      <c r="J541" s="7" t="inlineStr">
        <is>
          <t>Sim</t>
        </is>
      </c>
      <c r="K541" s="7" t="inlineStr">
        <is>
          <t>Não</t>
        </is>
      </c>
      <c r="L541" s="7" t="inlineStr">
        <is>
          <t>Não</t>
        </is>
      </c>
      <c r="M541" s="7" t="inlineStr">
        <is>
          <t>Sim</t>
        </is>
      </c>
      <c r="N541" s="7" t="inlineStr">
        <is>
          <t>Sim</t>
        </is>
      </c>
      <c r="O541" s="7" t="inlineStr">
        <is>
          <t>Sim</t>
        </is>
      </c>
      <c r="P541" s="16" t="inlineStr">
        <is>
          <t>6 meses a 2 anos detenção + multa</t>
        </is>
      </c>
    </row>
    <row r="542">
      <c r="A542" s="7" t="inlineStr">
        <is>
          <t>Lei 1.521/51</t>
        </is>
      </c>
      <c r="B542" s="7" t="inlineStr">
        <is>
          <t>Art. 3º</t>
        </is>
      </c>
      <c r="C542" s="16" t="inlineStr">
        <is>
          <t>Pirâmide financeira / fraude contra a economia popular (promessa de dividendos/lucros fixos)</t>
        </is>
      </c>
      <c r="D542" s="7" t="n">
        <v>6</v>
      </c>
      <c r="E542" s="7" t="n">
        <v>24</v>
      </c>
      <c r="F542" s="7" t="inlineStr">
        <is>
          <t>Detenção</t>
        </is>
      </c>
      <c r="G542" s="7" t="inlineStr">
        <is>
          <t>Pública Incondicionada</t>
        </is>
      </c>
      <c r="H542" s="7" t="inlineStr">
        <is>
          <t>Não</t>
        </is>
      </c>
      <c r="I542" s="7" t="inlineStr">
        <is>
          <t>Doloso</t>
        </is>
      </c>
      <c r="J542" s="7" t="inlineStr">
        <is>
          <t>Sim</t>
        </is>
      </c>
      <c r="K542" s="7" t="inlineStr">
        <is>
          <t>Não</t>
        </is>
      </c>
      <c r="L542" s="7" t="inlineStr">
        <is>
          <t>Não</t>
        </is>
      </c>
      <c r="M542" s="7" t="inlineStr">
        <is>
          <t>Sim</t>
        </is>
      </c>
      <c r="N542" s="7" t="inlineStr">
        <is>
          <t>Sim</t>
        </is>
      </c>
      <c r="O542" s="7" t="inlineStr">
        <is>
          <t>Sim</t>
        </is>
      </c>
      <c r="P542" s="16" t="inlineStr">
        <is>
          <t>6 meses a 2 anos detenção + multa. Aplicado a esquemas Ponzi e pirâmides financeiras</t>
        </is>
      </c>
    </row>
    <row r="543">
      <c r="A543" s="7" t="inlineStr">
        <is>
          <t>Lei 6.385/76</t>
        </is>
      </c>
      <c r="B543" s="7" t="inlineStr">
        <is>
          <t>Art. 27-C</t>
        </is>
      </c>
      <c r="C543" s="16" t="inlineStr">
        <is>
          <t>Manipulação de mercado</t>
        </is>
      </c>
      <c r="D543" s="7" t="n">
        <v>12</v>
      </c>
      <c r="E543" s="7" t="n">
        <v>96</v>
      </c>
      <c r="F543" s="7" t="inlineStr">
        <is>
          <t>Reclusão</t>
        </is>
      </c>
      <c r="G543" s="7" t="inlineStr">
        <is>
          <t>Pública Incondicionada</t>
        </is>
      </c>
      <c r="H543" s="7" t="inlineStr">
        <is>
          <t>Não</t>
        </is>
      </c>
      <c r="I543" s="7" t="inlineStr">
        <is>
          <t>Doloso</t>
        </is>
      </c>
      <c r="J543" s="7" t="inlineStr">
        <is>
          <t>Sim</t>
        </is>
      </c>
      <c r="K543" s="7" t="inlineStr">
        <is>
          <t>Não</t>
        </is>
      </c>
      <c r="L543" s="7" t="inlineStr">
        <is>
          <t>Não</t>
        </is>
      </c>
      <c r="M543" s="7" t="inlineStr">
        <is>
          <t>Sim</t>
        </is>
      </c>
      <c r="N543" s="7" t="inlineStr">
        <is>
          <t>Sim</t>
        </is>
      </c>
      <c r="O543" s="7" t="inlineStr">
        <is>
          <t>Sim</t>
        </is>
      </c>
      <c r="P543" s="16" t="inlineStr">
        <is>
          <t>1-8 anos reclusão + multa até 3× lucro obtido. Realizar operações simuladas ou executar manobras fraudulentas para elevar/manter/baixar cotação de valor mobiliário</t>
        </is>
      </c>
    </row>
    <row r="544">
      <c r="A544" s="7" t="inlineStr">
        <is>
          <t>Lei 6.385/76</t>
        </is>
      </c>
      <c r="B544" s="7" t="inlineStr">
        <is>
          <t>Art. 27-D</t>
        </is>
      </c>
      <c r="C544" s="16" t="inlineStr">
        <is>
          <t>Uso indevido de informação privilegiada (insider trading)</t>
        </is>
      </c>
      <c r="D544" s="7" t="n">
        <v>12</v>
      </c>
      <c r="E544" s="7" t="n">
        <v>60</v>
      </c>
      <c r="F544" s="7" t="inlineStr">
        <is>
          <t>Reclusão</t>
        </is>
      </c>
      <c r="G544" s="7" t="inlineStr">
        <is>
          <t>Pública Incondicionada</t>
        </is>
      </c>
      <c r="H544" s="7" t="inlineStr">
        <is>
          <t>Não</t>
        </is>
      </c>
      <c r="I544" s="7" t="inlineStr">
        <is>
          <t>Doloso</t>
        </is>
      </c>
      <c r="J544" s="7" t="inlineStr">
        <is>
          <t>Sim</t>
        </is>
      </c>
      <c r="K544" s="7" t="inlineStr">
        <is>
          <t>Não</t>
        </is>
      </c>
      <c r="L544" s="7" t="inlineStr">
        <is>
          <t>Não</t>
        </is>
      </c>
      <c r="M544" s="7" t="inlineStr">
        <is>
          <t>Sim</t>
        </is>
      </c>
      <c r="N544" s="7" t="inlineStr">
        <is>
          <t>Sim</t>
        </is>
      </c>
      <c r="O544" s="7" t="inlineStr">
        <is>
          <t>Sim</t>
        </is>
      </c>
      <c r="P544" s="16" t="inlineStr">
        <is>
          <t>1-5 anos reclusão + multa até 3× lucro obtido. Utilizar informação relevante ainda não divulgada ao mercado para negociar valores mobiliários</t>
        </is>
      </c>
    </row>
    <row r="545">
      <c r="A545" s="7" t="inlineStr">
        <is>
          <t>Lei 6.385/76</t>
        </is>
      </c>
      <c r="B545" s="7" t="inlineStr">
        <is>
          <t>Art. 27-E</t>
        </is>
      </c>
      <c r="C545" s="16" t="inlineStr">
        <is>
          <t>Exercício irregular de cargo, profissão, atividade ou função no mercado de valores mobiliários</t>
        </is>
      </c>
      <c r="D545" s="7" t="n">
        <v>6</v>
      </c>
      <c r="E545" s="7" t="n">
        <v>24</v>
      </c>
      <c r="F545" s="7" t="inlineStr">
        <is>
          <t>Detenção</t>
        </is>
      </c>
      <c r="G545" s="7" t="inlineStr">
        <is>
          <t>Pública Incondicionada</t>
        </is>
      </c>
      <c r="H545" s="7" t="inlineStr">
        <is>
          <t>Não</t>
        </is>
      </c>
      <c r="I545" s="7" t="inlineStr">
        <is>
          <t>Doloso</t>
        </is>
      </c>
      <c r="J545" s="7" t="inlineStr">
        <is>
          <t>Sim</t>
        </is>
      </c>
      <c r="K545" s="7" t="inlineStr">
        <is>
          <t>Não</t>
        </is>
      </c>
      <c r="L545" s="7" t="inlineStr">
        <is>
          <t>Não</t>
        </is>
      </c>
      <c r="M545" s="7" t="inlineStr">
        <is>
          <t>Sim</t>
        </is>
      </c>
      <c r="N545" s="7" t="inlineStr">
        <is>
          <t>Sim</t>
        </is>
      </c>
      <c r="O545" s="7" t="inlineStr">
        <is>
          <t>Sim</t>
        </is>
      </c>
      <c r="P545" s="16" t="inlineStr">
        <is>
          <t>6 meses a 2 anos detenção + multa</t>
        </is>
      </c>
    </row>
    <row r="546">
      <c r="A546" s="7" t="inlineStr">
        <is>
          <t>CE (Lei 4.737/65)</t>
        </is>
      </c>
      <c r="B546" s="7" t="inlineStr">
        <is>
          <t>Art. 289</t>
        </is>
      </c>
      <c r="C546" s="16" t="inlineStr">
        <is>
          <t>Inscrição fraudulenta de eleitor</t>
        </is>
      </c>
      <c r="D546" s="7" t="n">
        <v>0</v>
      </c>
      <c r="E546" s="7" t="n">
        <v>5</v>
      </c>
      <c r="F546" s="7" t="inlineStr">
        <is>
          <t>Detenção</t>
        </is>
      </c>
      <c r="G546" s="7" t="inlineStr">
        <is>
          <t>Pública Incondicionada</t>
        </is>
      </c>
      <c r="H546" s="7" t="inlineStr">
        <is>
          <t>Não</t>
        </is>
      </c>
      <c r="I546" s="7" t="inlineStr">
        <is>
          <t>Doloso</t>
        </is>
      </c>
      <c r="J546" s="7" t="inlineStr">
        <is>
          <t>Sim</t>
        </is>
      </c>
      <c r="K546" s="7" t="inlineStr">
        <is>
          <t>Não</t>
        </is>
      </c>
      <c r="L546" s="7" t="inlineStr">
        <is>
          <t>Não</t>
        </is>
      </c>
      <c r="M546" s="7" t="inlineStr">
        <is>
          <t>—</t>
        </is>
      </c>
      <c r="N546" s="7" t="inlineStr">
        <is>
          <t>—</t>
        </is>
      </c>
      <c r="O546" s="7" t="inlineStr">
        <is>
          <t>—</t>
        </is>
      </c>
      <c r="P546" s="16" t="inlineStr">
        <is>
          <t>Até 5 anos detenção + multa</t>
        </is>
      </c>
    </row>
    <row r="547">
      <c r="A547" s="7" t="inlineStr">
        <is>
          <t>CE (Lei 4.737/65)</t>
        </is>
      </c>
      <c r="B547" s="7" t="inlineStr">
        <is>
          <t>Art. 290</t>
        </is>
      </c>
      <c r="C547" s="16" t="inlineStr">
        <is>
          <t>Induzir alguém a se inscrever eleitoralmente com infração de qualquer norma</t>
        </is>
      </c>
      <c r="D547" s="7" t="n">
        <v>0</v>
      </c>
      <c r="E547" s="7" t="n">
        <v>24</v>
      </c>
      <c r="F547" s="7" t="inlineStr">
        <is>
          <t>Detenção</t>
        </is>
      </c>
      <c r="G547" s="7" t="inlineStr">
        <is>
          <t>Pública Incondicionada</t>
        </is>
      </c>
      <c r="H547" s="7" t="inlineStr">
        <is>
          <t>Não</t>
        </is>
      </c>
      <c r="I547" s="7" t="inlineStr">
        <is>
          <t>Doloso</t>
        </is>
      </c>
      <c r="J547" s="7" t="inlineStr">
        <is>
          <t>Sim</t>
        </is>
      </c>
      <c r="K547" s="7" t="inlineStr">
        <is>
          <t>Não</t>
        </is>
      </c>
      <c r="L547" s="7" t="inlineStr">
        <is>
          <t>Não</t>
        </is>
      </c>
      <c r="M547" s="7" t="inlineStr">
        <is>
          <t>—</t>
        </is>
      </c>
      <c r="N547" s="7" t="inlineStr">
        <is>
          <t>—</t>
        </is>
      </c>
      <c r="O547" s="7" t="inlineStr">
        <is>
          <t>—</t>
        </is>
      </c>
      <c r="P547" s="16" t="inlineStr">
        <is>
          <t>Até 2 anos detenção + multa</t>
        </is>
      </c>
    </row>
    <row r="548">
      <c r="A548" s="7" t="inlineStr">
        <is>
          <t>CE (Lei 4.737/65)</t>
        </is>
      </c>
      <c r="B548" s="7" t="inlineStr">
        <is>
          <t>Art. 298</t>
        </is>
      </c>
      <c r="C548" s="16" t="inlineStr">
        <is>
          <t>Preso que se alistar como eleitor</t>
        </is>
      </c>
      <c r="D548" s="7" t="n">
        <v>6</v>
      </c>
      <c r="E548" s="7" t="n">
        <v>36</v>
      </c>
      <c r="F548" s="7" t="inlineStr">
        <is>
          <t>Detenção</t>
        </is>
      </c>
      <c r="G548" s="7" t="inlineStr">
        <is>
          <t>Pública Incondicionada</t>
        </is>
      </c>
      <c r="H548" s="7" t="inlineStr">
        <is>
          <t>Não</t>
        </is>
      </c>
      <c r="I548" s="7" t="inlineStr">
        <is>
          <t>Doloso</t>
        </is>
      </c>
      <c r="J548" s="7" t="inlineStr">
        <is>
          <t>Sim</t>
        </is>
      </c>
      <c r="K548" s="7" t="inlineStr">
        <is>
          <t>Não</t>
        </is>
      </c>
      <c r="L548" s="7" t="inlineStr">
        <is>
          <t>Não</t>
        </is>
      </c>
      <c r="M548" s="7" t="inlineStr">
        <is>
          <t>Sim</t>
        </is>
      </c>
      <c r="N548" s="7" t="inlineStr">
        <is>
          <t>Sim</t>
        </is>
      </c>
      <c r="O548" s="7" t="inlineStr">
        <is>
          <t>Sim</t>
        </is>
      </c>
      <c r="P548" s="16" t="inlineStr">
        <is>
          <t>6 meses a 3 anos detenção + multa</t>
        </is>
      </c>
    </row>
    <row r="549">
      <c r="A549" s="7" t="inlineStr">
        <is>
          <t>CE (Lei 4.737/65)</t>
        </is>
      </c>
      <c r="B549" s="7" t="inlineStr">
        <is>
          <t>Art. 299</t>
        </is>
      </c>
      <c r="C549" s="16" t="inlineStr">
        <is>
          <t>Compra de votos (dar/oferecer/prometer dinheiro/dádiva/vantagem para obter voto)</t>
        </is>
      </c>
      <c r="D549" s="7" t="n">
        <v>12</v>
      </c>
      <c r="E549" s="7" t="n">
        <v>48</v>
      </c>
      <c r="F549" s="7" t="inlineStr">
        <is>
          <t>Reclusão</t>
        </is>
      </c>
      <c r="G549" s="7" t="inlineStr">
        <is>
          <t>Pública Incondicionada</t>
        </is>
      </c>
      <c r="H549" s="7" t="inlineStr">
        <is>
          <t>Não</t>
        </is>
      </c>
      <c r="I549" s="7" t="inlineStr">
        <is>
          <t>Doloso</t>
        </is>
      </c>
      <c r="J549" s="7" t="inlineStr">
        <is>
          <t>Sim</t>
        </is>
      </c>
      <c r="K549" s="7" t="inlineStr">
        <is>
          <t>Não</t>
        </is>
      </c>
      <c r="L549" s="7" t="inlineStr">
        <is>
          <t>Não</t>
        </is>
      </c>
      <c r="M549" s="7" t="inlineStr">
        <is>
          <t>Sim</t>
        </is>
      </c>
      <c r="N549" s="7" t="inlineStr">
        <is>
          <t>Sim</t>
        </is>
      </c>
      <c r="O549" s="7" t="inlineStr">
        <is>
          <t>Sim</t>
        </is>
      </c>
      <c r="P549" s="16" t="inlineStr">
        <is>
          <t>Até 4 anos reclusão + multa. Inclui quem oferece e quem solicita</t>
        </is>
      </c>
    </row>
    <row r="550">
      <c r="A550" s="7" t="inlineStr">
        <is>
          <t>CE (Lei 4.737/65)</t>
        </is>
      </c>
      <c r="B550" s="7" t="inlineStr">
        <is>
          <t>Art. 300</t>
        </is>
      </c>
      <c r="C550" s="16" t="inlineStr">
        <is>
          <t>Valer-se de empregados na propaganda eleitoral</t>
        </is>
      </c>
      <c r="D550" s="7" t="n">
        <v>0</v>
      </c>
      <c r="E550" s="7" t="n">
        <v>24</v>
      </c>
      <c r="F550" s="7" t="inlineStr">
        <is>
          <t>Detenção</t>
        </is>
      </c>
      <c r="G550" s="7" t="inlineStr">
        <is>
          <t>Pública Incondicionada</t>
        </is>
      </c>
      <c r="H550" s="7" t="inlineStr">
        <is>
          <t>Não</t>
        </is>
      </c>
      <c r="I550" s="7" t="inlineStr">
        <is>
          <t>Doloso</t>
        </is>
      </c>
      <c r="J550" s="7" t="inlineStr">
        <is>
          <t>Sim</t>
        </is>
      </c>
      <c r="K550" s="7" t="inlineStr">
        <is>
          <t>Não</t>
        </is>
      </c>
      <c r="L550" s="7" t="inlineStr">
        <is>
          <t>Não</t>
        </is>
      </c>
      <c r="M550" s="7" t="inlineStr">
        <is>
          <t>—</t>
        </is>
      </c>
      <c r="N550" s="7" t="inlineStr">
        <is>
          <t>—</t>
        </is>
      </c>
      <c r="O550" s="7" t="inlineStr">
        <is>
          <t>—</t>
        </is>
      </c>
      <c r="P550" s="16" t="inlineStr">
        <is>
          <t>Até 2 anos detenção + multa</t>
        </is>
      </c>
    </row>
    <row r="551">
      <c r="A551" s="26" t="inlineStr">
        <is>
          <t>CE (Lei 4.737/65)</t>
        </is>
      </c>
      <c r="B551" s="26" t="inlineStr">
        <is>
          <t>Art. 301</t>
        </is>
      </c>
      <c r="C551" s="27" t="inlineStr">
        <is>
          <t>Usar de violência/grave ameaça para coagir alguém a votar ou deixar de votar em determinado candidato</t>
        </is>
      </c>
      <c r="D551" s="26" t="n">
        <v>0</v>
      </c>
      <c r="E551" s="26" t="n">
        <v>48</v>
      </c>
      <c r="F551" s="26" t="inlineStr">
        <is>
          <t>Reclusão</t>
        </is>
      </c>
      <c r="G551" s="26" t="inlineStr">
        <is>
          <t>Pública Incondicionada</t>
        </is>
      </c>
      <c r="H551" s="26" t="inlineStr">
        <is>
          <t>Não</t>
        </is>
      </c>
      <c r="I551" s="26" t="inlineStr">
        <is>
          <t>Doloso</t>
        </is>
      </c>
      <c r="J551" s="26" t="inlineStr">
        <is>
          <t>Sim</t>
        </is>
      </c>
      <c r="K551" s="26" t="inlineStr">
        <is>
          <t>Sim</t>
        </is>
      </c>
      <c r="L551" s="26" t="inlineStr">
        <is>
          <t>Sim</t>
        </is>
      </c>
      <c r="M551" s="26" t="inlineStr">
        <is>
          <t>—</t>
        </is>
      </c>
      <c r="N551" s="26" t="inlineStr">
        <is>
          <t>—</t>
        </is>
      </c>
      <c r="O551" s="26" t="inlineStr">
        <is>
          <t>—</t>
        </is>
      </c>
      <c r="P551" s="27" t="inlineStr">
        <is>
          <t>Até 4 anos reclusão + multa</t>
        </is>
      </c>
    </row>
    <row r="552">
      <c r="A552" s="7" t="inlineStr">
        <is>
          <t>CE (Lei 4.737/65)</t>
        </is>
      </c>
      <c r="B552" s="7" t="inlineStr">
        <is>
          <t>Art. 309</t>
        </is>
      </c>
      <c r="C552" s="16" t="inlineStr">
        <is>
          <t>Votar ou tentar votar mais de uma vez, ou em lugar de outrem (falsidade ideológica eleitoral)</t>
        </is>
      </c>
      <c r="D552" s="7" t="n">
        <v>0</v>
      </c>
      <c r="E552" s="7" t="n">
        <v>36</v>
      </c>
      <c r="F552" s="7" t="inlineStr">
        <is>
          <t>Reclusão</t>
        </is>
      </c>
      <c r="G552" s="7" t="inlineStr">
        <is>
          <t>Pública Incondicionada</t>
        </is>
      </c>
      <c r="H552" s="7" t="inlineStr">
        <is>
          <t>Não</t>
        </is>
      </c>
      <c r="I552" s="7" t="inlineStr">
        <is>
          <t>Doloso</t>
        </is>
      </c>
      <c r="J552" s="7" t="inlineStr">
        <is>
          <t>Sim</t>
        </is>
      </c>
      <c r="K552" s="7" t="inlineStr">
        <is>
          <t>Não</t>
        </is>
      </c>
      <c r="L552" s="7" t="inlineStr">
        <is>
          <t>Não</t>
        </is>
      </c>
      <c r="M552" s="7" t="inlineStr">
        <is>
          <t>—</t>
        </is>
      </c>
      <c r="N552" s="7" t="inlineStr">
        <is>
          <t>—</t>
        </is>
      </c>
      <c r="O552" s="7" t="inlineStr">
        <is>
          <t>—</t>
        </is>
      </c>
      <c r="P552" s="16" t="inlineStr">
        <is>
          <t>Até 3 anos reclusão + multa</t>
        </is>
      </c>
    </row>
    <row r="553">
      <c r="A553" s="7" t="inlineStr">
        <is>
          <t>CE (Lei 4.737/65)</t>
        </is>
      </c>
      <c r="B553" s="7" t="inlineStr">
        <is>
          <t>Art. 347</t>
        </is>
      </c>
      <c r="C553" s="16" t="inlineStr">
        <is>
          <t>Violar/adulterar/destruir boletim de apuração ou alterar resultado do pleito</t>
        </is>
      </c>
      <c r="D553" s="7" t="n">
        <v>24</v>
      </c>
      <c r="E553" s="7" t="n">
        <v>60</v>
      </c>
      <c r="F553" s="7" t="inlineStr">
        <is>
          <t>Reclusão</t>
        </is>
      </c>
      <c r="G553" s="7" t="inlineStr">
        <is>
          <t>Pública Incondicionada</t>
        </is>
      </c>
      <c r="H553" s="7" t="inlineStr">
        <is>
          <t>Não</t>
        </is>
      </c>
      <c r="I553" s="7" t="inlineStr">
        <is>
          <t>Doloso</t>
        </is>
      </c>
      <c r="J553" s="7" t="inlineStr">
        <is>
          <t>Sim</t>
        </is>
      </c>
      <c r="K553" s="7" t="inlineStr">
        <is>
          <t>Não</t>
        </is>
      </c>
      <c r="L553" s="7" t="inlineStr">
        <is>
          <t>Não</t>
        </is>
      </c>
      <c r="M553" s="7" t="inlineStr">
        <is>
          <t>Sim</t>
        </is>
      </c>
      <c r="N553" s="7" t="inlineStr">
        <is>
          <t>Não</t>
        </is>
      </c>
      <c r="O553" s="7" t="inlineStr">
        <is>
          <t>Sim</t>
        </is>
      </c>
      <c r="P553" s="16" t="inlineStr">
        <is>
          <t>2-5 anos reclusão</t>
        </is>
      </c>
    </row>
    <row r="554">
      <c r="A554" s="7" t="inlineStr">
        <is>
          <t>Lei 9.504/97</t>
        </is>
      </c>
      <c r="B554" s="7" t="inlineStr">
        <is>
          <t>Art. 39, §5º</t>
        </is>
      </c>
      <c r="C554" s="16" t="inlineStr">
        <is>
          <t>Boca de urna (propaganda de boca de urna no dia da eleição)</t>
        </is>
      </c>
      <c r="D554" s="7" t="n">
        <v>6</v>
      </c>
      <c r="E554" s="7" t="n">
        <v>12</v>
      </c>
      <c r="F554" s="7" t="inlineStr">
        <is>
          <t>Detenção</t>
        </is>
      </c>
      <c r="G554" s="7" t="inlineStr">
        <is>
          <t>Pública Incondicionada</t>
        </is>
      </c>
      <c r="H554" s="7" t="inlineStr">
        <is>
          <t>Não</t>
        </is>
      </c>
      <c r="I554" s="7" t="inlineStr">
        <is>
          <t>Doloso</t>
        </is>
      </c>
      <c r="J554" s="7" t="inlineStr">
        <is>
          <t>Sim</t>
        </is>
      </c>
      <c r="K554" s="7" t="inlineStr">
        <is>
          <t>Não</t>
        </is>
      </c>
      <c r="L554" s="7" t="inlineStr">
        <is>
          <t>Não</t>
        </is>
      </c>
      <c r="M554" s="7" t="inlineStr">
        <is>
          <t>Sim</t>
        </is>
      </c>
      <c r="N554" s="7" t="inlineStr">
        <is>
          <t>Sim</t>
        </is>
      </c>
      <c r="O554" s="7" t="inlineStr">
        <is>
          <t>Sim</t>
        </is>
      </c>
      <c r="P554" s="16" t="inlineStr">
        <is>
          <t>6 meses a 1 ano detenção + multa</t>
        </is>
      </c>
    </row>
    <row r="555">
      <c r="A555" s="7" t="inlineStr">
        <is>
          <t>Lei 9.504/97</t>
        </is>
      </c>
      <c r="B555" s="7" t="inlineStr">
        <is>
          <t>Art. 33, §4º</t>
        </is>
      </c>
      <c r="C555" s="16" t="inlineStr">
        <is>
          <t>Pesquisa eleitoral fraudulenta (divulgar resultados de pesquisa fabricada/manipulada)</t>
        </is>
      </c>
      <c r="D555" s="7" t="n">
        <v>6</v>
      </c>
      <c r="E555" s="7" t="n">
        <v>12</v>
      </c>
      <c r="F555" s="7" t="inlineStr">
        <is>
          <t>Detenção</t>
        </is>
      </c>
      <c r="G555" s="7" t="inlineStr">
        <is>
          <t>Pública Incondicionada</t>
        </is>
      </c>
      <c r="H555" s="7" t="inlineStr">
        <is>
          <t>Não</t>
        </is>
      </c>
      <c r="I555" s="7" t="inlineStr">
        <is>
          <t>Doloso</t>
        </is>
      </c>
      <c r="J555" s="7" t="inlineStr">
        <is>
          <t>Sim</t>
        </is>
      </c>
      <c r="K555" s="7" t="inlineStr">
        <is>
          <t>Não</t>
        </is>
      </c>
      <c r="L555" s="7" t="inlineStr">
        <is>
          <t>Não</t>
        </is>
      </c>
      <c r="M555" s="7" t="inlineStr">
        <is>
          <t>Sim</t>
        </is>
      </c>
      <c r="N555" s="7" t="inlineStr">
        <is>
          <t>Sim</t>
        </is>
      </c>
      <c r="O555" s="7" t="inlineStr">
        <is>
          <t>Sim</t>
        </is>
      </c>
      <c r="P555" s="16" t="inlineStr">
        <is>
          <t>6 meses a 1 ano detenção + multa</t>
        </is>
      </c>
    </row>
    <row r="556">
      <c r="A556" s="7" t="inlineStr">
        <is>
          <t>Lei 9.504/97</t>
        </is>
      </c>
      <c r="B556" s="7" t="inlineStr">
        <is>
          <t>Art. 72</t>
        </is>
      </c>
      <c r="C556" s="16" t="inlineStr">
        <is>
          <t>Inserção de dados falsos no sistema eleitoral (inserir/alterar dados no sistema de informações do Cadastro Nacional de Eleitores)</t>
        </is>
      </c>
      <c r="D556" s="7" t="n">
        <v>24</v>
      </c>
      <c r="E556" s="7" t="n">
        <v>120</v>
      </c>
      <c r="F556" s="7" t="inlineStr">
        <is>
          <t>Reclusão</t>
        </is>
      </c>
      <c r="G556" s="7" t="inlineStr">
        <is>
          <t>Pública Incondicionada</t>
        </is>
      </c>
      <c r="H556" s="7" t="inlineStr">
        <is>
          <t>Não</t>
        </is>
      </c>
      <c r="I556" s="7" t="inlineStr">
        <is>
          <t>Doloso</t>
        </is>
      </c>
      <c r="J556" s="7" t="inlineStr">
        <is>
          <t>Sim</t>
        </is>
      </c>
      <c r="K556" s="7" t="inlineStr">
        <is>
          <t>Não</t>
        </is>
      </c>
      <c r="L556" s="7" t="inlineStr">
        <is>
          <t>Não</t>
        </is>
      </c>
      <c r="M556" s="7" t="inlineStr">
        <is>
          <t>Sim</t>
        </is>
      </c>
      <c r="N556" s="7" t="inlineStr">
        <is>
          <t>Não</t>
        </is>
      </c>
      <c r="O556" s="7" t="inlineStr">
        <is>
          <t>Sim</t>
        </is>
      </c>
      <c r="P556" s="16" t="inlineStr">
        <is>
          <t>2-10 anos reclusão + multa</t>
        </is>
      </c>
    </row>
    <row r="557">
      <c r="A557" s="7" t="inlineStr">
        <is>
          <t>Lei 9.279/96</t>
        </is>
      </c>
      <c r="B557" s="7" t="inlineStr">
        <is>
          <t>Art. 183</t>
        </is>
      </c>
      <c r="C557" s="16" t="inlineStr">
        <is>
          <t>Crimes contra patentes (fabricar/usar/vender produto objeto de patente sem autorização)</t>
        </is>
      </c>
      <c r="D557" s="7" t="n">
        <v>3</v>
      </c>
      <c r="E557" s="7" t="n">
        <v>12</v>
      </c>
      <c r="F557" s="7" t="inlineStr">
        <is>
          <t>Detenção</t>
        </is>
      </c>
      <c r="G557" s="7" t="inlineStr">
        <is>
          <t>Ação Penal Privada</t>
        </is>
      </c>
      <c r="H557" s="7" t="inlineStr">
        <is>
          <t>Não</t>
        </is>
      </c>
      <c r="I557" s="7" t="inlineStr">
        <is>
          <t>Doloso</t>
        </is>
      </c>
      <c r="J557" s="7" t="inlineStr">
        <is>
          <t>Sim</t>
        </is>
      </c>
      <c r="K557" s="7" t="inlineStr">
        <is>
          <t>Não</t>
        </is>
      </c>
      <c r="L557" s="7" t="inlineStr">
        <is>
          <t>Não</t>
        </is>
      </c>
      <c r="M557" s="7" t="inlineStr">
        <is>
          <t>Sim</t>
        </is>
      </c>
      <c r="N557" s="7" t="inlineStr">
        <is>
          <t>Sim</t>
        </is>
      </c>
      <c r="O557" s="7" t="inlineStr">
        <is>
          <t>Sim</t>
        </is>
      </c>
      <c r="P557" s="16" t="inlineStr">
        <is>
          <t>3 meses a 1 ano detenção ou multa</t>
        </is>
      </c>
    </row>
    <row r="558">
      <c r="A558" s="7" t="inlineStr">
        <is>
          <t>Lei 9.279/96</t>
        </is>
      </c>
      <c r="B558" s="7" t="inlineStr">
        <is>
          <t>Art. 184</t>
        </is>
      </c>
      <c r="C558" s="16" t="inlineStr">
        <is>
          <t>Crimes contra desenhos industriais (fabricar/vender/usar produto que reproduz desenho industrial registrado)</t>
        </is>
      </c>
      <c r="D558" s="7" t="n">
        <v>3</v>
      </c>
      <c r="E558" s="7" t="n">
        <v>12</v>
      </c>
      <c r="F558" s="7" t="inlineStr">
        <is>
          <t>Detenção</t>
        </is>
      </c>
      <c r="G558" s="7" t="inlineStr">
        <is>
          <t>Ação Penal Privada</t>
        </is>
      </c>
      <c r="H558" s="7" t="inlineStr">
        <is>
          <t>Não</t>
        </is>
      </c>
      <c r="I558" s="7" t="inlineStr">
        <is>
          <t>Doloso</t>
        </is>
      </c>
      <c r="J558" s="7" t="inlineStr">
        <is>
          <t>Sim</t>
        </is>
      </c>
      <c r="K558" s="7" t="inlineStr">
        <is>
          <t>Não</t>
        </is>
      </c>
      <c r="L558" s="7" t="inlineStr">
        <is>
          <t>Não</t>
        </is>
      </c>
      <c r="M558" s="7" t="inlineStr">
        <is>
          <t>Sim</t>
        </is>
      </c>
      <c r="N558" s="7" t="inlineStr">
        <is>
          <t>Sim</t>
        </is>
      </c>
      <c r="O558" s="7" t="inlineStr">
        <is>
          <t>Sim</t>
        </is>
      </c>
      <c r="P558" s="16" t="inlineStr">
        <is>
          <t>3 meses a 1 ano detenção ou multa</t>
        </is>
      </c>
    </row>
    <row r="559">
      <c r="A559" s="7" t="inlineStr">
        <is>
          <t>Lei 9.279/96</t>
        </is>
      </c>
      <c r="B559" s="7" t="inlineStr">
        <is>
          <t>Art. 189</t>
        </is>
      </c>
      <c r="C559" s="16" t="inlineStr">
        <is>
          <t>Crime contra registro de marca (reproduzir/imitar/falsificar marca registrada)</t>
        </is>
      </c>
      <c r="D559" s="7" t="n">
        <v>3</v>
      </c>
      <c r="E559" s="7" t="n">
        <v>12</v>
      </c>
      <c r="F559" s="7" t="inlineStr">
        <is>
          <t>Detenção</t>
        </is>
      </c>
      <c r="G559" s="7" t="inlineStr">
        <is>
          <t>Ação Penal Privada</t>
        </is>
      </c>
      <c r="H559" s="7" t="inlineStr">
        <is>
          <t>Não</t>
        </is>
      </c>
      <c r="I559" s="7" t="inlineStr">
        <is>
          <t>Doloso</t>
        </is>
      </c>
      <c r="J559" s="7" t="inlineStr">
        <is>
          <t>Sim</t>
        </is>
      </c>
      <c r="K559" s="7" t="inlineStr">
        <is>
          <t>Não</t>
        </is>
      </c>
      <c r="L559" s="7" t="inlineStr">
        <is>
          <t>Não</t>
        </is>
      </c>
      <c r="M559" s="7" t="inlineStr">
        <is>
          <t>Sim</t>
        </is>
      </c>
      <c r="N559" s="7" t="inlineStr">
        <is>
          <t>Sim</t>
        </is>
      </c>
      <c r="O559" s="7" t="inlineStr">
        <is>
          <t>Sim</t>
        </is>
      </c>
      <c r="P559" s="16" t="inlineStr">
        <is>
          <t>3 meses a 1 ano detenção ou multa</t>
        </is>
      </c>
    </row>
    <row r="560">
      <c r="A560" s="7" t="inlineStr">
        <is>
          <t>Lei 9.279/96</t>
        </is>
      </c>
      <c r="B560" s="7" t="inlineStr">
        <is>
          <t>Art. 190</t>
        </is>
      </c>
      <c r="C560" s="16" t="inlineStr">
        <is>
          <t>Crime contra registro de marca (vender/expor/oferecer produto com marca falsificada/imitada)</t>
        </is>
      </c>
      <c r="D560" s="7" t="n">
        <v>1</v>
      </c>
      <c r="E560" s="7" t="n">
        <v>3</v>
      </c>
      <c r="F560" s="7" t="inlineStr">
        <is>
          <t>Detenção</t>
        </is>
      </c>
      <c r="G560" s="7" t="inlineStr">
        <is>
          <t>Ação Penal Privada</t>
        </is>
      </c>
      <c r="H560" s="7" t="inlineStr">
        <is>
          <t>Não</t>
        </is>
      </c>
      <c r="I560" s="7" t="inlineStr">
        <is>
          <t>Doloso</t>
        </is>
      </c>
      <c r="J560" s="7" t="inlineStr">
        <is>
          <t>Sim</t>
        </is>
      </c>
      <c r="K560" s="7" t="inlineStr">
        <is>
          <t>Não</t>
        </is>
      </c>
      <c r="L560" s="7" t="inlineStr">
        <is>
          <t>Não</t>
        </is>
      </c>
      <c r="M560" s="7" t="inlineStr">
        <is>
          <t>Sim</t>
        </is>
      </c>
      <c r="N560" s="7" t="inlineStr">
        <is>
          <t>Sim</t>
        </is>
      </c>
      <c r="O560" s="7" t="inlineStr">
        <is>
          <t>Sim</t>
        </is>
      </c>
      <c r="P560" s="16" t="inlineStr">
        <is>
          <t>1-3 meses detenção ou multa</t>
        </is>
      </c>
    </row>
    <row r="561">
      <c r="A561" s="7" t="inlineStr">
        <is>
          <t>Lei 9.279/96</t>
        </is>
      </c>
      <c r="B561" s="7" t="inlineStr">
        <is>
          <t>Art. 195</t>
        </is>
      </c>
      <c r="C561" s="16" t="inlineStr">
        <is>
          <t>Crime de concorrência desleal</t>
        </is>
      </c>
      <c r="D561" s="7" t="n">
        <v>3</v>
      </c>
      <c r="E561" s="7" t="n">
        <v>12</v>
      </c>
      <c r="F561" s="7" t="inlineStr">
        <is>
          <t>Detenção</t>
        </is>
      </c>
      <c r="G561" s="7" t="inlineStr">
        <is>
          <t>Ação Penal Privada</t>
        </is>
      </c>
      <c r="H561" s="7" t="inlineStr">
        <is>
          <t>Não</t>
        </is>
      </c>
      <c r="I561" s="7" t="inlineStr">
        <is>
          <t>Doloso</t>
        </is>
      </c>
      <c r="J561" s="7" t="inlineStr">
        <is>
          <t>Sim</t>
        </is>
      </c>
      <c r="K561" s="7" t="inlineStr">
        <is>
          <t>Não</t>
        </is>
      </c>
      <c r="L561" s="7" t="inlineStr">
        <is>
          <t>Não</t>
        </is>
      </c>
      <c r="M561" s="7" t="inlineStr">
        <is>
          <t>Sim</t>
        </is>
      </c>
      <c r="N561" s="7" t="inlineStr">
        <is>
          <t>Sim</t>
        </is>
      </c>
      <c r="O561" s="7" t="inlineStr">
        <is>
          <t>Sim</t>
        </is>
      </c>
      <c r="P561" s="16" t="inlineStr">
        <is>
          <t>3 meses a 1 ano detenção ou multa. 14 hipóteses previstas: publicar/divulgar/declarar falsa informação, usar marca de terceiro, desviar clientela, etc.</t>
        </is>
      </c>
    </row>
    <row r="562">
      <c r="A562" s="7" t="inlineStr">
        <is>
          <t>Lei 9.609/98</t>
        </is>
      </c>
      <c r="B562" s="7" t="inlineStr">
        <is>
          <t>Art. 12, caput</t>
        </is>
      </c>
      <c r="C562" s="16" t="inlineStr">
        <is>
          <t>Violação de direitos de autor de programa de computador</t>
        </is>
      </c>
      <c r="D562" s="7" t="n">
        <v>6</v>
      </c>
      <c r="E562" s="7" t="n">
        <v>24</v>
      </c>
      <c r="F562" s="7" t="inlineStr">
        <is>
          <t>Detenção</t>
        </is>
      </c>
      <c r="G562" s="7" t="inlineStr">
        <is>
          <t>Ação Penal Privada</t>
        </is>
      </c>
      <c r="H562" s="7" t="inlineStr">
        <is>
          <t>Não</t>
        </is>
      </c>
      <c r="I562" s="7" t="inlineStr">
        <is>
          <t>Doloso</t>
        </is>
      </c>
      <c r="J562" s="7" t="inlineStr">
        <is>
          <t>Sim</t>
        </is>
      </c>
      <c r="K562" s="7" t="inlineStr">
        <is>
          <t>Não</t>
        </is>
      </c>
      <c r="L562" s="7" t="inlineStr">
        <is>
          <t>Não</t>
        </is>
      </c>
      <c r="M562" s="7" t="inlineStr">
        <is>
          <t>Sim</t>
        </is>
      </c>
      <c r="N562" s="7" t="inlineStr">
        <is>
          <t>Sim</t>
        </is>
      </c>
      <c r="O562" s="7" t="inlineStr">
        <is>
          <t>Sim</t>
        </is>
      </c>
      <c r="P562" s="16" t="inlineStr">
        <is>
          <t>6 meses a 2 anos detenção ou multa</t>
        </is>
      </c>
    </row>
    <row r="563">
      <c r="A563" s="7" t="inlineStr">
        <is>
          <t>Lei 9.609/98</t>
        </is>
      </c>
      <c r="B563" s="7" t="inlineStr">
        <is>
          <t>Art. 12, §1º</t>
        </is>
      </c>
      <c r="C563" s="16" t="inlineStr">
        <is>
          <t>Violação de direitos de autor de programa de computador com reprodução para fins de comércio</t>
        </is>
      </c>
      <c r="D563" s="7" t="n">
        <v>12</v>
      </c>
      <c r="E563" s="7" t="n">
        <v>48</v>
      </c>
      <c r="F563" s="7" t="inlineStr">
        <is>
          <t>Reclusão</t>
        </is>
      </c>
      <c r="G563" s="7" t="inlineStr">
        <is>
          <t>Pública Incondicionada</t>
        </is>
      </c>
      <c r="H563" s="7" t="inlineStr">
        <is>
          <t>Não</t>
        </is>
      </c>
      <c r="I563" s="7" t="inlineStr">
        <is>
          <t>Doloso</t>
        </is>
      </c>
      <c r="J563" s="7" t="inlineStr">
        <is>
          <t>Sim</t>
        </is>
      </c>
      <c r="K563" s="7" t="inlineStr">
        <is>
          <t>Não</t>
        </is>
      </c>
      <c r="L563" s="7" t="inlineStr">
        <is>
          <t>Não</t>
        </is>
      </c>
      <c r="M563" s="7" t="inlineStr">
        <is>
          <t>Sim</t>
        </is>
      </c>
      <c r="N563" s="7" t="inlineStr">
        <is>
          <t>Sim</t>
        </is>
      </c>
      <c r="O563" s="7" t="inlineStr">
        <is>
          <t>Sim</t>
        </is>
      </c>
      <c r="P563" s="16" t="inlineStr">
        <is>
          <t>1-4 anos reclusão + multa. Se reprodução com intuito de lucro</t>
        </is>
      </c>
    </row>
    <row r="564">
      <c r="A564" s="7" t="inlineStr">
        <is>
          <t>Lei 9.609/98</t>
        </is>
      </c>
      <c r="B564" s="7" t="inlineStr">
        <is>
          <t>Art. 12, §2º</t>
        </is>
      </c>
      <c r="C564" s="16" t="inlineStr">
        <is>
          <t>Venda/exposição à venda/introdução no País/aquisição/guarda/manutenção em depósito de cópia produzida com violação de direito autoral de programa</t>
        </is>
      </c>
      <c r="D564" s="7" t="n">
        <v>12</v>
      </c>
      <c r="E564" s="7" t="n">
        <v>48</v>
      </c>
      <c r="F564" s="7" t="inlineStr">
        <is>
          <t>Reclusão</t>
        </is>
      </c>
      <c r="G564" s="7" t="inlineStr">
        <is>
          <t>Pública Incondicionada</t>
        </is>
      </c>
      <c r="H564" s="7" t="inlineStr">
        <is>
          <t>Não</t>
        </is>
      </c>
      <c r="I564" s="7" t="inlineStr">
        <is>
          <t>Doloso</t>
        </is>
      </c>
      <c r="J564" s="7" t="inlineStr">
        <is>
          <t>Sim</t>
        </is>
      </c>
      <c r="K564" s="7" t="inlineStr">
        <is>
          <t>Não</t>
        </is>
      </c>
      <c r="L564" s="7" t="inlineStr">
        <is>
          <t>Não</t>
        </is>
      </c>
      <c r="M564" s="7" t="inlineStr">
        <is>
          <t>Sim</t>
        </is>
      </c>
      <c r="N564" s="7" t="inlineStr">
        <is>
          <t>Sim</t>
        </is>
      </c>
      <c r="O564" s="7" t="inlineStr">
        <is>
          <t>Sim</t>
        </is>
      </c>
      <c r="P564" s="16" t="inlineStr">
        <is>
          <t>1-4 anos reclusão + multa</t>
        </is>
      </c>
    </row>
    <row r="565">
      <c r="A565" s="7" t="inlineStr">
        <is>
          <t>Lei 9.472/97</t>
        </is>
      </c>
      <c r="B565" s="7" t="inlineStr">
        <is>
          <t>Art. 183</t>
        </is>
      </c>
      <c r="C565" s="16" t="inlineStr">
        <is>
          <t>Desenvolvimento clandestino de atividade de telecomunicação (rádio pirata)</t>
        </is>
      </c>
      <c r="D565" s="7" t="n">
        <v>24</v>
      </c>
      <c r="E565" s="7" t="n">
        <v>48</v>
      </c>
      <c r="F565" s="7" t="inlineStr">
        <is>
          <t>Detenção</t>
        </is>
      </c>
      <c r="G565" s="7" t="inlineStr">
        <is>
          <t>Pública Incondicionada</t>
        </is>
      </c>
      <c r="H565" s="7" t="inlineStr">
        <is>
          <t>Não</t>
        </is>
      </c>
      <c r="I565" s="7" t="inlineStr">
        <is>
          <t>Doloso</t>
        </is>
      </c>
      <c r="J565" s="7" t="inlineStr">
        <is>
          <t>Sim</t>
        </is>
      </c>
      <c r="K565" s="7" t="inlineStr">
        <is>
          <t>Não</t>
        </is>
      </c>
      <c r="L565" s="7" t="inlineStr">
        <is>
          <t>Não</t>
        </is>
      </c>
      <c r="M565" s="7" t="inlineStr">
        <is>
          <t>Sim</t>
        </is>
      </c>
      <c r="N565" s="7" t="inlineStr">
        <is>
          <t>Não</t>
        </is>
      </c>
      <c r="O565" s="7" t="inlineStr">
        <is>
          <t>Sim</t>
        </is>
      </c>
      <c r="P565" s="16" t="inlineStr">
        <is>
          <t>2-4 anos detenção + multa. Desenvolver clandestinamente atividade de telecomunicação</t>
        </is>
      </c>
    </row>
    <row r="566">
      <c r="A566" s="7" t="inlineStr">
        <is>
          <t>Lei 8.176/91</t>
        </is>
      </c>
      <c r="B566" s="7" t="inlineStr">
        <is>
          <t>Art. 1º</t>
        </is>
      </c>
      <c r="C566" s="16" t="inlineStr">
        <is>
          <t>Adulterar/falsificar combustível ou lubrificante, adquirir/transportar/revender/entregar a consumo combustível adulterado</t>
        </is>
      </c>
      <c r="D566" s="7" t="n">
        <v>12</v>
      </c>
      <c r="E566" s="7" t="n">
        <v>60</v>
      </c>
      <c r="F566" s="7" t="inlineStr">
        <is>
          <t>Detenção</t>
        </is>
      </c>
      <c r="G566" s="7" t="inlineStr">
        <is>
          <t>Pública Incondicionada</t>
        </is>
      </c>
      <c r="H566" s="7" t="inlineStr">
        <is>
          <t>Não</t>
        </is>
      </c>
      <c r="I566" s="7" t="inlineStr">
        <is>
          <t>Doloso</t>
        </is>
      </c>
      <c r="J566" s="7" t="inlineStr">
        <is>
          <t>Sim</t>
        </is>
      </c>
      <c r="K566" s="7" t="inlineStr">
        <is>
          <t>Não</t>
        </is>
      </c>
      <c r="L566" s="7" t="inlineStr">
        <is>
          <t>Não</t>
        </is>
      </c>
      <c r="M566" s="7" t="inlineStr">
        <is>
          <t>Sim</t>
        </is>
      </c>
      <c r="N566" s="7" t="inlineStr">
        <is>
          <t>Sim</t>
        </is>
      </c>
      <c r="O566" s="7" t="inlineStr">
        <is>
          <t>Sim</t>
        </is>
      </c>
      <c r="P566" s="16" t="inlineStr">
        <is>
          <t>1-5 anos detenção ou multa</t>
        </is>
      </c>
    </row>
    <row r="567">
      <c r="A567" s="7" t="inlineStr">
        <is>
          <t>Lei 8.176/91</t>
        </is>
      </c>
      <c r="B567" s="7" t="inlineStr">
        <is>
          <t>Art. 2º</t>
        </is>
      </c>
      <c r="C567" s="16" t="inlineStr">
        <is>
          <t>Usurpação de matérias-primas pertencentes ao patrimônio da União sem autorização legal/concessão/permissão</t>
        </is>
      </c>
      <c r="D567" s="7" t="n">
        <v>12</v>
      </c>
      <c r="E567" s="7" t="n">
        <v>60</v>
      </c>
      <c r="F567" s="7" t="inlineStr">
        <is>
          <t>Detenção</t>
        </is>
      </c>
      <c r="G567" s="7" t="inlineStr">
        <is>
          <t>Pública Incondicionada</t>
        </is>
      </c>
      <c r="H567" s="7" t="inlineStr">
        <is>
          <t>Não</t>
        </is>
      </c>
      <c r="I567" s="7" t="inlineStr">
        <is>
          <t>Doloso</t>
        </is>
      </c>
      <c r="J567" s="7" t="inlineStr">
        <is>
          <t>Sim</t>
        </is>
      </c>
      <c r="K567" s="7" t="inlineStr">
        <is>
          <t>Não</t>
        </is>
      </c>
      <c r="L567" s="7" t="inlineStr">
        <is>
          <t>Não</t>
        </is>
      </c>
      <c r="M567" s="7" t="inlineStr">
        <is>
          <t>Sim</t>
        </is>
      </c>
      <c r="N567" s="7" t="inlineStr">
        <is>
          <t>Sim</t>
        </is>
      </c>
      <c r="O567" s="7" t="inlineStr">
        <is>
          <t>Sim</t>
        </is>
      </c>
      <c r="P567" s="16" t="inlineStr">
        <is>
          <t>1-5 anos detenção + multa. §1º: +1/3 se dano ambiental</t>
        </is>
      </c>
    </row>
    <row r="568">
      <c r="A568" s="7" t="inlineStr">
        <is>
          <t>Lei 8.245/91</t>
        </is>
      </c>
      <c r="B568" s="7" t="inlineStr">
        <is>
          <t>Art. 43, I</t>
        </is>
      </c>
      <c r="C568" s="16" t="inlineStr">
        <is>
          <t>Exigir do locatário quantia além do aluguel e encargos permitidos</t>
        </is>
      </c>
      <c r="D568" s="7" t="n">
        <v>3</v>
      </c>
      <c r="E568" s="7" t="n">
        <v>12</v>
      </c>
      <c r="F568" s="7" t="inlineStr">
        <is>
          <t>Detenção</t>
        </is>
      </c>
      <c r="G568" s="7" t="inlineStr">
        <is>
          <t>Pública Incondicionada</t>
        </is>
      </c>
      <c r="H568" s="7" t="inlineStr">
        <is>
          <t>Não</t>
        </is>
      </c>
      <c r="I568" s="7" t="inlineStr">
        <is>
          <t>Doloso</t>
        </is>
      </c>
      <c r="J568" s="7" t="inlineStr">
        <is>
          <t>Sim</t>
        </is>
      </c>
      <c r="K568" s="7" t="inlineStr">
        <is>
          <t>Não</t>
        </is>
      </c>
      <c r="L568" s="7" t="inlineStr">
        <is>
          <t>Não</t>
        </is>
      </c>
      <c r="M568" s="7" t="inlineStr">
        <is>
          <t>Sim</t>
        </is>
      </c>
      <c r="N568" s="7" t="inlineStr">
        <is>
          <t>Sim</t>
        </is>
      </c>
      <c r="O568" s="7" t="inlineStr">
        <is>
          <t>Sim</t>
        </is>
      </c>
      <c r="P568" s="16" t="inlineStr">
        <is>
          <t>3 meses a 1 ano detenção + multa</t>
        </is>
      </c>
    </row>
    <row r="569">
      <c r="A569" s="7" t="inlineStr">
        <is>
          <t>Lei 8.245/91</t>
        </is>
      </c>
      <c r="B569" s="7" t="inlineStr">
        <is>
          <t>Art. 44</t>
        </is>
      </c>
      <c r="C569" s="16" t="inlineStr">
        <is>
          <t>Cobrar antecipadamente o aluguel (salvo nos casos do Art. 42)</t>
        </is>
      </c>
      <c r="D569" s="7" t="n">
        <v>5</v>
      </c>
      <c r="E569" s="7" t="n">
        <v>12</v>
      </c>
      <c r="F569" s="7" t="inlineStr">
        <is>
          <t>Detenção</t>
        </is>
      </c>
      <c r="G569" s="7" t="inlineStr">
        <is>
          <t>Pública Incondicionada</t>
        </is>
      </c>
      <c r="H569" s="7" t="inlineStr">
        <is>
          <t>Não</t>
        </is>
      </c>
      <c r="I569" s="7" t="inlineStr">
        <is>
          <t>Doloso</t>
        </is>
      </c>
      <c r="J569" s="7" t="inlineStr">
        <is>
          <t>Sim</t>
        </is>
      </c>
      <c r="K569" s="7" t="inlineStr">
        <is>
          <t>Não</t>
        </is>
      </c>
      <c r="L569" s="7" t="inlineStr">
        <is>
          <t>Não</t>
        </is>
      </c>
      <c r="M569" s="7" t="inlineStr">
        <is>
          <t>Sim</t>
        </is>
      </c>
      <c r="N569" s="7" t="inlineStr">
        <is>
          <t>Sim</t>
        </is>
      </c>
      <c r="O569" s="7" t="inlineStr">
        <is>
          <t>Sim</t>
        </is>
      </c>
      <c r="P569" s="16" t="inlineStr">
        <is>
          <t>5 dias a 6 meses detenção ou multa</t>
        </is>
      </c>
    </row>
    <row r="570">
      <c r="A570" s="26" t="inlineStr">
        <is>
          <t>Lei 1.579/52</t>
        </is>
      </c>
      <c r="B570" s="26" t="inlineStr">
        <is>
          <t>Art. 4º, I</t>
        </is>
      </c>
      <c r="C570" s="27" t="inlineStr">
        <is>
          <t>Impedimento ou tentativa de impedimento de funcionamento de CPI</t>
        </is>
      </c>
      <c r="D570" s="26" t="n">
        <v>12</v>
      </c>
      <c r="E570" s="26" t="n">
        <v>60</v>
      </c>
      <c r="F570" s="26" t="inlineStr">
        <is>
          <t>Reclusão</t>
        </is>
      </c>
      <c r="G570" s="26" t="inlineStr">
        <is>
          <t>Pública Incondicionada</t>
        </is>
      </c>
      <c r="H570" s="26" t="inlineStr">
        <is>
          <t>Não</t>
        </is>
      </c>
      <c r="I570" s="26" t="inlineStr">
        <is>
          <t>Doloso</t>
        </is>
      </c>
      <c r="J570" s="26" t="inlineStr">
        <is>
          <t>Sim</t>
        </is>
      </c>
      <c r="K570" s="26" t="inlineStr">
        <is>
          <t>Sim</t>
        </is>
      </c>
      <c r="L570" s="26" t="inlineStr">
        <is>
          <t>Sim</t>
        </is>
      </c>
      <c r="M570" s="26" t="inlineStr">
        <is>
          <t>Não</t>
        </is>
      </c>
      <c r="N570" s="26" t="inlineStr">
        <is>
          <t>Sim</t>
        </is>
      </c>
      <c r="O570" s="26" t="inlineStr">
        <is>
          <t>Sim</t>
        </is>
      </c>
      <c r="P570" s="27" t="inlineStr">
        <is>
          <t>1-5 anos reclusão</t>
        </is>
      </c>
    </row>
    <row r="571">
      <c r="A571" s="7" t="inlineStr">
        <is>
          <t>Lei 1.579/52</t>
        </is>
      </c>
      <c r="B571" s="7" t="inlineStr">
        <is>
          <t>Art. 4º, II</t>
        </is>
      </c>
      <c r="C571" s="16" t="inlineStr">
        <is>
          <t>Falso testemunho perante CPI (fazer afirmação falsa/negar/calar verdade)</t>
        </is>
      </c>
      <c r="D571" s="7" t="n">
        <v>12</v>
      </c>
      <c r="E571" s="7" t="n">
        <v>36</v>
      </c>
      <c r="F571" s="7" t="inlineStr">
        <is>
          <t>Reclusão</t>
        </is>
      </c>
      <c r="G571" s="7" t="inlineStr">
        <is>
          <t>Pública Incondicionada</t>
        </is>
      </c>
      <c r="H571" s="7" t="inlineStr">
        <is>
          <t>Não</t>
        </is>
      </c>
      <c r="I571" s="7" t="inlineStr">
        <is>
          <t>Doloso</t>
        </is>
      </c>
      <c r="J571" s="7" t="inlineStr">
        <is>
          <t>Sim</t>
        </is>
      </c>
      <c r="K571" s="7" t="inlineStr">
        <is>
          <t>Não</t>
        </is>
      </c>
      <c r="L571" s="7" t="inlineStr">
        <is>
          <t>Não</t>
        </is>
      </c>
      <c r="M571" s="7" t="inlineStr">
        <is>
          <t>Sim</t>
        </is>
      </c>
      <c r="N571" s="7" t="inlineStr">
        <is>
          <t>Sim</t>
        </is>
      </c>
      <c r="O571" s="7" t="inlineStr">
        <is>
          <t>Sim</t>
        </is>
      </c>
      <c r="P571" s="16" t="inlineStr">
        <is>
          <t>1-3 anos reclusão</t>
        </is>
      </c>
    </row>
    <row r="572">
      <c r="A572" s="7" t="inlineStr">
        <is>
          <t>Lei 13.445/17</t>
        </is>
      </c>
      <c r="B572" s="7" t="inlineStr">
        <is>
          <t>Art. 232</t>
        </is>
      </c>
      <c r="C572" s="16" t="inlineStr">
        <is>
          <t>Promoção de entrada ilegal de estrangeiro em território nacional</t>
        </is>
      </c>
      <c r="D572" s="7" t="n">
        <v>12</v>
      </c>
      <c r="E572" s="7" t="n">
        <v>36</v>
      </c>
      <c r="F572" s="7" t="inlineStr">
        <is>
          <t>Reclusão</t>
        </is>
      </c>
      <c r="G572" s="7" t="inlineStr">
        <is>
          <t>Pública Incondicionada</t>
        </is>
      </c>
      <c r="H572" s="7" t="inlineStr">
        <is>
          <t>Não</t>
        </is>
      </c>
      <c r="I572" s="7" t="inlineStr">
        <is>
          <t>Doloso</t>
        </is>
      </c>
      <c r="J572" s="7" t="inlineStr">
        <is>
          <t>Sim</t>
        </is>
      </c>
      <c r="K572" s="7" t="inlineStr">
        <is>
          <t>Não</t>
        </is>
      </c>
      <c r="L572" s="7" t="inlineStr">
        <is>
          <t>Não</t>
        </is>
      </c>
      <c r="M572" s="7" t="inlineStr">
        <is>
          <t>Sim</t>
        </is>
      </c>
      <c r="N572" s="7" t="inlineStr">
        <is>
          <t>Sim</t>
        </is>
      </c>
      <c r="O572" s="7" t="inlineStr">
        <is>
          <t>Sim</t>
        </is>
      </c>
      <c r="P572" s="16" t="inlineStr">
        <is>
          <t>1-3 anos reclusão + multa</t>
        </is>
      </c>
    </row>
    <row r="573">
      <c r="A573" s="7" t="inlineStr">
        <is>
          <t>Lei 13.445/17</t>
        </is>
      </c>
      <c r="B573" s="7" t="inlineStr">
        <is>
          <t>Art. 232, §1º</t>
        </is>
      </c>
      <c r="C573" s="16" t="inlineStr">
        <is>
          <t>Promoção de saída ilegal de pessoa de território nacional para exercer trabalho no exterior</t>
        </is>
      </c>
      <c r="D573" s="7" t="n">
        <v>24</v>
      </c>
      <c r="E573" s="7" t="n">
        <v>60</v>
      </c>
      <c r="F573" s="7" t="inlineStr">
        <is>
          <t>Reclusão</t>
        </is>
      </c>
      <c r="G573" s="7" t="inlineStr">
        <is>
          <t>Pública Incondicionada</t>
        </is>
      </c>
      <c r="H573" s="7" t="inlineStr">
        <is>
          <t>Não</t>
        </is>
      </c>
      <c r="I573" s="7" t="inlineStr">
        <is>
          <t>Doloso</t>
        </is>
      </c>
      <c r="J573" s="7" t="inlineStr">
        <is>
          <t>Sim</t>
        </is>
      </c>
      <c r="K573" s="7" t="inlineStr">
        <is>
          <t>Não</t>
        </is>
      </c>
      <c r="L573" s="7" t="inlineStr">
        <is>
          <t>Não</t>
        </is>
      </c>
      <c r="M573" s="7" t="inlineStr">
        <is>
          <t>Sim</t>
        </is>
      </c>
      <c r="N573" s="7" t="inlineStr">
        <is>
          <t>Não</t>
        </is>
      </c>
      <c r="O573" s="7" t="inlineStr">
        <is>
          <t>Sim</t>
        </is>
      </c>
      <c r="P573" s="16" t="inlineStr">
        <is>
          <t>2-5 anos reclusão + multa. Aumento de 1/3 se com intuito de lucro ou mediação de publicidade</t>
        </is>
      </c>
    </row>
    <row r="574">
      <c r="A574" s="7" t="inlineStr">
        <is>
          <t>Lei 4.729/65</t>
        </is>
      </c>
      <c r="B574" s="7" t="inlineStr">
        <is>
          <t>Art. 1º</t>
        </is>
      </c>
      <c r="C574" s="16" t="inlineStr">
        <is>
          <t>Sonegação fiscal (prestar declaração falsa/inserir elemento inexato em livro fiscal/alterar fatura para reduzir imposto)</t>
        </is>
      </c>
      <c r="D574" s="7" t="n">
        <v>6</v>
      </c>
      <c r="E574" s="7" t="n">
        <v>24</v>
      </c>
      <c r="F574" s="7" t="inlineStr">
        <is>
          <t>Detenção</t>
        </is>
      </c>
      <c r="G574" s="7" t="inlineStr">
        <is>
          <t>Pública Incondicionada</t>
        </is>
      </c>
      <c r="H574" s="7" t="inlineStr">
        <is>
          <t>Não</t>
        </is>
      </c>
      <c r="I574" s="7" t="inlineStr">
        <is>
          <t>Doloso</t>
        </is>
      </c>
      <c r="J574" s="7" t="inlineStr">
        <is>
          <t>Sim</t>
        </is>
      </c>
      <c r="K574" s="7" t="inlineStr">
        <is>
          <t>Não</t>
        </is>
      </c>
      <c r="L574" s="7" t="inlineStr">
        <is>
          <t>Não</t>
        </is>
      </c>
      <c r="M574" s="7" t="inlineStr">
        <is>
          <t>Sim</t>
        </is>
      </c>
      <c r="N574" s="7" t="inlineStr">
        <is>
          <t>Sim</t>
        </is>
      </c>
      <c r="O574" s="7" t="inlineStr">
        <is>
          <t>Sim</t>
        </is>
      </c>
      <c r="P574" s="16" t="inlineStr">
        <is>
          <t>6 meses a 2 anos detenção + multa de 2-5× o valor do tributo. Parcialmente absorvida pela Lei 8.137/90 quando houver supressão/redução de tributo</t>
        </is>
      </c>
    </row>
    <row r="575">
      <c r="A575" s="17" t="inlineStr">
        <is>
          <t>Lei 2.889/56</t>
        </is>
      </c>
      <c r="B575" s="17" t="inlineStr">
        <is>
          <t>Art. 1º, a</t>
        </is>
      </c>
      <c r="C575" s="18" t="inlineStr">
        <is>
          <t>Genocídio — matar membros do grupo</t>
        </is>
      </c>
      <c r="D575" s="17" t="n">
        <v>144</v>
      </c>
      <c r="E575" s="17" t="n">
        <v>360</v>
      </c>
      <c r="F575" s="17" t="inlineStr">
        <is>
          <t>Reclusão</t>
        </is>
      </c>
      <c r="G575" s="17" t="inlineStr">
        <is>
          <t>Pública Incondicionada</t>
        </is>
      </c>
      <c r="H575" s="17" t="inlineStr">
        <is>
          <t>Sim</t>
        </is>
      </c>
      <c r="I575" s="17" t="inlineStr">
        <is>
          <t>Doloso</t>
        </is>
      </c>
      <c r="J575" s="17" t="inlineStr">
        <is>
          <t>Sim</t>
        </is>
      </c>
      <c r="K575" s="17" t="inlineStr">
        <is>
          <t>Sim</t>
        </is>
      </c>
      <c r="L575" s="17" t="inlineStr">
        <is>
          <t>Não</t>
        </is>
      </c>
      <c r="M575" s="17" t="inlineStr">
        <is>
          <t>Não</t>
        </is>
      </c>
      <c r="N575" s="17" t="inlineStr">
        <is>
          <t>Não</t>
        </is>
      </c>
      <c r="O575" s="17" t="inlineStr">
        <is>
          <t>Verificar</t>
        </is>
      </c>
      <c r="P575" s="18" t="inlineStr">
        <is>
          <t>12-30 anos reclusão. HEDIONDO. Com intenção de destruir no todo ou em parte grupo nacional, étnico, racial ou religioso</t>
        </is>
      </c>
    </row>
    <row r="576">
      <c r="A576" s="17" t="inlineStr">
        <is>
          <t>Lei 2.889/56</t>
        </is>
      </c>
      <c r="B576" s="17" t="inlineStr">
        <is>
          <t>Art. 1º, b</t>
        </is>
      </c>
      <c r="C576" s="18" t="inlineStr">
        <is>
          <t>Genocídio — causar lesão grave à integridade física ou mental de membros do grupo</t>
        </is>
      </c>
      <c r="D576" s="17" t="n">
        <v>36</v>
      </c>
      <c r="E576" s="17" t="n">
        <v>180</v>
      </c>
      <c r="F576" s="17" t="inlineStr">
        <is>
          <t>Reclusão</t>
        </is>
      </c>
      <c r="G576" s="17" t="inlineStr">
        <is>
          <t>Pública Incondicionada</t>
        </is>
      </c>
      <c r="H576" s="17" t="inlineStr">
        <is>
          <t>Sim</t>
        </is>
      </c>
      <c r="I576" s="17" t="inlineStr">
        <is>
          <t>Doloso</t>
        </is>
      </c>
      <c r="J576" s="17" t="inlineStr">
        <is>
          <t>Sim</t>
        </is>
      </c>
      <c r="K576" s="17" t="inlineStr">
        <is>
          <t>Sim</t>
        </is>
      </c>
      <c r="L576" s="17" t="inlineStr">
        <is>
          <t>Não</t>
        </is>
      </c>
      <c r="M576" s="17" t="inlineStr">
        <is>
          <t>Não</t>
        </is>
      </c>
      <c r="N576" s="17" t="inlineStr">
        <is>
          <t>Não</t>
        </is>
      </c>
      <c r="O576" s="17" t="inlineStr">
        <is>
          <t>Verificar</t>
        </is>
      </c>
      <c r="P576" s="18" t="inlineStr">
        <is>
          <t>3-15 anos reclusão. HEDIONDO. Lesão do Art. 129 §§1º e 2º</t>
        </is>
      </c>
    </row>
    <row r="577">
      <c r="A577" s="17" t="inlineStr">
        <is>
          <t>Lei 2.889/56</t>
        </is>
      </c>
      <c r="B577" s="17" t="inlineStr">
        <is>
          <t>Art. 1º, c</t>
        </is>
      </c>
      <c r="C577" s="18" t="inlineStr">
        <is>
          <t>Genocídio — submeter membros do grupo a condições de existência que provocarão sua destruição física total ou parcial</t>
        </is>
      </c>
      <c r="D577" s="17" t="n">
        <v>24</v>
      </c>
      <c r="E577" s="17" t="n">
        <v>180</v>
      </c>
      <c r="F577" s="17" t="inlineStr">
        <is>
          <t>Reclusão</t>
        </is>
      </c>
      <c r="G577" s="17" t="inlineStr">
        <is>
          <t>Pública Incondicionada</t>
        </is>
      </c>
      <c r="H577" s="17" t="inlineStr">
        <is>
          <t>Sim</t>
        </is>
      </c>
      <c r="I577" s="17" t="inlineStr">
        <is>
          <t>Doloso</t>
        </is>
      </c>
      <c r="J577" s="17" t="inlineStr">
        <is>
          <t>Sim</t>
        </is>
      </c>
      <c r="K577" s="17" t="inlineStr">
        <is>
          <t>Não</t>
        </is>
      </c>
      <c r="L577" s="17" t="inlineStr">
        <is>
          <t>Não</t>
        </is>
      </c>
      <c r="M577" s="17" t="inlineStr">
        <is>
          <t>Não</t>
        </is>
      </c>
      <c r="N577" s="17" t="inlineStr">
        <is>
          <t>Não</t>
        </is>
      </c>
      <c r="O577" s="17" t="inlineStr">
        <is>
          <t>Sim</t>
        </is>
      </c>
      <c r="P577" s="18" t="inlineStr">
        <is>
          <t>2-15 anos reclusão. HEDIONDO</t>
        </is>
      </c>
    </row>
    <row r="578">
      <c r="A578" s="17" t="inlineStr">
        <is>
          <t>Lei 2.889/56</t>
        </is>
      </c>
      <c r="B578" s="17" t="inlineStr">
        <is>
          <t>Art. 1º, d</t>
        </is>
      </c>
      <c r="C578" s="18" t="inlineStr">
        <is>
          <t>Genocídio — adotar medidas para impedir nascimentos no seio do grupo</t>
        </is>
      </c>
      <c r="D578" s="17" t="n">
        <v>24</v>
      </c>
      <c r="E578" s="17" t="n">
        <v>180</v>
      </c>
      <c r="F578" s="17" t="inlineStr">
        <is>
          <t>Reclusão</t>
        </is>
      </c>
      <c r="G578" s="17" t="inlineStr">
        <is>
          <t>Pública Incondicionada</t>
        </is>
      </c>
      <c r="H578" s="17" t="inlineStr">
        <is>
          <t>Sim</t>
        </is>
      </c>
      <c r="I578" s="17" t="inlineStr">
        <is>
          <t>Doloso</t>
        </is>
      </c>
      <c r="J578" s="17" t="inlineStr">
        <is>
          <t>Sim</t>
        </is>
      </c>
      <c r="K578" s="17" t="inlineStr">
        <is>
          <t>Não</t>
        </is>
      </c>
      <c r="L578" s="17" t="inlineStr">
        <is>
          <t>Não</t>
        </is>
      </c>
      <c r="M578" s="17" t="inlineStr">
        <is>
          <t>Não</t>
        </is>
      </c>
      <c r="N578" s="17" t="inlineStr">
        <is>
          <t>Não</t>
        </is>
      </c>
      <c r="O578" s="17" t="inlineStr">
        <is>
          <t>Sim</t>
        </is>
      </c>
      <c r="P578" s="18" t="inlineStr">
        <is>
          <t>2-15 anos reclusão. HEDIONDO</t>
        </is>
      </c>
    </row>
    <row r="579">
      <c r="A579" s="17" t="inlineStr">
        <is>
          <t>Lei 2.889/56</t>
        </is>
      </c>
      <c r="B579" s="17" t="inlineStr">
        <is>
          <t>Art. 1º, e</t>
        </is>
      </c>
      <c r="C579" s="18" t="inlineStr">
        <is>
          <t>Genocídio — transferir forçadamente crianças do grupo para outro grupo</t>
        </is>
      </c>
      <c r="D579" s="17" t="n">
        <v>24</v>
      </c>
      <c r="E579" s="17" t="n">
        <v>180</v>
      </c>
      <c r="F579" s="17" t="inlineStr">
        <is>
          <t>Reclusão</t>
        </is>
      </c>
      <c r="G579" s="17" t="inlineStr">
        <is>
          <t>Pública Incondicionada</t>
        </is>
      </c>
      <c r="H579" s="17" t="inlineStr">
        <is>
          <t>Sim</t>
        </is>
      </c>
      <c r="I579" s="17" t="inlineStr">
        <is>
          <t>Doloso</t>
        </is>
      </c>
      <c r="J579" s="17" t="inlineStr">
        <is>
          <t>Sim</t>
        </is>
      </c>
      <c r="K579" s="17" t="inlineStr">
        <is>
          <t>Não</t>
        </is>
      </c>
      <c r="L579" s="17" t="inlineStr">
        <is>
          <t>Não</t>
        </is>
      </c>
      <c r="M579" s="17" t="inlineStr">
        <is>
          <t>Não</t>
        </is>
      </c>
      <c r="N579" s="17" t="inlineStr">
        <is>
          <t>Não</t>
        </is>
      </c>
      <c r="O579" s="17" t="inlineStr">
        <is>
          <t>Sim</t>
        </is>
      </c>
      <c r="P579" s="18" t="inlineStr">
        <is>
          <t>2-15 anos reclusão. HEDIONDO</t>
        </is>
      </c>
    </row>
    <row r="580">
      <c r="A580" s="17" t="inlineStr">
        <is>
          <t>Lei 2.889/56</t>
        </is>
      </c>
      <c r="B580" s="17" t="inlineStr">
        <is>
          <t>Art. 2º</t>
        </is>
      </c>
      <c r="C580" s="18" t="inlineStr">
        <is>
          <t>Associação para genocídio (3+ pessoas)</t>
        </is>
      </c>
      <c r="D580" s="17" t="n">
        <v>12</v>
      </c>
      <c r="E580" s="17" t="n">
        <v>60</v>
      </c>
      <c r="F580" s="17" t="inlineStr">
        <is>
          <t>Reclusão</t>
        </is>
      </c>
      <c r="G580" s="17" t="inlineStr">
        <is>
          <t>Pública Incondicionada</t>
        </is>
      </c>
      <c r="H580" s="17" t="inlineStr">
        <is>
          <t>Sim</t>
        </is>
      </c>
      <c r="I580" s="17" t="inlineStr">
        <is>
          <t>Doloso</t>
        </is>
      </c>
      <c r="J580" s="17" t="inlineStr">
        <is>
          <t>Não</t>
        </is>
      </c>
      <c r="K580" s="17" t="inlineStr">
        <is>
          <t>Não</t>
        </is>
      </c>
      <c r="L580" s="17" t="inlineStr">
        <is>
          <t>Não</t>
        </is>
      </c>
      <c r="M580" s="17" t="inlineStr">
        <is>
          <t>Não</t>
        </is>
      </c>
      <c r="N580" s="17" t="inlineStr">
        <is>
          <t>Sim</t>
        </is>
      </c>
      <c r="O580" s="17" t="inlineStr">
        <is>
          <t>Sim</t>
        </is>
      </c>
      <c r="P580" s="18" t="inlineStr">
        <is>
          <t>1/2 da pena do Art. 1º. HEDIONDO</t>
        </is>
      </c>
    </row>
    <row r="581">
      <c r="A581" s="17" t="inlineStr">
        <is>
          <t>Lei 2.889/56</t>
        </is>
      </c>
      <c r="B581" s="17" t="inlineStr">
        <is>
          <t>Art. 3º</t>
        </is>
      </c>
      <c r="C581" s="18" t="inlineStr">
        <is>
          <t>Incitação ao genocídio (incitar/induzir direta e publicamente a praticar genocídio)</t>
        </is>
      </c>
      <c r="D581" s="17" t="n">
        <v>36</v>
      </c>
      <c r="E581" s="17" t="n">
        <v>60</v>
      </c>
      <c r="F581" s="17" t="inlineStr">
        <is>
          <t>Reclusão</t>
        </is>
      </c>
      <c r="G581" s="17" t="inlineStr">
        <is>
          <t>Pública Incondicionada</t>
        </is>
      </c>
      <c r="H581" s="17" t="inlineStr">
        <is>
          <t>Sim</t>
        </is>
      </c>
      <c r="I581" s="17" t="inlineStr">
        <is>
          <t>Doloso</t>
        </is>
      </c>
      <c r="J581" s="17" t="inlineStr">
        <is>
          <t>Sim</t>
        </is>
      </c>
      <c r="K581" s="17" t="inlineStr">
        <is>
          <t>Não</t>
        </is>
      </c>
      <c r="L581" s="17" t="inlineStr">
        <is>
          <t>Não</t>
        </is>
      </c>
      <c r="M581" s="17" t="inlineStr">
        <is>
          <t>Não</t>
        </is>
      </c>
      <c r="N581" s="17" t="inlineStr">
        <is>
          <t>Não</t>
        </is>
      </c>
      <c r="O581" s="17" t="inlineStr">
        <is>
          <t>Verificar</t>
        </is>
      </c>
      <c r="P581" s="18" t="inlineStr">
        <is>
          <t>3-5 anos reclusão. HEDIONDO</t>
        </is>
      </c>
    </row>
    <row r="582">
      <c r="A582" s="26" t="inlineStr">
        <is>
          <t>CP</t>
        </is>
      </c>
      <c r="B582" s="26" t="inlineStr">
        <is>
          <t>Art. 149-A</t>
        </is>
      </c>
      <c r="C582" s="27" t="inlineStr">
        <is>
          <t>Tráfico de pessoas</t>
        </is>
      </c>
      <c r="D582" s="26" t="n">
        <v>48</v>
      </c>
      <c r="E582" s="26" t="n">
        <v>96</v>
      </c>
      <c r="F582" s="26" t="inlineStr">
        <is>
          <t>Reclusão</t>
        </is>
      </c>
      <c r="G582" s="26" t="inlineStr">
        <is>
          <t>Pública Incondicionada</t>
        </is>
      </c>
      <c r="H582" s="26" t="inlineStr">
        <is>
          <t>Não</t>
        </is>
      </c>
      <c r="I582" s="26" t="inlineStr">
        <is>
          <t>Doloso</t>
        </is>
      </c>
      <c r="J582" s="26" t="inlineStr">
        <is>
          <t>Sim</t>
        </is>
      </c>
      <c r="K582" s="26" t="inlineStr">
        <is>
          <t>Sim</t>
        </is>
      </c>
      <c r="L582" s="26" t="inlineStr">
        <is>
          <t>Sim</t>
        </is>
      </c>
      <c r="M582" s="26" t="inlineStr">
        <is>
          <t>Não</t>
        </is>
      </c>
      <c r="N582" s="26" t="inlineStr">
        <is>
          <t>Não</t>
        </is>
      </c>
      <c r="O582" s="26" t="inlineStr">
        <is>
          <t>Verificar</t>
        </is>
      </c>
      <c r="P582" s="27" t="inlineStr">
        <is>
          <t>4-8 anos reclusão + multa. Agenciar/aliciar/recrutar/transportar/transferir/comprar/alojar/acolher pessoa, mediante grave ameaça, violência, coação, fraude ou abuso para: I - remoção de órgãos; II - trabalho escravo; III - servidão; IV - adoção ilegal; V - exploração sexual. §1º: +1/3 a 1/2 se contra menor; por funcionário público; se a vítima é retirada do território nacional. Lei 13.344/2016</t>
        </is>
      </c>
    </row>
    <row r="583">
      <c r="A583" s="7" t="inlineStr">
        <is>
          <t>Lei 6.001/73</t>
        </is>
      </c>
      <c r="B583" s="7" t="inlineStr">
        <is>
          <t>Art. 58</t>
        </is>
      </c>
      <c r="C583" s="16" t="inlineStr">
        <is>
          <t>Crimes contra índios — vilipendiar/atentar contra patrimônio cultural/integridade de povo indígena</t>
        </is>
      </c>
      <c r="D583" s="7" t="n">
        <v>24</v>
      </c>
      <c r="E583" s="7" t="n">
        <v>72</v>
      </c>
      <c r="F583" s="7" t="inlineStr">
        <is>
          <t>Reclusão</t>
        </is>
      </c>
      <c r="G583" s="7" t="inlineStr">
        <is>
          <t>Pública Incondicionada</t>
        </is>
      </c>
      <c r="H583" s="7" t="inlineStr">
        <is>
          <t>Não</t>
        </is>
      </c>
      <c r="I583" s="7" t="inlineStr">
        <is>
          <t>Doloso</t>
        </is>
      </c>
      <c r="J583" s="7" t="inlineStr">
        <is>
          <t>Sim</t>
        </is>
      </c>
      <c r="K583" s="7" t="inlineStr">
        <is>
          <t>Não</t>
        </is>
      </c>
      <c r="L583" s="7" t="inlineStr">
        <is>
          <t>Não</t>
        </is>
      </c>
      <c r="M583" s="7" t="inlineStr">
        <is>
          <t>Sim</t>
        </is>
      </c>
      <c r="N583" s="7" t="inlineStr">
        <is>
          <t>Não</t>
        </is>
      </c>
      <c r="O583" s="7" t="inlineStr">
        <is>
          <t>Sim</t>
        </is>
      </c>
      <c r="P583" s="16" t="inlineStr">
        <is>
          <t>2-6 anos reclusão. Constitui crime contra os índios e a cultura indígena</t>
        </is>
      </c>
    </row>
    <row r="584">
      <c r="A584" s="26" t="inlineStr">
        <is>
          <t>Lei 14.192/21</t>
        </is>
      </c>
      <c r="B584" s="26" t="inlineStr">
        <is>
          <t>Art. 326-B (CE)</t>
        </is>
      </c>
      <c r="C584" s="27" t="inlineStr">
        <is>
          <t>Violência política contra a mulher (assediar/constranger/humilhar/perseguir/ameaçar candidata ou mandatária)</t>
        </is>
      </c>
      <c r="D584" s="26" t="n">
        <v>12</v>
      </c>
      <c r="E584" s="26" t="n">
        <v>48</v>
      </c>
      <c r="F584" s="26" t="inlineStr">
        <is>
          <t>Reclusão</t>
        </is>
      </c>
      <c r="G584" s="26" t="inlineStr">
        <is>
          <t>Pública Incondicionada</t>
        </is>
      </c>
      <c r="H584" s="26" t="inlineStr">
        <is>
          <t>Não</t>
        </is>
      </c>
      <c r="I584" s="26" t="inlineStr">
        <is>
          <t>Doloso</t>
        </is>
      </c>
      <c r="J584" s="26" t="inlineStr">
        <is>
          <t>Sim</t>
        </is>
      </c>
      <c r="K584" s="26" t="inlineStr">
        <is>
          <t>Sim</t>
        </is>
      </c>
      <c r="L584" s="26" t="inlineStr">
        <is>
          <t>Sim</t>
        </is>
      </c>
      <c r="M584" s="26" t="inlineStr">
        <is>
          <t>Não</t>
        </is>
      </c>
      <c r="N584" s="26" t="inlineStr">
        <is>
          <t>Sim</t>
        </is>
      </c>
      <c r="O584" s="26" t="inlineStr">
        <is>
          <t>Sim</t>
        </is>
      </c>
      <c r="P584" s="27" t="inlineStr">
        <is>
          <t>1-4 anos reclusão + multa. Assediar, constranger, humilhar, perseguir ou ameaçar, por qualquer meio, candidata a cargo eletivo ou detentora de mandato eletivo, utilizando-se de menosprezo ou discriminação à condição de mulher ou à sua cor, raça ou etnia</t>
        </is>
      </c>
    </row>
    <row r="585">
      <c r="A585" s="7" t="inlineStr">
        <is>
          <t>Lei 4.591/64</t>
        </is>
      </c>
      <c r="B585" s="7" t="inlineStr">
        <is>
          <t>Art. 65</t>
        </is>
      </c>
      <c r="C585" s="16" t="inlineStr">
        <is>
          <t>Crime contra a economia popular na incorporação imobiliária (promover incorporação em desacordo com normas/contrato/aplicar recursos em desacordo com plano)</t>
        </is>
      </c>
      <c r="D585" s="7" t="n">
        <v>12</v>
      </c>
      <c r="E585" s="7" t="n">
        <v>60</v>
      </c>
      <c r="F585" s="7" t="inlineStr">
        <is>
          <t>Reclusão</t>
        </is>
      </c>
      <c r="G585" s="7" t="inlineStr">
        <is>
          <t>Pública Incondicionada</t>
        </is>
      </c>
      <c r="H585" s="7" t="inlineStr">
        <is>
          <t>Não</t>
        </is>
      </c>
      <c r="I585" s="7" t="inlineStr">
        <is>
          <t>Doloso</t>
        </is>
      </c>
      <c r="J585" s="7" t="inlineStr">
        <is>
          <t>Sim</t>
        </is>
      </c>
      <c r="K585" s="7" t="inlineStr">
        <is>
          <t>Não</t>
        </is>
      </c>
      <c r="L585" s="7" t="inlineStr">
        <is>
          <t>Não</t>
        </is>
      </c>
      <c r="M585" s="7" t="inlineStr">
        <is>
          <t>Sim</t>
        </is>
      </c>
      <c r="N585" s="7" t="inlineStr">
        <is>
          <t>Sim</t>
        </is>
      </c>
      <c r="O585" s="7" t="inlineStr">
        <is>
          <t>Sim</t>
        </is>
      </c>
      <c r="P585" s="16" t="inlineStr">
        <is>
          <t>1-5 anos reclusão + multa. Crime contra a economia popular</t>
        </is>
      </c>
    </row>
    <row r="586">
      <c r="A586" s="28" t="inlineStr">
        <is>
          <t>LGPD (Lei 13.709/18)</t>
        </is>
      </c>
      <c r="B586" s="28" t="inlineStr">
        <is>
          <t>—</t>
        </is>
      </c>
      <c r="C586" s="29" t="inlineStr">
        <is>
          <t>REFERÊNCIA — A LGPD não tipifica crimes específicos. Sanções administrativas apenas (Arts. 52-54). Crimes de vazamento de dados pessoais podem ser enquadrados nos Arts. 153-A, 154-A CP ou na Lei de Interceptação Telefônica</t>
        </is>
      </c>
      <c r="D586" s="28" t="inlineStr">
        <is>
          <t>—</t>
        </is>
      </c>
      <c r="E586" s="28" t="inlineStr">
        <is>
          <t>—</t>
        </is>
      </c>
      <c r="F586" s="28" t="inlineStr">
        <is>
          <t>—</t>
        </is>
      </c>
      <c r="G586" s="28" t="inlineStr">
        <is>
          <t>—</t>
        </is>
      </c>
      <c r="H586" s="28" t="inlineStr">
        <is>
          <t>—</t>
        </is>
      </c>
      <c r="I586" s="28" t="inlineStr">
        <is>
          <t>—</t>
        </is>
      </c>
      <c r="J586" s="28" t="inlineStr">
        <is>
          <t>—</t>
        </is>
      </c>
      <c r="K586" s="28" t="inlineStr">
        <is>
          <t>—</t>
        </is>
      </c>
      <c r="L586" s="28" t="inlineStr">
        <is>
          <t>—</t>
        </is>
      </c>
      <c r="M586" s="28" t="inlineStr">
        <is>
          <t>—</t>
        </is>
      </c>
      <c r="N586" s="28" t="inlineStr">
        <is>
          <t>—</t>
        </is>
      </c>
      <c r="O586" s="28" t="inlineStr">
        <is>
          <t>—</t>
        </is>
      </c>
      <c r="P586" s="29" t="inlineStr">
        <is>
          <t>REFERÊNCIA — sanções administrativas (advertência, multa até 2% do faturamento/R$50 milhões, bloqueio/eliminação de dados). Não há tipo penal autônomo na LGPD</t>
        </is>
      </c>
    </row>
    <row r="587">
      <c r="A587" s="26" t="inlineStr">
        <is>
          <t>Lei 9.434/97</t>
        </is>
      </c>
      <c r="B587" s="26" t="inlineStr">
        <is>
          <t>Art. 14</t>
        </is>
      </c>
      <c r="C587" s="27" t="inlineStr">
        <is>
          <t>Remover tecidos/órgãos/partes do corpo de pessoa ou cadáver em desacordo com a lei</t>
        </is>
      </c>
      <c r="D587" s="26" t="n">
        <v>24</v>
      </c>
      <c r="E587" s="26" t="n">
        <v>72</v>
      </c>
      <c r="F587" s="26" t="inlineStr">
        <is>
          <t>Reclusão</t>
        </is>
      </c>
      <c r="G587" s="26" t="inlineStr">
        <is>
          <t>Pública Incondicionada</t>
        </is>
      </c>
      <c r="H587" s="26" t="inlineStr">
        <is>
          <t>Não</t>
        </is>
      </c>
      <c r="I587" s="26" t="inlineStr">
        <is>
          <t>Doloso</t>
        </is>
      </c>
      <c r="J587" s="26" t="inlineStr">
        <is>
          <t>Sim</t>
        </is>
      </c>
      <c r="K587" s="26" t="inlineStr">
        <is>
          <t>Sim</t>
        </is>
      </c>
      <c r="L587" s="26" t="inlineStr">
        <is>
          <t>Não</t>
        </is>
      </c>
      <c r="M587" s="26" t="inlineStr">
        <is>
          <t>Não</t>
        </is>
      </c>
      <c r="N587" s="26" t="inlineStr">
        <is>
          <t>Não</t>
        </is>
      </c>
      <c r="O587" s="26" t="inlineStr">
        <is>
          <t>Sim</t>
        </is>
      </c>
      <c r="P587" s="27" t="inlineStr">
        <is>
          <t>2-6 anos reclusão + multa. §1º: se o crime é cometido mediante paga ou promessa de recompensa: 3-8 anos. §2º: se dano permanente: 3-8 anos</t>
        </is>
      </c>
    </row>
    <row r="588">
      <c r="A588" s="26" t="inlineStr">
        <is>
          <t>Lei 9.434/97</t>
        </is>
      </c>
      <c r="B588" s="26" t="inlineStr">
        <is>
          <t>Art. 14, §1º</t>
        </is>
      </c>
      <c r="C588" s="27" t="inlineStr">
        <is>
          <t>Remoção de órgãos/tecidos mediante paga ou promessa de recompensa</t>
        </is>
      </c>
      <c r="D588" s="26" t="n">
        <v>36</v>
      </c>
      <c r="E588" s="26" t="n">
        <v>96</v>
      </c>
      <c r="F588" s="26" t="inlineStr">
        <is>
          <t>Reclusão</t>
        </is>
      </c>
      <c r="G588" s="26" t="inlineStr">
        <is>
          <t>Pública Incondicionada</t>
        </is>
      </c>
      <c r="H588" s="26" t="inlineStr">
        <is>
          <t>Não</t>
        </is>
      </c>
      <c r="I588" s="26" t="inlineStr">
        <is>
          <t>Doloso</t>
        </is>
      </c>
      <c r="J588" s="26" t="inlineStr">
        <is>
          <t>Sim</t>
        </is>
      </c>
      <c r="K588" s="26" t="inlineStr">
        <is>
          <t>Sim</t>
        </is>
      </c>
      <c r="L588" s="26" t="inlineStr">
        <is>
          <t>Não</t>
        </is>
      </c>
      <c r="M588" s="26" t="inlineStr">
        <is>
          <t>Não</t>
        </is>
      </c>
      <c r="N588" s="26" t="inlineStr">
        <is>
          <t>Não</t>
        </is>
      </c>
      <c r="O588" s="26" t="inlineStr">
        <is>
          <t>Verificar</t>
        </is>
      </c>
      <c r="P588" s="27" t="inlineStr">
        <is>
          <t>3-8 anos reclusão + multa. Qualificadora pelo fim de lucro</t>
        </is>
      </c>
    </row>
    <row r="589">
      <c r="A589" s="7" t="inlineStr">
        <is>
          <t>Lei 9.434/97</t>
        </is>
      </c>
      <c r="B589" s="7" t="inlineStr">
        <is>
          <t>Art. 15</t>
        </is>
      </c>
      <c r="C589" s="16" t="inlineStr">
        <is>
          <t>Comprar ou vender tecidos/órgãos/partes do corpo humano</t>
        </is>
      </c>
      <c r="D589" s="7" t="n">
        <v>36</v>
      </c>
      <c r="E589" s="7" t="n">
        <v>96</v>
      </c>
      <c r="F589" s="7" t="inlineStr">
        <is>
          <t>Reclusão</t>
        </is>
      </c>
      <c r="G589" s="7" t="inlineStr">
        <is>
          <t>Pública Incondicionada</t>
        </is>
      </c>
      <c r="H589" s="7" t="inlineStr">
        <is>
          <t>Não</t>
        </is>
      </c>
      <c r="I589" s="7" t="inlineStr">
        <is>
          <t>Doloso</t>
        </is>
      </c>
      <c r="J589" s="7" t="inlineStr">
        <is>
          <t>Sim</t>
        </is>
      </c>
      <c r="K589" s="7" t="inlineStr">
        <is>
          <t>Não</t>
        </is>
      </c>
      <c r="L589" s="7" t="inlineStr">
        <is>
          <t>Não</t>
        </is>
      </c>
      <c r="M589" s="7" t="inlineStr">
        <is>
          <t>Sim</t>
        </is>
      </c>
      <c r="N589" s="7" t="inlineStr">
        <is>
          <t>Não</t>
        </is>
      </c>
      <c r="O589" s="7" t="inlineStr">
        <is>
          <t>Verificar</t>
        </is>
      </c>
      <c r="P589" s="16" t="inlineStr">
        <is>
          <t>3-8 anos reclusão + multa. §único: incorre na mesma pena quem promove, intermedeia, facilita ou aufere qualquer vantagem com a transação</t>
        </is>
      </c>
    </row>
    <row r="590">
      <c r="A590" s="7" t="inlineStr">
        <is>
          <t>Lei 9.434/97</t>
        </is>
      </c>
      <c r="B590" s="7" t="inlineStr">
        <is>
          <t>Art. 16</t>
        </is>
      </c>
      <c r="C590" s="16" t="inlineStr">
        <is>
          <t>Realizar transplante com órgãos/tecidos obtidos em desacordo com a lei</t>
        </is>
      </c>
      <c r="D590" s="7" t="n">
        <v>12</v>
      </c>
      <c r="E590" s="7" t="n">
        <v>72</v>
      </c>
      <c r="F590" s="7" t="inlineStr">
        <is>
          <t>Reclusão</t>
        </is>
      </c>
      <c r="G590" s="7" t="inlineStr">
        <is>
          <t>Pública Incondicionada</t>
        </is>
      </c>
      <c r="H590" s="7" t="inlineStr">
        <is>
          <t>Não</t>
        </is>
      </c>
      <c r="I590" s="7" t="inlineStr">
        <is>
          <t>Doloso</t>
        </is>
      </c>
      <c r="J590" s="7" t="inlineStr">
        <is>
          <t>Sim</t>
        </is>
      </c>
      <c r="K590" s="7" t="inlineStr">
        <is>
          <t>Não</t>
        </is>
      </c>
      <c r="L590" s="7" t="inlineStr">
        <is>
          <t>Não</t>
        </is>
      </c>
      <c r="M590" s="7" t="inlineStr">
        <is>
          <t>Sim</t>
        </is>
      </c>
      <c r="N590" s="7" t="inlineStr">
        <is>
          <t>Sim</t>
        </is>
      </c>
      <c r="O590" s="7" t="inlineStr">
        <is>
          <t>Sim</t>
        </is>
      </c>
      <c r="P590" s="16" t="inlineStr">
        <is>
          <t>1-6 anos reclusão + multa. Médico/enfermeiro que realiza o procedimento sabendo da irregularidade</t>
        </is>
      </c>
    </row>
    <row r="591">
      <c r="A591" s="7" t="inlineStr">
        <is>
          <t>Lei 9.434/97</t>
        </is>
      </c>
      <c r="B591" s="7" t="inlineStr">
        <is>
          <t>Art. 17</t>
        </is>
      </c>
      <c r="C591" s="16" t="inlineStr">
        <is>
          <t>Recolher tecidos/órgãos/partes de cadáver para transplante, inclusive para tecidos, sem autorização do cônjuge ou parente</t>
        </is>
      </c>
      <c r="D591" s="7" t="n">
        <v>6</v>
      </c>
      <c r="E591" s="7" t="n">
        <v>24</v>
      </c>
      <c r="F591" s="7" t="inlineStr">
        <is>
          <t>Detenção</t>
        </is>
      </c>
      <c r="G591" s="7" t="inlineStr">
        <is>
          <t>Pública Incondicionada</t>
        </is>
      </c>
      <c r="H591" s="7" t="inlineStr">
        <is>
          <t>Não</t>
        </is>
      </c>
      <c r="I591" s="7" t="inlineStr">
        <is>
          <t>Doloso</t>
        </is>
      </c>
      <c r="J591" s="7" t="inlineStr">
        <is>
          <t>Sim</t>
        </is>
      </c>
      <c r="K591" s="7" t="inlineStr">
        <is>
          <t>Não</t>
        </is>
      </c>
      <c r="L591" s="7" t="inlineStr">
        <is>
          <t>Não</t>
        </is>
      </c>
      <c r="M591" s="7" t="inlineStr">
        <is>
          <t>Sim</t>
        </is>
      </c>
      <c r="N591" s="7" t="inlineStr">
        <is>
          <t>Sim</t>
        </is>
      </c>
      <c r="O591" s="7" t="inlineStr">
        <is>
          <t>Sim</t>
        </is>
      </c>
      <c r="P591" s="16" t="inlineStr">
        <is>
          <t>6 meses a 2 anos detenção</t>
        </is>
      </c>
    </row>
    <row r="592">
      <c r="A592" s="7" t="inlineStr">
        <is>
          <t>Lei 9.434/97</t>
        </is>
      </c>
      <c r="B592" s="7" t="inlineStr">
        <is>
          <t>Art. 18</t>
        </is>
      </c>
      <c r="C592" s="16" t="inlineStr">
        <is>
          <t>Realizar transplante de tecidos, órgãos ou partes de corpo entre pessoas vivas não parentas ou conjugais sem autorização judicial</t>
        </is>
      </c>
      <c r="D592" s="7" t="n">
        <v>24</v>
      </c>
      <c r="E592" s="7" t="n">
        <v>48</v>
      </c>
      <c r="F592" s="7" t="inlineStr">
        <is>
          <t>Reclusão</t>
        </is>
      </c>
      <c r="G592" s="7" t="inlineStr">
        <is>
          <t>Pública Incondicionada</t>
        </is>
      </c>
      <c r="H592" s="7" t="inlineStr">
        <is>
          <t>Não</t>
        </is>
      </c>
      <c r="I592" s="7" t="inlineStr">
        <is>
          <t>Doloso</t>
        </is>
      </c>
      <c r="J592" s="7" t="inlineStr">
        <is>
          <t>Sim</t>
        </is>
      </c>
      <c r="K592" s="7" t="inlineStr">
        <is>
          <t>Não</t>
        </is>
      </c>
      <c r="L592" s="7" t="inlineStr">
        <is>
          <t>Não</t>
        </is>
      </c>
      <c r="M592" s="7" t="inlineStr">
        <is>
          <t>Sim</t>
        </is>
      </c>
      <c r="N592" s="7" t="inlineStr">
        <is>
          <t>Não</t>
        </is>
      </c>
      <c r="O592" s="7" t="inlineStr">
        <is>
          <t>Sim</t>
        </is>
      </c>
      <c r="P592" s="16" t="inlineStr">
        <is>
          <t>2-4 anos reclusão + multa. Quando não se tratar de tecidos regeneráveis entre cônjuges ou parentes consanguíneos</t>
        </is>
      </c>
    </row>
    <row r="593">
      <c r="A593" s="7" t="inlineStr">
        <is>
          <t>Lei 9.029/95</t>
        </is>
      </c>
      <c r="B593" s="7" t="inlineStr">
        <is>
          <t>Art. 2º</t>
        </is>
      </c>
      <c r="C593" s="16" t="inlineStr">
        <is>
          <t>Exigir teste/exame de gravidez ou esterilização para admissão ou permanência no emprego</t>
        </is>
      </c>
      <c r="D593" s="7" t="n">
        <v>12</v>
      </c>
      <c r="E593" s="7" t="n">
        <v>24</v>
      </c>
      <c r="F593" s="7" t="inlineStr">
        <is>
          <t>Detenção</t>
        </is>
      </c>
      <c r="G593" s="7" t="inlineStr">
        <is>
          <t>Pública Incondicionada</t>
        </is>
      </c>
      <c r="H593" s="7" t="inlineStr">
        <is>
          <t>Não</t>
        </is>
      </c>
      <c r="I593" s="7" t="inlineStr">
        <is>
          <t>Doloso</t>
        </is>
      </c>
      <c r="J593" s="7" t="inlineStr">
        <is>
          <t>Sim</t>
        </is>
      </c>
      <c r="K593" s="7" t="inlineStr">
        <is>
          <t>Não</t>
        </is>
      </c>
      <c r="L593" s="7" t="inlineStr">
        <is>
          <t>Não</t>
        </is>
      </c>
      <c r="M593" s="7" t="inlineStr">
        <is>
          <t>Sim</t>
        </is>
      </c>
      <c r="N593" s="7" t="inlineStr">
        <is>
          <t>Sim</t>
        </is>
      </c>
      <c r="O593" s="7" t="inlineStr">
        <is>
          <t>Sim</t>
        </is>
      </c>
      <c r="P593" s="16" t="inlineStr">
        <is>
          <t>1-2 anos detenção + multa. Práticas discriminatórias para admissão ou permanência da relação jurídica de trabalho</t>
        </is>
      </c>
    </row>
    <row r="594">
      <c r="A594" s="7" t="inlineStr">
        <is>
          <t>Lei 9.029/95</t>
        </is>
      </c>
      <c r="B594" s="7" t="inlineStr">
        <is>
          <t>Art. 2º, I</t>
        </is>
      </c>
      <c r="C594" s="16" t="inlineStr">
        <is>
          <t>Exigir atestado ou exame de qualquer natureza para comprovação de esterilidade ou gravidez</t>
        </is>
      </c>
      <c r="D594" s="7" t="n">
        <v>12</v>
      </c>
      <c r="E594" s="7" t="n">
        <v>24</v>
      </c>
      <c r="F594" s="7" t="inlineStr">
        <is>
          <t>Detenção</t>
        </is>
      </c>
      <c r="G594" s="7" t="inlineStr">
        <is>
          <t>Pública Incondicionada</t>
        </is>
      </c>
      <c r="H594" s="7" t="inlineStr">
        <is>
          <t>Não</t>
        </is>
      </c>
      <c r="I594" s="7" t="inlineStr">
        <is>
          <t>Doloso</t>
        </is>
      </c>
      <c r="J594" s="7" t="inlineStr">
        <is>
          <t>Sim</t>
        </is>
      </c>
      <c r="K594" s="7" t="inlineStr">
        <is>
          <t>Não</t>
        </is>
      </c>
      <c r="L594" s="7" t="inlineStr">
        <is>
          <t>Não</t>
        </is>
      </c>
      <c r="M594" s="7" t="inlineStr">
        <is>
          <t>Sim</t>
        </is>
      </c>
      <c r="N594" s="7" t="inlineStr">
        <is>
          <t>Sim</t>
        </is>
      </c>
      <c r="O594" s="7" t="inlineStr">
        <is>
          <t>Sim</t>
        </is>
      </c>
      <c r="P594" s="16" t="inlineStr">
        <is>
          <t>1-2 anos detenção + multa</t>
        </is>
      </c>
    </row>
    <row r="595">
      <c r="A595" s="7" t="inlineStr">
        <is>
          <t>Lei 9.029/95</t>
        </is>
      </c>
      <c r="B595" s="7" t="inlineStr">
        <is>
          <t>Art. 2º, II</t>
        </is>
      </c>
      <c r="C595" s="16" t="inlineStr">
        <is>
          <t>Induzir ou instigar esterilização genética ou promoção de controle de natalidade (exceto aconselhamento médico)</t>
        </is>
      </c>
      <c r="D595" s="7" t="n">
        <v>12</v>
      </c>
      <c r="E595" s="7" t="n">
        <v>24</v>
      </c>
      <c r="F595" s="7" t="inlineStr">
        <is>
          <t>Detenção</t>
        </is>
      </c>
      <c r="G595" s="7" t="inlineStr">
        <is>
          <t>Pública Incondicionada</t>
        </is>
      </c>
      <c r="H595" s="7" t="inlineStr">
        <is>
          <t>Não</t>
        </is>
      </c>
      <c r="I595" s="7" t="inlineStr">
        <is>
          <t>Doloso</t>
        </is>
      </c>
      <c r="J595" s="7" t="inlineStr">
        <is>
          <t>Sim</t>
        </is>
      </c>
      <c r="K595" s="7" t="inlineStr">
        <is>
          <t>Não</t>
        </is>
      </c>
      <c r="L595" s="7" t="inlineStr">
        <is>
          <t>Não</t>
        </is>
      </c>
      <c r="M595" s="7" t="inlineStr">
        <is>
          <t>Sim</t>
        </is>
      </c>
      <c r="N595" s="7" t="inlineStr">
        <is>
          <t>Sim</t>
        </is>
      </c>
      <c r="O595" s="7" t="inlineStr">
        <is>
          <t>Sim</t>
        </is>
      </c>
      <c r="P595" s="16" t="inlineStr">
        <is>
          <t>1-2 anos detenção + multa. Se mediante ameaça/coação: agravante</t>
        </is>
      </c>
    </row>
    <row r="596">
      <c r="A596" s="7" t="inlineStr">
        <is>
          <t>DL 6.259/44</t>
        </is>
      </c>
      <c r="B596" s="7" t="inlineStr">
        <is>
          <t>Art. 45</t>
        </is>
      </c>
      <c r="C596" s="16" t="inlineStr">
        <is>
          <t>Promover ou explorar loteria não autorizada (jogo de azar)</t>
        </is>
      </c>
      <c r="D596" s="7" t="n">
        <v>6</v>
      </c>
      <c r="E596" s="7" t="n">
        <v>24</v>
      </c>
      <c r="F596" s="7" t="inlineStr">
        <is>
          <t>Detenção</t>
        </is>
      </c>
      <c r="G596" s="7" t="inlineStr">
        <is>
          <t>Pública Incondicionada</t>
        </is>
      </c>
      <c r="H596" s="7" t="inlineStr">
        <is>
          <t>Não</t>
        </is>
      </c>
      <c r="I596" s="7" t="inlineStr">
        <is>
          <t>Doloso</t>
        </is>
      </c>
      <c r="J596" s="7" t="inlineStr">
        <is>
          <t>Sim</t>
        </is>
      </c>
      <c r="K596" s="7" t="inlineStr">
        <is>
          <t>Não</t>
        </is>
      </c>
      <c r="L596" s="7" t="inlineStr">
        <is>
          <t>Não</t>
        </is>
      </c>
      <c r="M596" s="7" t="inlineStr">
        <is>
          <t>Sim</t>
        </is>
      </c>
      <c r="N596" s="7" t="inlineStr">
        <is>
          <t>Sim</t>
        </is>
      </c>
      <c r="O596" s="7" t="inlineStr">
        <is>
          <t>Sim</t>
        </is>
      </c>
      <c r="P596" s="16" t="inlineStr">
        <is>
          <t>6 meses a 2 anos detenção + multa. Loteria não autorizada pelo governo federal</t>
        </is>
      </c>
    </row>
    <row r="597">
      <c r="A597" s="7" t="inlineStr">
        <is>
          <t>DL 6.259/44</t>
        </is>
      </c>
      <c r="B597" s="7" t="inlineStr">
        <is>
          <t>Art. 46</t>
        </is>
      </c>
      <c r="C597" s="16" t="inlineStr">
        <is>
          <t>Vender, expor à venda, distribuir ou ter em depósito bilhetes de loteria não autorizada</t>
        </is>
      </c>
      <c r="D597" s="7" t="n">
        <v>3</v>
      </c>
      <c r="E597" s="7" t="n">
        <v>12</v>
      </c>
      <c r="F597" s="7" t="inlineStr">
        <is>
          <t>Detenção</t>
        </is>
      </c>
      <c r="G597" s="7" t="inlineStr">
        <is>
          <t>Pública Incondicionada</t>
        </is>
      </c>
      <c r="H597" s="7" t="inlineStr">
        <is>
          <t>Não</t>
        </is>
      </c>
      <c r="I597" s="7" t="inlineStr">
        <is>
          <t>Doloso</t>
        </is>
      </c>
      <c r="J597" s="7" t="inlineStr">
        <is>
          <t>Sim</t>
        </is>
      </c>
      <c r="K597" s="7" t="inlineStr">
        <is>
          <t>Não</t>
        </is>
      </c>
      <c r="L597" s="7" t="inlineStr">
        <is>
          <t>Não</t>
        </is>
      </c>
      <c r="M597" s="7" t="inlineStr">
        <is>
          <t>Sim</t>
        </is>
      </c>
      <c r="N597" s="7" t="inlineStr">
        <is>
          <t>Sim</t>
        </is>
      </c>
      <c r="O597" s="7" t="inlineStr">
        <is>
          <t>Sim</t>
        </is>
      </c>
      <c r="P597" s="16" t="inlineStr">
        <is>
          <t>3 meses a 1 ano detenção + multa</t>
        </is>
      </c>
    </row>
    <row r="598">
      <c r="A598" s="7" t="inlineStr">
        <is>
          <t>DL 6.259/44</t>
        </is>
      </c>
      <c r="B598" s="7" t="inlineStr">
        <is>
          <t>Art. 47</t>
        </is>
      </c>
      <c r="C598" s="16" t="inlineStr">
        <is>
          <t>Introduzir no país bilhetes de loteria estrangeira</t>
        </is>
      </c>
      <c r="D598" s="7" t="n">
        <v>6</v>
      </c>
      <c r="E598" s="7" t="n">
        <v>24</v>
      </c>
      <c r="F598" s="7" t="inlineStr">
        <is>
          <t>Detenção</t>
        </is>
      </c>
      <c r="G598" s="7" t="inlineStr">
        <is>
          <t>Pública Incondicionada</t>
        </is>
      </c>
      <c r="H598" s="7" t="inlineStr">
        <is>
          <t>Não</t>
        </is>
      </c>
      <c r="I598" s="7" t="inlineStr">
        <is>
          <t>Doloso</t>
        </is>
      </c>
      <c r="J598" s="7" t="inlineStr">
        <is>
          <t>Sim</t>
        </is>
      </c>
      <c r="K598" s="7" t="inlineStr">
        <is>
          <t>Não</t>
        </is>
      </c>
      <c r="L598" s="7" t="inlineStr">
        <is>
          <t>Não</t>
        </is>
      </c>
      <c r="M598" s="7" t="inlineStr">
        <is>
          <t>Sim</t>
        </is>
      </c>
      <c r="N598" s="7" t="inlineStr">
        <is>
          <t>Sim</t>
        </is>
      </c>
      <c r="O598" s="7" t="inlineStr">
        <is>
          <t>Sim</t>
        </is>
      </c>
      <c r="P598" s="16" t="inlineStr">
        <is>
          <t>6 meses a 2 anos detenção + multa</t>
        </is>
      </c>
    </row>
    <row r="599">
      <c r="A599" s="7" t="inlineStr">
        <is>
          <t>DL 6.259/44</t>
        </is>
      </c>
      <c r="B599" s="7" t="inlineStr">
        <is>
          <t>Art. 48</t>
        </is>
      </c>
      <c r="C599" s="16" t="inlineStr">
        <is>
          <t>Realizar sorteio, vale-brinde ou concurso não autorizado</t>
        </is>
      </c>
      <c r="D599" s="7" t="n">
        <v>6</v>
      </c>
      <c r="E599" s="7" t="n">
        <v>24</v>
      </c>
      <c r="F599" s="7" t="inlineStr">
        <is>
          <t>Detenção</t>
        </is>
      </c>
      <c r="G599" s="7" t="inlineStr">
        <is>
          <t>Pública Incondicionada</t>
        </is>
      </c>
      <c r="H599" s="7" t="inlineStr">
        <is>
          <t>Não</t>
        </is>
      </c>
      <c r="I599" s="7" t="inlineStr">
        <is>
          <t>Doloso</t>
        </is>
      </c>
      <c r="J599" s="7" t="inlineStr">
        <is>
          <t>Sim</t>
        </is>
      </c>
      <c r="K599" s="7" t="inlineStr">
        <is>
          <t>Não</t>
        </is>
      </c>
      <c r="L599" s="7" t="inlineStr">
        <is>
          <t>Não</t>
        </is>
      </c>
      <c r="M599" s="7" t="inlineStr">
        <is>
          <t>Sim</t>
        </is>
      </c>
      <c r="N599" s="7" t="inlineStr">
        <is>
          <t>Sim</t>
        </is>
      </c>
      <c r="O599" s="7" t="inlineStr">
        <is>
          <t>Sim</t>
        </is>
      </c>
      <c r="P599" s="16" t="inlineStr">
        <is>
          <t>6 meses a 2 anos detenção + multa</t>
        </is>
      </c>
    </row>
    <row r="600">
      <c r="A600" s="28" t="inlineStr">
        <is>
          <t>Lei 8.429/92</t>
        </is>
      </c>
      <c r="B600" s="28" t="inlineStr">
        <is>
          <t>—</t>
        </is>
      </c>
      <c r="C600" s="29" t="inlineStr">
        <is>
          <t>REFERÊNCIA — A Lei de Improbidade Administrativa não tipifica crimes. Prevê sanções civis/administrativas: perda da função pública, suspensão de direitos políticos (até 14 anos), multa, ressarcimento. Condutas criminosas correlatas estão no CP (peculato, corrupção, etc.)</t>
        </is>
      </c>
      <c r="D600" s="28" t="inlineStr">
        <is>
          <t>—</t>
        </is>
      </c>
      <c r="E600" s="28" t="inlineStr">
        <is>
          <t>—</t>
        </is>
      </c>
      <c r="F600" s="28" t="inlineStr">
        <is>
          <t>—</t>
        </is>
      </c>
      <c r="G600" s="28" t="inlineStr">
        <is>
          <t>—</t>
        </is>
      </c>
      <c r="H600" s="28" t="inlineStr">
        <is>
          <t>—</t>
        </is>
      </c>
      <c r="I600" s="28" t="inlineStr">
        <is>
          <t>—</t>
        </is>
      </c>
      <c r="J600" s="28" t="inlineStr">
        <is>
          <t>—</t>
        </is>
      </c>
      <c r="K600" s="28" t="inlineStr">
        <is>
          <t>—</t>
        </is>
      </c>
      <c r="L600" s="28" t="inlineStr">
        <is>
          <t>—</t>
        </is>
      </c>
      <c r="M600" s="28" t="inlineStr">
        <is>
          <t>—</t>
        </is>
      </c>
      <c r="N600" s="28" t="inlineStr">
        <is>
          <t>—</t>
        </is>
      </c>
      <c r="O600" s="28" t="inlineStr">
        <is>
          <t>—</t>
        </is>
      </c>
      <c r="P600" s="29" t="inlineStr">
        <is>
          <t>REFERÊNCIA — sanções cíveis e administrativas. Atualizada pela Lei 14.230/21 (restringe a modalidade dolosa). Condutas análogas penais: Arts. 312-327 CP</t>
        </is>
      </c>
    </row>
    <row r="601">
      <c r="A601" s="7" t="inlineStr">
        <is>
          <t>CP</t>
        </is>
      </c>
      <c r="B601" s="7" t="inlineStr">
        <is>
          <t>Art. 171, §2º-A</t>
        </is>
      </c>
      <c r="C601" s="16" t="inlineStr">
        <is>
          <t>Fraude eletrônica (estelionato cometido por meio de dispositivo eletrônico/informático, com ou sem violação de mecanismo de segurança, uso de programa malicioso ou qualquer outro meio fraudulento análogo)</t>
        </is>
      </c>
      <c r="D601" s="7" t="n">
        <v>48</v>
      </c>
      <c r="E601" s="7" t="n">
        <v>96</v>
      </c>
      <c r="F601" s="7" t="inlineStr">
        <is>
          <t>Reclusão</t>
        </is>
      </c>
      <c r="G601" s="7" t="inlineStr">
        <is>
          <t>Pública Incondicionada</t>
        </is>
      </c>
      <c r="H601" s="7" t="inlineStr">
        <is>
          <t>Não</t>
        </is>
      </c>
      <c r="I601" s="7" t="inlineStr">
        <is>
          <t>Doloso</t>
        </is>
      </c>
      <c r="J601" s="7" t="inlineStr">
        <is>
          <t>Sim</t>
        </is>
      </c>
      <c r="K601" s="7" t="inlineStr">
        <is>
          <t>Não</t>
        </is>
      </c>
      <c r="L601" s="7" t="inlineStr">
        <is>
          <t>Não</t>
        </is>
      </c>
      <c r="M601" s="7" t="inlineStr">
        <is>
          <t>Não</t>
        </is>
      </c>
      <c r="N601" s="7" t="inlineStr">
        <is>
          <t>Não</t>
        </is>
      </c>
      <c r="O601" s="7" t="inlineStr">
        <is>
          <t>Verificar</t>
        </is>
      </c>
      <c r="P601" s="16" t="inlineStr">
        <is>
          <t>4-8 anos reclusão + multa. Lei 14.155/2021. §2º-B: +1/3 a 2/3 se servidor mantido fora do país, ou se contra idoso ou vulnerável. §3º: se mediante informações fornecidas pela vítima induzida a erro por redes sociais, contatos telefônicos, e-mail fraudulento: +1/3</t>
        </is>
      </c>
    </row>
    <row r="602">
      <c r="A602" s="7" t="inlineStr">
        <is>
          <t>CP</t>
        </is>
      </c>
      <c r="B602" s="7" t="inlineStr">
        <is>
          <t>Art. 154-A (atualiz.)</t>
        </is>
      </c>
      <c r="C602" s="16" t="inlineStr">
        <is>
          <t>Invasão de dispositivo informático (pena atualizada pela Lei 14.155/21)</t>
        </is>
      </c>
      <c r="D602" s="7" t="n">
        <v>12</v>
      </c>
      <c r="E602" s="7" t="n">
        <v>48</v>
      </c>
      <c r="F602" s="7" t="inlineStr">
        <is>
          <t>Reclusão</t>
        </is>
      </c>
      <c r="G602" s="7" t="inlineStr">
        <is>
          <t>Pública Condicionada</t>
        </is>
      </c>
      <c r="H602" s="7" t="inlineStr">
        <is>
          <t>Não</t>
        </is>
      </c>
      <c r="I602" s="7" t="inlineStr">
        <is>
          <t>Doloso</t>
        </is>
      </c>
      <c r="J602" s="7" t="inlineStr">
        <is>
          <t>Sim</t>
        </is>
      </c>
      <c r="K602" s="7" t="inlineStr">
        <is>
          <t>Não</t>
        </is>
      </c>
      <c r="L602" s="7" t="inlineStr">
        <is>
          <t>Não</t>
        </is>
      </c>
      <c r="M602" s="7" t="inlineStr">
        <is>
          <t>Sim</t>
        </is>
      </c>
      <c r="N602" s="7" t="inlineStr">
        <is>
          <t>Sim</t>
        </is>
      </c>
      <c r="O602" s="7" t="inlineStr">
        <is>
          <t>Sim</t>
        </is>
      </c>
      <c r="P602" s="16" t="inlineStr">
        <is>
          <t>1-4 anos reclusão + multa. Pena majorada pela Lei 14.155/21 (antes era 3m-1a detenção). §2º: +1/3 a 2/3 se resultar prejuízo econômico. §3º: se obtiver conteúdo privado/dados: 2-5 anos. §4º: se comercializar dados: +1/3 a 2/3</t>
        </is>
      </c>
    </row>
    <row r="603">
      <c r="A603" s="26" t="inlineStr">
        <is>
          <t>CP</t>
        </is>
      </c>
      <c r="B603" s="26" t="inlineStr">
        <is>
          <t>Art. 359-N</t>
        </is>
      </c>
      <c r="C603" s="27" t="inlineStr">
        <is>
          <t>Tentativa de depor por meio de violência ou grave ameaça o governo legitimamente constituído</t>
        </is>
      </c>
      <c r="D603" s="26" t="n">
        <v>48</v>
      </c>
      <c r="E603" s="26" t="n">
        <v>144</v>
      </c>
      <c r="F603" s="26" t="inlineStr">
        <is>
          <t>Reclusão</t>
        </is>
      </c>
      <c r="G603" s="26" t="inlineStr">
        <is>
          <t>Pública Incondicionada</t>
        </is>
      </c>
      <c r="H603" s="26" t="inlineStr">
        <is>
          <t>Não</t>
        </is>
      </c>
      <c r="I603" s="26" t="inlineStr">
        <is>
          <t>Doloso</t>
        </is>
      </c>
      <c r="J603" s="26" t="inlineStr">
        <is>
          <t>Sim</t>
        </is>
      </c>
      <c r="K603" s="26" t="inlineStr">
        <is>
          <t>Sim</t>
        </is>
      </c>
      <c r="L603" s="26" t="inlineStr">
        <is>
          <t>Sim</t>
        </is>
      </c>
      <c r="M603" s="26" t="inlineStr">
        <is>
          <t>Não</t>
        </is>
      </c>
      <c r="N603" s="26" t="inlineStr">
        <is>
          <t>Não</t>
        </is>
      </c>
      <c r="O603" s="26" t="inlineStr">
        <is>
          <t>Verificar</t>
        </is>
      </c>
      <c r="P603" s="27" t="inlineStr">
        <is>
          <t>4-12 anos reclusão. Lei 14.197/21. Crime contra o Estado Democrático de Direito</t>
        </is>
      </c>
    </row>
    <row r="604">
      <c r="A604" s="7" t="inlineStr">
        <is>
          <t>CP</t>
        </is>
      </c>
      <c r="B604" s="7" t="inlineStr">
        <is>
          <t>Art. 359-O</t>
        </is>
      </c>
      <c r="C604" s="16" t="inlineStr">
        <is>
          <t>Comunicação enganosa em massa (espalhar desinformação por qualquer meio de comunicação para comprometer processo eleitoral)</t>
        </is>
      </c>
      <c r="D604" s="7" t="n">
        <v>12</v>
      </c>
      <c r="E604" s="7" t="n">
        <v>60</v>
      </c>
      <c r="F604" s="7" t="inlineStr">
        <is>
          <t>Reclusão</t>
        </is>
      </c>
      <c r="G604" s="7" t="inlineStr">
        <is>
          <t>Pública Incondicionada</t>
        </is>
      </c>
      <c r="H604" s="7" t="inlineStr">
        <is>
          <t>Não</t>
        </is>
      </c>
      <c r="I604" s="7" t="inlineStr">
        <is>
          <t>Doloso</t>
        </is>
      </c>
      <c r="J604" s="7" t="inlineStr">
        <is>
          <t>Sim</t>
        </is>
      </c>
      <c r="K604" s="7" t="inlineStr">
        <is>
          <t>Não</t>
        </is>
      </c>
      <c r="L604" s="7" t="inlineStr">
        <is>
          <t>Não</t>
        </is>
      </c>
      <c r="M604" s="7" t="inlineStr">
        <is>
          <t>Sim</t>
        </is>
      </c>
      <c r="N604" s="7" t="inlineStr">
        <is>
          <t>Sim</t>
        </is>
      </c>
      <c r="O604" s="7" t="inlineStr">
        <is>
          <t>Sim</t>
        </is>
      </c>
      <c r="P604" s="16" t="inlineStr">
        <is>
          <t>1-5 anos reclusão + multa. Lei 14.197/21. Se cometido por agente público: aumento de 1/3</t>
        </is>
      </c>
    </row>
    <row r="605">
      <c r="A605" s="26" t="inlineStr">
        <is>
          <t>CP</t>
        </is>
      </c>
      <c r="B605" s="26" t="inlineStr">
        <is>
          <t>Art. 359-P</t>
        </is>
      </c>
      <c r="C605" s="27" t="inlineStr">
        <is>
          <t>Interrupção do processo eleitoral (impedir/perturbar eleição ou totalização de votos por meio de violência/grave ameaça)</t>
        </is>
      </c>
      <c r="D605" s="26" t="n">
        <v>36</v>
      </c>
      <c r="E605" s="26" t="n">
        <v>72</v>
      </c>
      <c r="F605" s="26" t="inlineStr">
        <is>
          <t>Reclusão</t>
        </is>
      </c>
      <c r="G605" s="26" t="inlineStr">
        <is>
          <t>Pública Incondicionada</t>
        </is>
      </c>
      <c r="H605" s="26" t="inlineStr">
        <is>
          <t>Não</t>
        </is>
      </c>
      <c r="I605" s="26" t="inlineStr">
        <is>
          <t>Doloso</t>
        </is>
      </c>
      <c r="J605" s="26" t="inlineStr">
        <is>
          <t>Sim</t>
        </is>
      </c>
      <c r="K605" s="26" t="inlineStr">
        <is>
          <t>Sim</t>
        </is>
      </c>
      <c r="L605" s="26" t="inlineStr">
        <is>
          <t>Sim</t>
        </is>
      </c>
      <c r="M605" s="26" t="inlineStr">
        <is>
          <t>Não</t>
        </is>
      </c>
      <c r="N605" s="26" t="inlineStr">
        <is>
          <t>Não</t>
        </is>
      </c>
      <c r="O605" s="26" t="inlineStr">
        <is>
          <t>Verificar</t>
        </is>
      </c>
      <c r="P605" s="27" t="inlineStr">
        <is>
          <t>3-6 anos reclusão + multa. Lei 14.197/21</t>
        </is>
      </c>
    </row>
    <row r="606">
      <c r="A606" s="26" t="inlineStr">
        <is>
          <t>CP</t>
        </is>
      </c>
      <c r="B606" s="26" t="inlineStr">
        <is>
          <t>Art. 359-R</t>
        </is>
      </c>
      <c r="C606" s="27" t="inlineStr">
        <is>
          <t>Sabotagem (destruir/inutilizar meios de comunicação com o fim de impedir a defesa nacional ou operações militares)</t>
        </is>
      </c>
      <c r="D606" s="26" t="n">
        <v>24</v>
      </c>
      <c r="E606" s="26" t="n">
        <v>96</v>
      </c>
      <c r="F606" s="26" t="inlineStr">
        <is>
          <t>Reclusão</t>
        </is>
      </c>
      <c r="G606" s="26" t="inlineStr">
        <is>
          <t>Pública Incondicionada</t>
        </is>
      </c>
      <c r="H606" s="26" t="inlineStr">
        <is>
          <t>Não</t>
        </is>
      </c>
      <c r="I606" s="26" t="inlineStr">
        <is>
          <t>Doloso</t>
        </is>
      </c>
      <c r="J606" s="26" t="inlineStr">
        <is>
          <t>Sim</t>
        </is>
      </c>
      <c r="K606" s="26" t="inlineStr">
        <is>
          <t>Sim</t>
        </is>
      </c>
      <c r="L606" s="26" t="inlineStr">
        <is>
          <t>Não</t>
        </is>
      </c>
      <c r="M606" s="26" t="inlineStr">
        <is>
          <t>Não</t>
        </is>
      </c>
      <c r="N606" s="26" t="inlineStr">
        <is>
          <t>Não</t>
        </is>
      </c>
      <c r="O606" s="26" t="inlineStr">
        <is>
          <t>Sim</t>
        </is>
      </c>
      <c r="P606" s="27" t="inlineStr">
        <is>
          <t>2-8 anos reclusão. Lei 14.197/21. Em tempo de guerra: reclusão 3-15 anos</t>
        </is>
      </c>
    </row>
    <row r="607">
      <c r="A607" s="7" t="inlineStr">
        <is>
          <t>Lei 14.344/22</t>
        </is>
      </c>
      <c r="B607" s="7" t="inlineStr">
        <is>
          <t>Art. 25</t>
        </is>
      </c>
      <c r="C607" s="16" t="inlineStr">
        <is>
          <t>Descumprimento de medida protetiva de urgência em favor de criança ou adolescente</t>
        </is>
      </c>
      <c r="D607" s="7" t="n">
        <v>3</v>
      </c>
      <c r="E607" s="7" t="n">
        <v>24</v>
      </c>
      <c r="F607" s="7" t="inlineStr">
        <is>
          <t>Detenção</t>
        </is>
      </c>
      <c r="G607" s="7" t="inlineStr">
        <is>
          <t>Pública Incondicionada</t>
        </is>
      </c>
      <c r="H607" s="7" t="inlineStr">
        <is>
          <t>Não</t>
        </is>
      </c>
      <c r="I607" s="7" t="inlineStr">
        <is>
          <t>Doloso</t>
        </is>
      </c>
      <c r="J607" s="7" t="inlineStr">
        <is>
          <t>Sim</t>
        </is>
      </c>
      <c r="K607" s="7" t="inlineStr">
        <is>
          <t>Não</t>
        </is>
      </c>
      <c r="L607" s="7" t="inlineStr">
        <is>
          <t>Não</t>
        </is>
      </c>
      <c r="M607" s="7" t="inlineStr">
        <is>
          <t>Sim</t>
        </is>
      </c>
      <c r="N607" s="7" t="inlineStr">
        <is>
          <t>Sim</t>
        </is>
      </c>
      <c r="O607" s="7" t="inlineStr">
        <is>
          <t>Sim</t>
        </is>
      </c>
      <c r="P607" s="16" t="inlineStr">
        <is>
          <t>3 meses a 2 anos detenção. Lei Henry Borel. Análogo ao Art. 24-A da Lei Maria da Penha para crianças/adolescentes</t>
        </is>
      </c>
    </row>
    <row r="608">
      <c r="A608" s="26" t="inlineStr">
        <is>
          <t>Lei 14.344/22</t>
        </is>
      </c>
      <c r="B608" s="26" t="inlineStr">
        <is>
          <t>Art. 26</t>
        </is>
      </c>
      <c r="C608" s="27" t="inlineStr">
        <is>
          <t>Violência doméstica e familiar contra criança/adolescente — lesão corporal qualificada (Art. 129, §12 + criança/adolescente)</t>
        </is>
      </c>
      <c r="D608" s="26" t="n">
        <v>12</v>
      </c>
      <c r="E608" s="26" t="n">
        <v>36</v>
      </c>
      <c r="F608" s="26" t="inlineStr">
        <is>
          <t>Reclusão</t>
        </is>
      </c>
      <c r="G608" s="26" t="inlineStr">
        <is>
          <t>Pública Incondicionada</t>
        </is>
      </c>
      <c r="H608" s="26" t="inlineStr">
        <is>
          <t>Não</t>
        </is>
      </c>
      <c r="I608" s="26" t="inlineStr">
        <is>
          <t>Doloso</t>
        </is>
      </c>
      <c r="J608" s="26" t="inlineStr">
        <is>
          <t>Sim</t>
        </is>
      </c>
      <c r="K608" s="26" t="inlineStr">
        <is>
          <t>Sim</t>
        </is>
      </c>
      <c r="L608" s="26" t="inlineStr">
        <is>
          <t>Não</t>
        </is>
      </c>
      <c r="M608" s="26" t="inlineStr">
        <is>
          <t>Não</t>
        </is>
      </c>
      <c r="N608" s="26" t="inlineStr">
        <is>
          <t>Sim</t>
        </is>
      </c>
      <c r="O608" s="26" t="inlineStr">
        <is>
          <t>Sim</t>
        </is>
      </c>
      <c r="P608" s="27" t="inlineStr">
        <is>
          <t>1-3 anos reclusão. §único: se resultar lesão grave ou gravíssima, aplica-se §§1º e 2º do Art. 129 com aumento de 1/3</t>
        </is>
      </c>
    </row>
    <row r="609">
      <c r="A609" s="7" t="inlineStr">
        <is>
          <t>Lei 14.478/22</t>
        </is>
      </c>
      <c r="B609" s="7" t="inlineStr">
        <is>
          <t>Art. 171-A (CP)</t>
        </is>
      </c>
      <c r="C609" s="16" t="inlineStr">
        <is>
          <t>Fraude com utilização de ativos virtuais, valores mobiliários ou ativos financeiros (organizar/gerir/ofertar carteira/intermediação envolvendo ativos virtuais para obter vantagem ilícita)</t>
        </is>
      </c>
      <c r="D609" s="7" t="n">
        <v>48</v>
      </c>
      <c r="E609" s="7" t="n">
        <v>72</v>
      </c>
      <c r="F609" s="7" t="inlineStr">
        <is>
          <t>Reclusão</t>
        </is>
      </c>
      <c r="G609" s="7" t="inlineStr">
        <is>
          <t>Pública Incondicionada</t>
        </is>
      </c>
      <c r="H609" s="7" t="inlineStr">
        <is>
          <t>Não</t>
        </is>
      </c>
      <c r="I609" s="7" t="inlineStr">
        <is>
          <t>Doloso</t>
        </is>
      </c>
      <c r="J609" s="7" t="inlineStr">
        <is>
          <t>Sim</t>
        </is>
      </c>
      <c r="K609" s="7" t="inlineStr">
        <is>
          <t>Não</t>
        </is>
      </c>
      <c r="L609" s="7" t="inlineStr">
        <is>
          <t>Não</t>
        </is>
      </c>
      <c r="M609" s="7" t="inlineStr">
        <is>
          <t>Não</t>
        </is>
      </c>
      <c r="N609" s="7" t="inlineStr">
        <is>
          <t>Não</t>
        </is>
      </c>
      <c r="O609" s="7" t="inlineStr">
        <is>
          <t>Verificar</t>
        </is>
      </c>
      <c r="P609" s="16" t="inlineStr">
        <is>
          <t>4-6 anos reclusão + multa. Lei 14.478/22 (Marco Legal dos Criptoativos). +1/3 a 2/3 se contra idoso/vulnerável. Se em concurso com organização criminosa: aumento de 1/3 a 2/3</t>
        </is>
      </c>
    </row>
    <row r="610">
      <c r="A610" s="7" t="inlineStr">
        <is>
          <t>Lei 14.478/22</t>
        </is>
      </c>
      <c r="B610" s="7" t="inlineStr">
        <is>
          <t>Art. 171-A, §único (CP)</t>
        </is>
      </c>
      <c r="C610" s="16" t="inlineStr">
        <is>
          <t>Fraude com ativos virtuais qualificada (se cometida por meio de operadora de valores mobiliários ou de prestadora de serviços de ativos virtuais)</t>
        </is>
      </c>
      <c r="D610" s="7" t="n">
        <v>48</v>
      </c>
      <c r="E610" s="7" t="n">
        <v>96</v>
      </c>
      <c r="F610" s="7" t="inlineStr">
        <is>
          <t>Reclusão</t>
        </is>
      </c>
      <c r="G610" s="7" t="inlineStr">
        <is>
          <t>Pública Incondicionada</t>
        </is>
      </c>
      <c r="H610" s="7" t="inlineStr">
        <is>
          <t>Não</t>
        </is>
      </c>
      <c r="I610" s="7" t="inlineStr">
        <is>
          <t>Doloso</t>
        </is>
      </c>
      <c r="J610" s="7" t="inlineStr">
        <is>
          <t>Sim</t>
        </is>
      </c>
      <c r="K610" s="7" t="inlineStr">
        <is>
          <t>Não</t>
        </is>
      </c>
      <c r="L610" s="7" t="inlineStr">
        <is>
          <t>Não</t>
        </is>
      </c>
      <c r="M610" s="7" t="inlineStr">
        <is>
          <t>Não</t>
        </is>
      </c>
      <c r="N610" s="7" t="inlineStr">
        <is>
          <t>Não</t>
        </is>
      </c>
      <c r="O610" s="7" t="inlineStr">
        <is>
          <t>Verificar</t>
        </is>
      </c>
      <c r="P610" s="16" t="inlineStr">
        <is>
          <t>4-8 anos reclusão + multa. Lei 14.478/22</t>
        </is>
      </c>
    </row>
    <row r="611">
      <c r="A611" s="7" t="inlineStr">
        <is>
          <t>Lei 7.716/89 (atualiz.)</t>
        </is>
      </c>
      <c r="B611" s="7" t="inlineStr">
        <is>
          <t>Art. 2º-A</t>
        </is>
      </c>
      <c r="C611" s="16" t="inlineStr">
        <is>
          <t>Injúria racial (injuriar alguém, ofendendo-lhe a dignidade ou o decoro em razão de raça, cor, etnia ou procedência nacional)</t>
        </is>
      </c>
      <c r="D611" s="7" t="n">
        <v>24</v>
      </c>
      <c r="E611" s="7" t="n">
        <v>60</v>
      </c>
      <c r="F611" s="7" t="inlineStr">
        <is>
          <t>Reclusão</t>
        </is>
      </c>
      <c r="G611" s="7" t="inlineStr">
        <is>
          <t>Pública Incondicionada</t>
        </is>
      </c>
      <c r="H611" s="7" t="inlineStr">
        <is>
          <t>Não</t>
        </is>
      </c>
      <c r="I611" s="7" t="inlineStr">
        <is>
          <t>Doloso</t>
        </is>
      </c>
      <c r="J611" s="7" t="inlineStr">
        <is>
          <t>Sim</t>
        </is>
      </c>
      <c r="K611" s="7" t="inlineStr">
        <is>
          <t>Não</t>
        </is>
      </c>
      <c r="L611" s="7" t="inlineStr">
        <is>
          <t>Não</t>
        </is>
      </c>
      <c r="M611" s="7" t="inlineStr">
        <is>
          <t>Sim</t>
        </is>
      </c>
      <c r="N611" s="7" t="inlineStr">
        <is>
          <t>Não</t>
        </is>
      </c>
      <c r="O611" s="7" t="inlineStr">
        <is>
          <t>Sim</t>
        </is>
      </c>
      <c r="P611" s="16" t="inlineStr">
        <is>
          <t>2-5 anos reclusão + multa. Lei 14.532/23. Injúria racial agora equiparada a racismo (imprescritível + inafiançável). Antes era Art. 140, §3º CP</t>
        </is>
      </c>
    </row>
    <row r="612">
      <c r="A612" s="7" t="inlineStr">
        <is>
          <t>Lei 7.716/89 (atualiz.)</t>
        </is>
      </c>
      <c r="B612" s="7" t="inlineStr">
        <is>
          <t>Art. 20-A</t>
        </is>
      </c>
      <c r="C612" s="16" t="inlineStr">
        <is>
          <t>Praticar/induzir/incitar discriminação em contexto desportivo</t>
        </is>
      </c>
      <c r="D612" s="7" t="n">
        <v>12</v>
      </c>
      <c r="E612" s="7" t="n">
        <v>36</v>
      </c>
      <c r="F612" s="7" t="inlineStr">
        <is>
          <t>Reclusão</t>
        </is>
      </c>
      <c r="G612" s="7" t="inlineStr">
        <is>
          <t>Pública Incondicionada</t>
        </is>
      </c>
      <c r="H612" s="7" t="inlineStr">
        <is>
          <t>Não</t>
        </is>
      </c>
      <c r="I612" s="7" t="inlineStr">
        <is>
          <t>Doloso</t>
        </is>
      </c>
      <c r="J612" s="7" t="inlineStr">
        <is>
          <t>Sim</t>
        </is>
      </c>
      <c r="K612" s="7" t="inlineStr">
        <is>
          <t>Não</t>
        </is>
      </c>
      <c r="L612" s="7" t="inlineStr">
        <is>
          <t>Não</t>
        </is>
      </c>
      <c r="M612" s="7" t="inlineStr">
        <is>
          <t>Sim</t>
        </is>
      </c>
      <c r="N612" s="7" t="inlineStr">
        <is>
          <t>Sim</t>
        </is>
      </c>
      <c r="O612" s="7" t="inlineStr">
        <is>
          <t>Sim</t>
        </is>
      </c>
      <c r="P612" s="16" t="inlineStr">
        <is>
          <t>1-3 anos reclusão + multa. Lei 14.532/23. Discriminação em contexto esportivo. Pena pode ser aplicada independentemente da pena da injúria racial</t>
        </is>
      </c>
    </row>
    <row r="613">
      <c r="A613" s="7" t="inlineStr">
        <is>
          <t>Lei 7.716/89 (atualiz.)</t>
        </is>
      </c>
      <c r="B613" s="7" t="inlineStr">
        <is>
          <t>Art. 20-B</t>
        </is>
      </c>
      <c r="C613" s="16" t="inlineStr">
        <is>
          <t>Proferir/divulgar declaração/mensagem discriminatória em redes sociais ou internet</t>
        </is>
      </c>
      <c r="D613" s="7" t="n">
        <v>24</v>
      </c>
      <c r="E613" s="7" t="n">
        <v>60</v>
      </c>
      <c r="F613" s="7" t="inlineStr">
        <is>
          <t>Reclusão</t>
        </is>
      </c>
      <c r="G613" s="7" t="inlineStr">
        <is>
          <t>Pública Incondicionada</t>
        </is>
      </c>
      <c r="H613" s="7" t="inlineStr">
        <is>
          <t>Não</t>
        </is>
      </c>
      <c r="I613" s="7" t="inlineStr">
        <is>
          <t>Doloso</t>
        </is>
      </c>
      <c r="J613" s="7" t="inlineStr">
        <is>
          <t>Sim</t>
        </is>
      </c>
      <c r="K613" s="7" t="inlineStr">
        <is>
          <t>Não</t>
        </is>
      </c>
      <c r="L613" s="7" t="inlineStr">
        <is>
          <t>Não</t>
        </is>
      </c>
      <c r="M613" s="7" t="inlineStr">
        <is>
          <t>Sim</t>
        </is>
      </c>
      <c r="N613" s="7" t="inlineStr">
        <is>
          <t>Não</t>
        </is>
      </c>
      <c r="O613" s="7" t="inlineStr">
        <is>
          <t>Sim</t>
        </is>
      </c>
      <c r="P613" s="16" t="inlineStr">
        <is>
          <t>2-5 anos reclusão + multa. Lei 14.532/23. Discriminação em meios de comunicação social ou publicação de qualquer natureza. Qualificadora pelo meio (internet)</t>
        </is>
      </c>
    </row>
    <row r="614">
      <c r="A614" s="7" t="inlineStr">
        <is>
          <t>ECA</t>
        </is>
      </c>
      <c r="B614" s="7" t="inlineStr">
        <is>
          <t>Art. 218-C (CP)</t>
        </is>
      </c>
      <c r="C614" s="16" t="inlineStr">
        <is>
          <t>Divulgação de cena de estupro, sexo ou pornografia sem consentimento (revenge porn)</t>
        </is>
      </c>
      <c r="D614" s="7" t="n">
        <v>12</v>
      </c>
      <c r="E614" s="7" t="n">
        <v>60</v>
      </c>
      <c r="F614" s="7" t="inlineStr">
        <is>
          <t>Reclusão</t>
        </is>
      </c>
      <c r="G614" s="7" t="inlineStr">
        <is>
          <t>Pública Incondicionada</t>
        </is>
      </c>
      <c r="H614" s="7" t="inlineStr">
        <is>
          <t>Não</t>
        </is>
      </c>
      <c r="I614" s="7" t="inlineStr">
        <is>
          <t>Doloso</t>
        </is>
      </c>
      <c r="J614" s="7" t="inlineStr">
        <is>
          <t>Sim</t>
        </is>
      </c>
      <c r="K614" s="7" t="inlineStr">
        <is>
          <t>Não</t>
        </is>
      </c>
      <c r="L614" s="7" t="inlineStr">
        <is>
          <t>Não</t>
        </is>
      </c>
      <c r="M614" s="7" t="inlineStr">
        <is>
          <t>Sim</t>
        </is>
      </c>
      <c r="N614" s="7" t="inlineStr">
        <is>
          <t>Sim</t>
        </is>
      </c>
      <c r="O614" s="7" t="inlineStr">
        <is>
          <t>Sim</t>
        </is>
      </c>
      <c r="P614" s="16" t="inlineStr">
        <is>
          <t>1-5 anos reclusão. Se o agente praticar contra pessoa com quem teve relação íntima: +1/3 a 2/3. Se com fim de vingança ou humilhação: +1/3 a 2/3</t>
        </is>
      </c>
    </row>
    <row r="615">
      <c r="A615" s="17" t="inlineStr">
        <is>
          <t>CP (atualiz.)</t>
        </is>
      </c>
      <c r="B615" s="17" t="inlineStr">
        <is>
          <t>Art. 121, §2º-A, II</t>
        </is>
      </c>
      <c r="C615" s="18" t="inlineStr">
        <is>
          <t>Homicídio qualificado contra pessoa com deficiência</t>
        </is>
      </c>
      <c r="D615" s="17" t="n">
        <v>144</v>
      </c>
      <c r="E615" s="17" t="n">
        <v>360</v>
      </c>
      <c r="F615" s="17" t="inlineStr">
        <is>
          <t>Reclusão</t>
        </is>
      </c>
      <c r="G615" s="17" t="inlineStr">
        <is>
          <t>Pública Incondicionada</t>
        </is>
      </c>
      <c r="H615" s="17" t="inlineStr">
        <is>
          <t>Sim</t>
        </is>
      </c>
      <c r="I615" s="17" t="inlineStr">
        <is>
          <t>Doloso</t>
        </is>
      </c>
      <c r="J615" s="17" t="inlineStr">
        <is>
          <t>Sim</t>
        </is>
      </c>
      <c r="K615" s="17" t="inlineStr">
        <is>
          <t>Sim</t>
        </is>
      </c>
      <c r="L615" s="17" t="inlineStr">
        <is>
          <t>Não</t>
        </is>
      </c>
      <c r="M615" s="17" t="inlineStr">
        <is>
          <t>Não</t>
        </is>
      </c>
      <c r="N615" s="17" t="inlineStr">
        <is>
          <t>Não</t>
        </is>
      </c>
      <c r="O615" s="17" t="inlineStr">
        <is>
          <t>Verificar</t>
        </is>
      </c>
      <c r="P615" s="18" t="inlineStr">
        <is>
          <t>12-30 anos reclusão. HEDIONDO. Lei 14.717/23. Matar pessoa com deficiência ou com doença que acarrete condição limitante/de vulnerabilidade física ou mental</t>
        </is>
      </c>
    </row>
    <row r="616">
      <c r="A616" s="28" t="inlineStr">
        <is>
          <t>Lei 14.786/23</t>
        </is>
      </c>
      <c r="B616" s="28" t="inlineStr">
        <is>
          <t>Art. 6º</t>
        </is>
      </c>
      <c r="C616" s="29" t="inlineStr">
        <is>
          <t>Omissão de comunicação de indícios de violência doméstica (estabelecimento comercial/instituição que, ciente de indícios, deixar de comunicar)</t>
        </is>
      </c>
      <c r="D616" s="28" t="inlineStr">
        <is>
          <t>—</t>
        </is>
      </c>
      <c r="E616" s="28" t="inlineStr">
        <is>
          <t>—</t>
        </is>
      </c>
      <c r="F616" s="28" t="inlineStr">
        <is>
          <t>—</t>
        </is>
      </c>
      <c r="G616" s="28" t="inlineStr">
        <is>
          <t>—</t>
        </is>
      </c>
      <c r="H616" s="28" t="inlineStr">
        <is>
          <t>—</t>
        </is>
      </c>
      <c r="I616" s="28" t="inlineStr">
        <is>
          <t>—</t>
        </is>
      </c>
      <c r="J616" s="28" t="inlineStr">
        <is>
          <t>—</t>
        </is>
      </c>
      <c r="K616" s="28" t="inlineStr">
        <is>
          <t>—</t>
        </is>
      </c>
      <c r="L616" s="28" t="inlineStr">
        <is>
          <t>—</t>
        </is>
      </c>
      <c r="M616" s="28" t="inlineStr">
        <is>
          <t>—</t>
        </is>
      </c>
      <c r="N616" s="28" t="inlineStr">
        <is>
          <t>—</t>
        </is>
      </c>
      <c r="O616" s="28" t="inlineStr">
        <is>
          <t>—</t>
        </is>
      </c>
      <c r="P616" s="29" t="inlineStr">
        <is>
          <t>REFERÊNCIA — A Lei 14.786/23 (Protocolo Não É Legal / Sinal Vermelho) cria obrigação para estabelecimentos, mas as sanções são predominantemente administrativas. Omissão de socorro (Art. 135 CP) pode ser aplicável se houver risco de vida</t>
        </is>
      </c>
    </row>
    <row r="617">
      <c r="A617" s="28" t="inlineStr">
        <is>
          <t>Lei 12.318/10 (atualiz.)</t>
        </is>
      </c>
      <c r="B617" s="28" t="inlineStr">
        <is>
          <t>—</t>
        </is>
      </c>
      <c r="C617" s="29" t="inlineStr">
        <is>
          <t>REFERÊNCIA — A Lei 12.318/10 (Alienação Parental) não tipifica crimes. Prevê sanções civis (advertência, multa, alteração de guarda, inversão de obrigação). A Lei 14.713/23 atualizou o sistema de guarda compartilhada mas não criou tipos penais autônomos</t>
        </is>
      </c>
      <c r="D617" s="28" t="inlineStr">
        <is>
          <t>—</t>
        </is>
      </c>
      <c r="E617" s="28" t="inlineStr">
        <is>
          <t>—</t>
        </is>
      </c>
      <c r="F617" s="28" t="inlineStr">
        <is>
          <t>—</t>
        </is>
      </c>
      <c r="G617" s="28" t="inlineStr">
        <is>
          <t>—</t>
        </is>
      </c>
      <c r="H617" s="28" t="inlineStr">
        <is>
          <t>—</t>
        </is>
      </c>
      <c r="I617" s="28" t="inlineStr">
        <is>
          <t>—</t>
        </is>
      </c>
      <c r="J617" s="28" t="inlineStr">
        <is>
          <t>—</t>
        </is>
      </c>
      <c r="K617" s="28" t="inlineStr">
        <is>
          <t>—</t>
        </is>
      </c>
      <c r="L617" s="28" t="inlineStr">
        <is>
          <t>—</t>
        </is>
      </c>
      <c r="M617" s="28" t="inlineStr">
        <is>
          <t>—</t>
        </is>
      </c>
      <c r="N617" s="28" t="inlineStr">
        <is>
          <t>—</t>
        </is>
      </c>
      <c r="O617" s="28" t="inlineStr">
        <is>
          <t>—</t>
        </is>
      </c>
      <c r="P617" s="29" t="inlineStr">
        <is>
          <t>REFERÊNCIA — sanções civis. Condutas de alienação parental podem configurar crime de desobediência (Art. 330 CP) ou denunciação caluniosa (Art. 339 CP)</t>
        </is>
      </c>
    </row>
    <row r="618">
      <c r="A618" s="17" t="inlineStr">
        <is>
          <t>CP (atualiz.)</t>
        </is>
      </c>
      <c r="B618" s="17" t="inlineStr">
        <is>
          <t>Art. 121, §2º, IX</t>
        </is>
      </c>
      <c r="C618" s="18" t="inlineStr">
        <is>
          <t>Homicídio qualificado contra menor de 14 anos</t>
        </is>
      </c>
      <c r="D618" s="17" t="n">
        <v>144</v>
      </c>
      <c r="E618" s="17" t="n">
        <v>360</v>
      </c>
      <c r="F618" s="17" t="inlineStr">
        <is>
          <t>Reclusão</t>
        </is>
      </c>
      <c r="G618" s="17" t="inlineStr">
        <is>
          <t>Pública Incondicionada</t>
        </is>
      </c>
      <c r="H618" s="17" t="inlineStr">
        <is>
          <t>Sim</t>
        </is>
      </c>
      <c r="I618" s="17" t="inlineStr">
        <is>
          <t>Doloso</t>
        </is>
      </c>
      <c r="J618" s="17" t="inlineStr">
        <is>
          <t>Sim</t>
        </is>
      </c>
      <c r="K618" s="17" t="inlineStr">
        <is>
          <t>Sim</t>
        </is>
      </c>
      <c r="L618" s="17" t="inlineStr">
        <is>
          <t>Não</t>
        </is>
      </c>
      <c r="M618" s="17" t="inlineStr">
        <is>
          <t>Não</t>
        </is>
      </c>
      <c r="N618" s="17" t="inlineStr">
        <is>
          <t>Não</t>
        </is>
      </c>
      <c r="O618" s="17" t="inlineStr">
        <is>
          <t>Verificar</t>
        </is>
      </c>
      <c r="P618" s="18" t="inlineStr">
        <is>
          <t>12-30 anos reclusão. HEDIONDO. Lei 14.344/22 (Lei Henry Borel). Incluiu a menoridade de 14 anos como qualificadora do homicídio</t>
        </is>
      </c>
    </row>
    <row r="619">
      <c r="A619" s="17" t="inlineStr">
        <is>
          <t>CP (atualiz.)</t>
        </is>
      </c>
      <c r="B619" s="17" t="inlineStr">
        <is>
          <t>Art. 129, §13</t>
        </is>
      </c>
      <c r="C619" s="18" t="inlineStr">
        <is>
          <t>Lesão corporal em violência doméstica contra a mulher (deformidade permanente, aborto, risco de vida ou debilidade permanente) — HEDIONDO</t>
        </is>
      </c>
      <c r="D619" s="17" t="n">
        <v>12</v>
      </c>
      <c r="E619" s="17" t="n">
        <v>48</v>
      </c>
      <c r="F619" s="17" t="inlineStr">
        <is>
          <t>Reclusão</t>
        </is>
      </c>
      <c r="G619" s="17" t="inlineStr">
        <is>
          <t>Pública Incondicionada</t>
        </is>
      </c>
      <c r="H619" s="17" t="inlineStr">
        <is>
          <t>Sim</t>
        </is>
      </c>
      <c r="I619" s="17" t="inlineStr">
        <is>
          <t>Doloso</t>
        </is>
      </c>
      <c r="J619" s="17" t="inlineStr">
        <is>
          <t>Sim</t>
        </is>
      </c>
      <c r="K619" s="17" t="inlineStr">
        <is>
          <t>Sim</t>
        </is>
      </c>
      <c r="L619" s="17" t="inlineStr">
        <is>
          <t>Não</t>
        </is>
      </c>
      <c r="M619" s="17" t="inlineStr">
        <is>
          <t>Não</t>
        </is>
      </c>
      <c r="N619" s="17" t="inlineStr">
        <is>
          <t>Sim</t>
        </is>
      </c>
      <c r="O619" s="17" t="inlineStr">
        <is>
          <t>Sim</t>
        </is>
      </c>
      <c r="P619" s="18" t="inlineStr">
        <is>
          <t>1-4 anos reclusão. HEDIONDO quando resultar lesão grave/gravíssima. Lei 14.188/21. Incluído no rol da Lei 8.072/90</t>
        </is>
      </c>
    </row>
    <row r="620">
      <c r="A620" s="26" t="inlineStr">
        <is>
          <t>CTB (atualiz.)</t>
        </is>
      </c>
      <c r="B620" s="26" t="inlineStr">
        <is>
          <t>Art. 302, §3º</t>
        </is>
      </c>
      <c r="C620" s="27" t="inlineStr">
        <is>
          <t>Homicídio culposo na direção de veículo sob influência de álcool ou substância psicoativa</t>
        </is>
      </c>
      <c r="D620" s="26" t="n">
        <v>60</v>
      </c>
      <c r="E620" s="26" t="n">
        <v>96</v>
      </c>
      <c r="F620" s="26" t="inlineStr">
        <is>
          <t>Reclusão</t>
        </is>
      </c>
      <c r="G620" s="26" t="inlineStr">
        <is>
          <t>Pública Incondicionada</t>
        </is>
      </c>
      <c r="H620" s="26" t="inlineStr">
        <is>
          <t>Não</t>
        </is>
      </c>
      <c r="I620" s="26" t="inlineStr">
        <is>
          <t>Culposo</t>
        </is>
      </c>
      <c r="J620" s="26" t="inlineStr">
        <is>
          <t>Não</t>
        </is>
      </c>
      <c r="K620" s="26" t="inlineStr">
        <is>
          <t>Sim</t>
        </is>
      </c>
      <c r="L620" s="26" t="inlineStr">
        <is>
          <t>Não</t>
        </is>
      </c>
      <c r="M620" s="26" t="inlineStr">
        <is>
          <t>Não</t>
        </is>
      </c>
      <c r="N620" s="26" t="inlineStr">
        <is>
          <t>Não</t>
        </is>
      </c>
      <c r="O620" s="26" t="inlineStr">
        <is>
          <t>Verificar</t>
        </is>
      </c>
      <c r="P620" s="27" t="inlineStr">
        <is>
          <t>5-8 anos reclusão. Lei 14.071/20. Antes era 2-4 anos. Não cabe fiança. Suspensão da habilitação por até 10 anos</t>
        </is>
      </c>
    </row>
    <row r="621">
      <c r="A621" s="26" t="inlineStr">
        <is>
          <t>CTB (atualiz.)</t>
        </is>
      </c>
      <c r="B621" s="26" t="inlineStr">
        <is>
          <t>Art. 303, §2º</t>
        </is>
      </c>
      <c r="C621" s="27" t="inlineStr">
        <is>
          <t>Lesão corporal culposa gravíssima na direção de veículo sob influência de álcool</t>
        </is>
      </c>
      <c r="D621" s="26" t="n">
        <v>24</v>
      </c>
      <c r="E621" s="26" t="n">
        <v>60</v>
      </c>
      <c r="F621" s="26" t="inlineStr">
        <is>
          <t>Reclusão</t>
        </is>
      </c>
      <c r="G621" s="26" t="inlineStr">
        <is>
          <t>Pública Incondicionada</t>
        </is>
      </c>
      <c r="H621" s="26" t="inlineStr">
        <is>
          <t>Não</t>
        </is>
      </c>
      <c r="I621" s="26" t="inlineStr">
        <is>
          <t>Culposo</t>
        </is>
      </c>
      <c r="J621" s="26" t="inlineStr">
        <is>
          <t>Não</t>
        </is>
      </c>
      <c r="K621" s="26" t="inlineStr">
        <is>
          <t>Sim</t>
        </is>
      </c>
      <c r="L621" s="26" t="inlineStr">
        <is>
          <t>Não</t>
        </is>
      </c>
      <c r="M621" s="26" t="inlineStr">
        <is>
          <t>Não</t>
        </is>
      </c>
      <c r="N621" s="26" t="inlineStr">
        <is>
          <t>Não</t>
        </is>
      </c>
      <c r="O621" s="26" t="inlineStr">
        <is>
          <t>Sim</t>
        </is>
      </c>
      <c r="P621" s="27" t="inlineStr">
        <is>
          <t>2-5 anos reclusão. Lei 14.071/20. Suspensão da habilitação por até 10 anos</t>
        </is>
      </c>
    </row>
    <row r="622">
      <c r="A622" s="26" t="inlineStr">
        <is>
          <t>CP (atualiz.)</t>
        </is>
      </c>
      <c r="B622" s="26" t="inlineStr">
        <is>
          <t>Art. 129, §12 (atualiz.)</t>
        </is>
      </c>
      <c r="C622" s="27" t="inlineStr">
        <is>
          <t>Lesão corporal contra agente de segurança pública no exercício da função ou em razão dela (cônjuge/companheiro/filho)</t>
        </is>
      </c>
      <c r="D622" s="26" t="n">
        <v>12</v>
      </c>
      <c r="E622" s="26" t="n">
        <v>36</v>
      </c>
      <c r="F622" s="26" t="inlineStr">
        <is>
          <t>Reclusão</t>
        </is>
      </c>
      <c r="G622" s="26" t="inlineStr">
        <is>
          <t>Pública Incondicionada</t>
        </is>
      </c>
      <c r="H622" s="26" t="inlineStr">
        <is>
          <t>Não</t>
        </is>
      </c>
      <c r="I622" s="26" t="inlineStr">
        <is>
          <t>Doloso</t>
        </is>
      </c>
      <c r="J622" s="26" t="inlineStr">
        <is>
          <t>Sim</t>
        </is>
      </c>
      <c r="K622" s="26" t="inlineStr">
        <is>
          <t>Sim</t>
        </is>
      </c>
      <c r="L622" s="26" t="inlineStr">
        <is>
          <t>Não</t>
        </is>
      </c>
      <c r="M622" s="26" t="inlineStr">
        <is>
          <t>Não</t>
        </is>
      </c>
      <c r="N622" s="26" t="inlineStr">
        <is>
          <t>Sim</t>
        </is>
      </c>
      <c r="O622" s="26" t="inlineStr">
        <is>
          <t>Sim</t>
        </is>
      </c>
      <c r="P622" s="27" t="inlineStr">
        <is>
          <t>1-3 anos reclusão. Lei 13.142/15 + Pacote Anticrime. Agentes de seg. pública: policial, bombeiro, agente penitenciário, agente socioeducativo</t>
        </is>
      </c>
    </row>
    <row r="623">
      <c r="A623" s="26" t="inlineStr">
        <is>
          <t>CP (atualiz.)</t>
        </is>
      </c>
      <c r="B623" s="26" t="inlineStr">
        <is>
          <t>Art. 147-A, §1º, III</t>
        </is>
      </c>
      <c r="C623" s="27" t="inlineStr">
        <is>
          <t>Stalking qualificado contra mulher por razões de gênero (perseguição qualificada)</t>
        </is>
      </c>
      <c r="D623" s="26" t="n">
        <v>12</v>
      </c>
      <c r="E623" s="26" t="n">
        <v>48</v>
      </c>
      <c r="F623" s="26" t="inlineStr">
        <is>
          <t>Reclusão</t>
        </is>
      </c>
      <c r="G623" s="26" t="inlineStr">
        <is>
          <t>Pública Incondicionada</t>
        </is>
      </c>
      <c r="H623" s="26" t="inlineStr">
        <is>
          <t>Não</t>
        </is>
      </c>
      <c r="I623" s="26" t="inlineStr">
        <is>
          <t>Doloso</t>
        </is>
      </c>
      <c r="J623" s="26" t="inlineStr">
        <is>
          <t>Sim</t>
        </is>
      </c>
      <c r="K623" s="26" t="inlineStr">
        <is>
          <t>Não</t>
        </is>
      </c>
      <c r="L623" s="26" t="inlineStr">
        <is>
          <t>Sim</t>
        </is>
      </c>
      <c r="M623" s="26" t="inlineStr">
        <is>
          <t>Não</t>
        </is>
      </c>
      <c r="N623" s="26" t="inlineStr">
        <is>
          <t>Sim</t>
        </is>
      </c>
      <c r="O623" s="26" t="inlineStr">
        <is>
          <t>Sim</t>
        </is>
      </c>
      <c r="P623" s="27" t="inlineStr">
        <is>
          <t>1-4 anos reclusão + multa. Lei 14.647/23. Aumento de 1/2 quando contra mulher por razões de condição de sexo feminino. Ação pública incondicionada neste caso</t>
        </is>
      </c>
    </row>
    <row r="624">
      <c r="A624" s="17" t="inlineStr">
        <is>
          <t>CP (atualiz.)</t>
        </is>
      </c>
      <c r="B624" s="17" t="inlineStr">
        <is>
          <t>Art. 121-A (atualiz. 2024)</t>
        </is>
      </c>
      <c r="C624" s="18" t="inlineStr">
        <is>
          <t>Feminicídio — crime autônomo (Lei 14.994/2024) — matar mulher por razões da condição de sexo feminino</t>
        </is>
      </c>
      <c r="D624" s="17" t="n">
        <v>240</v>
      </c>
      <c r="E624" s="17" t="n">
        <v>480</v>
      </c>
      <c r="F624" s="17" t="inlineStr">
        <is>
          <t>Reclusão</t>
        </is>
      </c>
      <c r="G624" s="17" t="inlineStr">
        <is>
          <t>Pública Incondicionada</t>
        </is>
      </c>
      <c r="H624" s="17" t="inlineStr">
        <is>
          <t>Sim</t>
        </is>
      </c>
      <c r="I624" s="17" t="inlineStr">
        <is>
          <t>Doloso</t>
        </is>
      </c>
      <c r="J624" s="17" t="inlineStr">
        <is>
          <t>Sim</t>
        </is>
      </c>
      <c r="K624" s="17" t="inlineStr">
        <is>
          <t>Sim</t>
        </is>
      </c>
      <c r="L624" s="17" t="inlineStr">
        <is>
          <t>Não</t>
        </is>
      </c>
      <c r="M624" s="17" t="inlineStr">
        <is>
          <t>Não</t>
        </is>
      </c>
      <c r="N624" s="17" t="inlineStr">
        <is>
          <t>Não</t>
        </is>
      </c>
      <c r="O624" s="17" t="inlineStr">
        <is>
          <t>Verificar</t>
        </is>
      </c>
      <c r="P624" s="18" t="inlineStr">
        <is>
          <t>20-40 anos reclusão. HEDIONDO. Lei 14.994/2024 (atualização). Pena anterior: 12-30 anos. Agora crime autônomo, não mais qualificadora do homicídio. §1º: +1/3 a 1/2 se gestação/3 meses pós-parto, menor de 14, presença de descendente, descumprimento de medida protetiva, com emprego de arma de fogo. §2º: aumento até o dobro se pessoa com deficiência ou idosa</t>
        </is>
      </c>
    </row>
    <row r="625">
      <c r="A625" s="26" t="inlineStr">
        <is>
          <t>Lei 9.605/98 (atualiz.)</t>
        </is>
      </c>
      <c r="B625" s="26" t="inlineStr">
        <is>
          <t>Art. 32, §1º-A</t>
        </is>
      </c>
      <c r="C625" s="27" t="inlineStr">
        <is>
          <t>Maus-tratos contra cão ou gato (aumento de pena)</t>
        </is>
      </c>
      <c r="D625" s="26" t="n">
        <v>24</v>
      </c>
      <c r="E625" s="26" t="n">
        <v>60</v>
      </c>
      <c r="F625" s="26" t="inlineStr">
        <is>
          <t>Reclusão</t>
        </is>
      </c>
      <c r="G625" s="26" t="inlineStr">
        <is>
          <t>Pública Incondicionada</t>
        </is>
      </c>
      <c r="H625" s="26" t="inlineStr">
        <is>
          <t>Não</t>
        </is>
      </c>
      <c r="I625" s="26" t="inlineStr">
        <is>
          <t>Doloso</t>
        </is>
      </c>
      <c r="J625" s="26" t="inlineStr">
        <is>
          <t>Sim</t>
        </is>
      </c>
      <c r="K625" s="26" t="inlineStr">
        <is>
          <t>Sim</t>
        </is>
      </c>
      <c r="L625" s="26" t="inlineStr">
        <is>
          <t>Não</t>
        </is>
      </c>
      <c r="M625" s="26" t="inlineStr">
        <is>
          <t>Não</t>
        </is>
      </c>
      <c r="N625" s="26" t="inlineStr">
        <is>
          <t>Não</t>
        </is>
      </c>
      <c r="O625" s="26" t="inlineStr">
        <is>
          <t>Sim</t>
        </is>
      </c>
      <c r="P625" s="27" t="inlineStr">
        <is>
          <t>2-5 anos reclusão + multa + proibição de guarda. Lei 14.064/20 (Lei Sansão). Antes era 3 meses a 1 ano para qualquer animal</t>
        </is>
      </c>
    </row>
    <row r="626">
      <c r="A626" s="28" t="inlineStr">
        <is>
          <t>Lei 14.245/21</t>
        </is>
      </c>
      <c r="B626" s="28" t="inlineStr">
        <is>
          <t>—</t>
        </is>
      </c>
      <c r="C626" s="29" t="inlineStr">
        <is>
          <t>REFERÊNCIA — A Lei Mariana Ferrer (14.245/21) não cria crime novo. Altera CPP, CP e LEP para coibir atos atentatórios à dignidade da vítima e testemunhas em audiência. Conduta de advogado que violar pode configurar desacato (Art. 331 CP) ou injúria (Art. 140 CP) e sanção disciplinar da OAB</t>
        </is>
      </c>
      <c r="D626" s="28" t="inlineStr">
        <is>
          <t>—</t>
        </is>
      </c>
      <c r="E626" s="28" t="inlineStr">
        <is>
          <t>—</t>
        </is>
      </c>
      <c r="F626" s="28" t="inlineStr">
        <is>
          <t>—</t>
        </is>
      </c>
      <c r="G626" s="28" t="inlineStr">
        <is>
          <t>—</t>
        </is>
      </c>
      <c r="H626" s="28" t="inlineStr">
        <is>
          <t>—</t>
        </is>
      </c>
      <c r="I626" s="28" t="inlineStr">
        <is>
          <t>—</t>
        </is>
      </c>
      <c r="J626" s="28" t="inlineStr">
        <is>
          <t>—</t>
        </is>
      </c>
      <c r="K626" s="28" t="inlineStr">
        <is>
          <t>—</t>
        </is>
      </c>
      <c r="L626" s="28" t="inlineStr">
        <is>
          <t>—</t>
        </is>
      </c>
      <c r="M626" s="28" t="inlineStr">
        <is>
          <t>—</t>
        </is>
      </c>
      <c r="N626" s="28" t="inlineStr">
        <is>
          <t>—</t>
        </is>
      </c>
      <c r="O626" s="28" t="inlineStr">
        <is>
          <t>—</t>
        </is>
      </c>
      <c r="P626" s="29" t="inlineStr">
        <is>
          <t>REFERÊNCIA — alteração procedimental. A ofensa à dignidade da vítima em julgamento passa a configurar ato atentatório, com sanções processuais (Art. 400-A CPP e Art. 474-A CPP)</t>
        </is>
      </c>
    </row>
    <row r="627">
      <c r="A627" s="7" t="inlineStr">
        <is>
          <t>CP (atualiz.)</t>
        </is>
      </c>
      <c r="B627" s="7" t="inlineStr">
        <is>
          <t>Art. 171, §4º</t>
        </is>
      </c>
      <c r="C627" s="16" t="inlineStr">
        <is>
          <t>Estelionato contra idoso ou vulnerável</t>
        </is>
      </c>
      <c r="D627" s="7" t="n">
        <v>48</v>
      </c>
      <c r="E627" s="7" t="n">
        <v>96</v>
      </c>
      <c r="F627" s="7" t="inlineStr">
        <is>
          <t>Reclusão</t>
        </is>
      </c>
      <c r="G627" s="7" t="inlineStr">
        <is>
          <t>Pública Incondicionada</t>
        </is>
      </c>
      <c r="H627" s="7" t="inlineStr">
        <is>
          <t>Não</t>
        </is>
      </c>
      <c r="I627" s="7" t="inlineStr">
        <is>
          <t>Doloso</t>
        </is>
      </c>
      <c r="J627" s="7" t="inlineStr">
        <is>
          <t>Sim</t>
        </is>
      </c>
      <c r="K627" s="7" t="inlineStr">
        <is>
          <t>Não</t>
        </is>
      </c>
      <c r="L627" s="7" t="inlineStr">
        <is>
          <t>Não</t>
        </is>
      </c>
      <c r="M627" s="7" t="inlineStr">
        <is>
          <t>Não</t>
        </is>
      </c>
      <c r="N627" s="7" t="inlineStr">
        <is>
          <t>Não</t>
        </is>
      </c>
      <c r="O627" s="7" t="inlineStr">
        <is>
          <t>Verificar</t>
        </is>
      </c>
      <c r="P627" s="16" t="inlineStr">
        <is>
          <t>4-8 anos reclusão. Lei 14.155/21. Pena aplicada em dobro se contra idoso. Ação pública incondicionada neste caso (não depende de representação)</t>
        </is>
      </c>
    </row>
    <row r="628">
      <c r="A628" s="7" t="inlineStr">
        <is>
          <t>Lei 9.613/98 (atualiz.)</t>
        </is>
      </c>
      <c r="B628" s="7" t="inlineStr">
        <is>
          <t>Art. 1º, §4º (atualiz.)</t>
        </is>
      </c>
      <c r="C628" s="16" t="inlineStr">
        <is>
          <t>Lavagem de dinheiro com uso de ativos virtuais (criptomoedas)</t>
        </is>
      </c>
      <c r="D628" s="7" t="n">
        <v>36</v>
      </c>
      <c r="E628" s="7" t="n">
        <v>120</v>
      </c>
      <c r="F628" s="7" t="inlineStr">
        <is>
          <t>Reclusão</t>
        </is>
      </c>
      <c r="G628" s="7" t="inlineStr">
        <is>
          <t>Pública Incondicionada</t>
        </is>
      </c>
      <c r="H628" s="7" t="inlineStr">
        <is>
          <t>Não</t>
        </is>
      </c>
      <c r="I628" s="7" t="inlineStr">
        <is>
          <t>Doloso</t>
        </is>
      </c>
      <c r="J628" s="7" t="inlineStr">
        <is>
          <t>Sim</t>
        </is>
      </c>
      <c r="K628" s="7" t="inlineStr">
        <is>
          <t>Não</t>
        </is>
      </c>
      <c r="L628" s="7" t="inlineStr">
        <is>
          <t>Não</t>
        </is>
      </c>
      <c r="M628" s="7" t="inlineStr">
        <is>
          <t>Sim</t>
        </is>
      </c>
      <c r="N628" s="7" t="inlineStr">
        <is>
          <t>Não</t>
        </is>
      </c>
      <c r="O628" s="7" t="inlineStr">
        <is>
          <t>Verificar</t>
        </is>
      </c>
      <c r="P628" s="16" t="inlineStr">
        <is>
          <t>3-10 anos reclusão + multa. Lei 14.478/22 incluiu prestadoras de serviços de ativos virtuais como sujeitos obrigados à Lei 9.613/98. Aumento de 1/3 a 2/3 se habitualmente</t>
        </is>
      </c>
    </row>
    <row r="629">
      <c r="A629" s="26" t="inlineStr">
        <is>
          <t>CP</t>
        </is>
      </c>
      <c r="B629" s="26" t="inlineStr">
        <is>
          <t>Art. 155, §4º, I</t>
        </is>
      </c>
      <c r="C629" s="27" t="inlineStr">
        <is>
          <t>Furto qualificado com destruição ou rompimento de obstáculo</t>
        </is>
      </c>
      <c r="D629" s="26" t="n">
        <v>24</v>
      </c>
      <c r="E629" s="26" t="n">
        <v>96</v>
      </c>
      <c r="F629" s="26" t="inlineStr">
        <is>
          <t>Reclusão</t>
        </is>
      </c>
      <c r="G629" s="26" t="inlineStr">
        <is>
          <t>Pública Incondicionada</t>
        </is>
      </c>
      <c r="H629" s="26" t="inlineStr">
        <is>
          <t>Não</t>
        </is>
      </c>
      <c r="I629" s="26" t="inlineStr">
        <is>
          <t>Doloso</t>
        </is>
      </c>
      <c r="J629" s="26" t="inlineStr">
        <is>
          <t>Sim</t>
        </is>
      </c>
      <c r="K629" s="26" t="inlineStr">
        <is>
          <t>Sim</t>
        </is>
      </c>
      <c r="L629" s="26" t="inlineStr">
        <is>
          <t>Não</t>
        </is>
      </c>
      <c r="M629" s="26" t="inlineStr">
        <is>
          <t>Não</t>
        </is>
      </c>
      <c r="N629" s="26" t="inlineStr">
        <is>
          <t>Não</t>
        </is>
      </c>
      <c r="O629" s="26" t="inlineStr">
        <is>
          <t>Sim</t>
        </is>
      </c>
      <c r="P629" s="27" t="inlineStr">
        <is>
          <t>2-8 anos reclusão + multa</t>
        </is>
      </c>
    </row>
    <row r="630">
      <c r="A630" s="7" t="inlineStr">
        <is>
          <t>CP</t>
        </is>
      </c>
      <c r="B630" s="7" t="inlineStr">
        <is>
          <t>Art. 155, §4º, II</t>
        </is>
      </c>
      <c r="C630" s="16" t="inlineStr">
        <is>
          <t>Furto qualificado com abuso de confiança, fraude, escalada ou destreza</t>
        </is>
      </c>
      <c r="D630" s="7" t="n">
        <v>24</v>
      </c>
      <c r="E630" s="7" t="n">
        <v>96</v>
      </c>
      <c r="F630" s="7" t="inlineStr">
        <is>
          <t>Reclusão</t>
        </is>
      </c>
      <c r="G630" s="7" t="inlineStr">
        <is>
          <t>Pública Incondicionada</t>
        </is>
      </c>
      <c r="H630" s="7" t="inlineStr">
        <is>
          <t>Não</t>
        </is>
      </c>
      <c r="I630" s="7" t="inlineStr">
        <is>
          <t>Doloso</t>
        </is>
      </c>
      <c r="J630" s="7" t="inlineStr">
        <is>
          <t>Sim</t>
        </is>
      </c>
      <c r="K630" s="7" t="inlineStr">
        <is>
          <t>Não</t>
        </is>
      </c>
      <c r="L630" s="7" t="inlineStr">
        <is>
          <t>Não</t>
        </is>
      </c>
      <c r="M630" s="7" t="inlineStr">
        <is>
          <t>Sim</t>
        </is>
      </c>
      <c r="N630" s="7" t="inlineStr">
        <is>
          <t>Não</t>
        </is>
      </c>
      <c r="O630" s="7" t="inlineStr">
        <is>
          <t>Sim</t>
        </is>
      </c>
      <c r="P630" s="16" t="inlineStr">
        <is>
          <t>2-8 anos reclusão + multa</t>
        </is>
      </c>
    </row>
    <row r="631">
      <c r="A631" s="7" t="inlineStr">
        <is>
          <t>CP</t>
        </is>
      </c>
      <c r="B631" s="7" t="inlineStr">
        <is>
          <t>Art. 155, §4º, III</t>
        </is>
      </c>
      <c r="C631" s="16" t="inlineStr">
        <is>
          <t>Furto qualificado com emprego de chave falsa</t>
        </is>
      </c>
      <c r="D631" s="7" t="n">
        <v>24</v>
      </c>
      <c r="E631" s="7" t="n">
        <v>96</v>
      </c>
      <c r="F631" s="7" t="inlineStr">
        <is>
          <t>Reclusão</t>
        </is>
      </c>
      <c r="G631" s="7" t="inlineStr">
        <is>
          <t>Pública Incondicionada</t>
        </is>
      </c>
      <c r="H631" s="7" t="inlineStr">
        <is>
          <t>Não</t>
        </is>
      </c>
      <c r="I631" s="7" t="inlineStr">
        <is>
          <t>Doloso</t>
        </is>
      </c>
      <c r="J631" s="7" t="inlineStr">
        <is>
          <t>Sim</t>
        </is>
      </c>
      <c r="K631" s="7" t="inlineStr">
        <is>
          <t>Não</t>
        </is>
      </c>
      <c r="L631" s="7" t="inlineStr">
        <is>
          <t>Não</t>
        </is>
      </c>
      <c r="M631" s="7" t="inlineStr">
        <is>
          <t>Sim</t>
        </is>
      </c>
      <c r="N631" s="7" t="inlineStr">
        <is>
          <t>Não</t>
        </is>
      </c>
      <c r="O631" s="7" t="inlineStr">
        <is>
          <t>Sim</t>
        </is>
      </c>
      <c r="P631" s="16" t="inlineStr">
        <is>
          <t>2-8 anos reclusão + multa</t>
        </is>
      </c>
    </row>
    <row r="632">
      <c r="A632" s="7" t="inlineStr">
        <is>
          <t>CP</t>
        </is>
      </c>
      <c r="B632" s="7" t="inlineStr">
        <is>
          <t>Art. 155, §4º, IV</t>
        </is>
      </c>
      <c r="C632" s="16" t="inlineStr">
        <is>
          <t>Furto qualificado mediante concurso de duas ou mais pessoas</t>
        </is>
      </c>
      <c r="D632" s="7" t="n">
        <v>24</v>
      </c>
      <c r="E632" s="7" t="n">
        <v>96</v>
      </c>
      <c r="F632" s="7" t="inlineStr">
        <is>
          <t>Reclusão</t>
        </is>
      </c>
      <c r="G632" s="7" t="inlineStr">
        <is>
          <t>Pública Incondicionada</t>
        </is>
      </c>
      <c r="H632" s="7" t="inlineStr">
        <is>
          <t>Não</t>
        </is>
      </c>
      <c r="I632" s="7" t="inlineStr">
        <is>
          <t>Doloso</t>
        </is>
      </c>
      <c r="J632" s="7" t="inlineStr">
        <is>
          <t>Sim</t>
        </is>
      </c>
      <c r="K632" s="7" t="inlineStr">
        <is>
          <t>Não</t>
        </is>
      </c>
      <c r="L632" s="7" t="inlineStr">
        <is>
          <t>Não</t>
        </is>
      </c>
      <c r="M632" s="7" t="inlineStr">
        <is>
          <t>Sim</t>
        </is>
      </c>
      <c r="N632" s="7" t="inlineStr">
        <is>
          <t>Não</t>
        </is>
      </c>
      <c r="O632" s="7" t="inlineStr">
        <is>
          <t>Sim</t>
        </is>
      </c>
      <c r="P632" s="16" t="inlineStr">
        <is>
          <t>2-8 anos reclusão + multa</t>
        </is>
      </c>
    </row>
    <row r="633">
      <c r="A633" s="26" t="inlineStr">
        <is>
          <t>CP</t>
        </is>
      </c>
      <c r="B633" s="26" t="inlineStr">
        <is>
          <t>Art. 155, §4º-B</t>
        </is>
      </c>
      <c r="C633" s="27" t="inlineStr">
        <is>
          <t>Furto qualificado com emprego de explosivo ou artefato análogo</t>
        </is>
      </c>
      <c r="D633" s="26" t="n">
        <v>48</v>
      </c>
      <c r="E633" s="26" t="n">
        <v>120</v>
      </c>
      <c r="F633" s="26" t="inlineStr">
        <is>
          <t>Reclusão</t>
        </is>
      </c>
      <c r="G633" s="26" t="inlineStr">
        <is>
          <t>Pública Incondicionada</t>
        </is>
      </c>
      <c r="H633" s="26" t="inlineStr">
        <is>
          <t>Não</t>
        </is>
      </c>
      <c r="I633" s="26" t="inlineStr">
        <is>
          <t>Doloso</t>
        </is>
      </c>
      <c r="J633" s="26" t="inlineStr">
        <is>
          <t>Sim</t>
        </is>
      </c>
      <c r="K633" s="26" t="inlineStr">
        <is>
          <t>Sim</t>
        </is>
      </c>
      <c r="L633" s="26" t="inlineStr">
        <is>
          <t>Não</t>
        </is>
      </c>
      <c r="M633" s="26" t="inlineStr">
        <is>
          <t>Não</t>
        </is>
      </c>
      <c r="N633" s="26" t="inlineStr">
        <is>
          <t>Não</t>
        </is>
      </c>
      <c r="O633" s="26" t="inlineStr">
        <is>
          <t>Verificar</t>
        </is>
      </c>
      <c r="P633" s="27" t="inlineStr">
        <is>
          <t>4-10 anos reclusão + multa. Lei 13.654/18</t>
        </is>
      </c>
    </row>
    <row r="634">
      <c r="A634" s="7" t="inlineStr">
        <is>
          <t>CP</t>
        </is>
      </c>
      <c r="B634" s="7" t="inlineStr">
        <is>
          <t>Art. 155, §5º</t>
        </is>
      </c>
      <c r="C634" s="16" t="inlineStr">
        <is>
          <t>Furto qualificado de veículo automotor transportado para outro Estado ou exterior</t>
        </is>
      </c>
      <c r="D634" s="7" t="n">
        <v>36</v>
      </c>
      <c r="E634" s="7" t="n">
        <v>96</v>
      </c>
      <c r="F634" s="7" t="inlineStr">
        <is>
          <t>Reclusão</t>
        </is>
      </c>
      <c r="G634" s="7" t="inlineStr">
        <is>
          <t>Pública Incondicionada</t>
        </is>
      </c>
      <c r="H634" s="7" t="inlineStr">
        <is>
          <t>Não</t>
        </is>
      </c>
      <c r="I634" s="7" t="inlineStr">
        <is>
          <t>Doloso</t>
        </is>
      </c>
      <c r="J634" s="7" t="inlineStr">
        <is>
          <t>Sim</t>
        </is>
      </c>
      <c r="K634" s="7" t="inlineStr">
        <is>
          <t>Não</t>
        </is>
      </c>
      <c r="L634" s="7" t="inlineStr">
        <is>
          <t>Não</t>
        </is>
      </c>
      <c r="M634" s="7" t="inlineStr">
        <is>
          <t>Sim</t>
        </is>
      </c>
      <c r="N634" s="7" t="inlineStr">
        <is>
          <t>Não</t>
        </is>
      </c>
      <c r="O634" s="7" t="inlineStr">
        <is>
          <t>Verificar</t>
        </is>
      </c>
      <c r="P634" s="16" t="inlineStr">
        <is>
          <t>3-8 anos reclusão</t>
        </is>
      </c>
    </row>
    <row r="635">
      <c r="A635" s="7" t="inlineStr">
        <is>
          <t>CP</t>
        </is>
      </c>
      <c r="B635" s="7" t="inlineStr">
        <is>
          <t>Art. 155, §6º</t>
        </is>
      </c>
      <c r="C635" s="16" t="inlineStr">
        <is>
          <t>Furto qualificado de substância explosiva ou acessório</t>
        </is>
      </c>
      <c r="D635" s="7" t="n">
        <v>48</v>
      </c>
      <c r="E635" s="7" t="n">
        <v>120</v>
      </c>
      <c r="F635" s="7" t="inlineStr">
        <is>
          <t>Reclusão</t>
        </is>
      </c>
      <c r="G635" s="7" t="inlineStr">
        <is>
          <t>Pública Incondicionada</t>
        </is>
      </c>
      <c r="H635" s="7" t="inlineStr">
        <is>
          <t>Não</t>
        </is>
      </c>
      <c r="I635" s="7" t="inlineStr">
        <is>
          <t>Doloso</t>
        </is>
      </c>
      <c r="J635" s="7" t="inlineStr">
        <is>
          <t>Sim</t>
        </is>
      </c>
      <c r="K635" s="7" t="inlineStr">
        <is>
          <t>Não</t>
        </is>
      </c>
      <c r="L635" s="7" t="inlineStr">
        <is>
          <t>Não</t>
        </is>
      </c>
      <c r="M635" s="7" t="inlineStr">
        <is>
          <t>Não</t>
        </is>
      </c>
      <c r="N635" s="7" t="inlineStr">
        <is>
          <t>Não</t>
        </is>
      </c>
      <c r="O635" s="7" t="inlineStr">
        <is>
          <t>Verificar</t>
        </is>
      </c>
      <c r="P635" s="16" t="inlineStr">
        <is>
          <t>4-10 anos reclusão + multa</t>
        </is>
      </c>
    </row>
    <row r="636">
      <c r="A636" s="7" t="inlineStr">
        <is>
          <t>CP</t>
        </is>
      </c>
      <c r="B636" s="7" t="inlineStr">
        <is>
          <t>Art. 155, §7º</t>
        </is>
      </c>
      <c r="C636" s="16" t="inlineStr">
        <is>
          <t>Furto qualificado de semovente domesticável de produção (abigeato)</t>
        </is>
      </c>
      <c r="D636" s="7" t="n">
        <v>24</v>
      </c>
      <c r="E636" s="7" t="n">
        <v>96</v>
      </c>
      <c r="F636" s="7" t="inlineStr">
        <is>
          <t>Reclusão</t>
        </is>
      </c>
      <c r="G636" s="7" t="inlineStr">
        <is>
          <t>Pública Incondicionada</t>
        </is>
      </c>
      <c r="H636" s="7" t="inlineStr">
        <is>
          <t>Não</t>
        </is>
      </c>
      <c r="I636" s="7" t="inlineStr">
        <is>
          <t>Doloso</t>
        </is>
      </c>
      <c r="J636" s="7" t="inlineStr">
        <is>
          <t>Sim</t>
        </is>
      </c>
      <c r="K636" s="7" t="inlineStr">
        <is>
          <t>Não</t>
        </is>
      </c>
      <c r="L636" s="7" t="inlineStr">
        <is>
          <t>Não</t>
        </is>
      </c>
      <c r="M636" s="7" t="inlineStr">
        <is>
          <t>Sim</t>
        </is>
      </c>
      <c r="N636" s="7" t="inlineStr">
        <is>
          <t>Não</t>
        </is>
      </c>
      <c r="O636" s="7" t="inlineStr">
        <is>
          <t>Sim</t>
        </is>
      </c>
      <c r="P636" s="16" t="inlineStr">
        <is>
          <t>2-8 anos reclusão + multa. Abigeato (furto de gado)</t>
        </is>
      </c>
    </row>
    <row r="637">
      <c r="A637" s="26" t="inlineStr">
        <is>
          <t>CP</t>
        </is>
      </c>
      <c r="B637" s="26" t="inlineStr">
        <is>
          <t>Art. 157, §2º, I</t>
        </is>
      </c>
      <c r="C637" s="27" t="inlineStr">
        <is>
          <t>Roubo com aumento — concurso de duas ou mais pessoas</t>
        </is>
      </c>
      <c r="D637" s="26" t="n">
        <v>48</v>
      </c>
      <c r="E637" s="26" t="n">
        <v>120</v>
      </c>
      <c r="F637" s="26" t="inlineStr">
        <is>
          <t>Reclusão</t>
        </is>
      </c>
      <c r="G637" s="26" t="inlineStr">
        <is>
          <t>Pública Incondicionada</t>
        </is>
      </c>
      <c r="H637" s="26" t="inlineStr">
        <is>
          <t>Não</t>
        </is>
      </c>
      <c r="I637" s="26" t="inlineStr">
        <is>
          <t>Doloso</t>
        </is>
      </c>
      <c r="J637" s="26" t="inlineStr">
        <is>
          <t>Sim</t>
        </is>
      </c>
      <c r="K637" s="26" t="inlineStr">
        <is>
          <t>Sim</t>
        </is>
      </c>
      <c r="L637" s="26" t="inlineStr">
        <is>
          <t>Sim</t>
        </is>
      </c>
      <c r="M637" s="26" t="inlineStr">
        <is>
          <t>Não</t>
        </is>
      </c>
      <c r="N637" s="26" t="inlineStr">
        <is>
          <t>Não</t>
        </is>
      </c>
      <c r="O637" s="26" t="inlineStr">
        <is>
          <t>Verificar</t>
        </is>
      </c>
      <c r="P637" s="27" t="inlineStr">
        <is>
          <t>4-10 anos reclusão + multa. Aumento de 1/3 a 1/2</t>
        </is>
      </c>
    </row>
    <row r="638">
      <c r="A638" s="26" t="inlineStr">
        <is>
          <t>CP</t>
        </is>
      </c>
      <c r="B638" s="26" t="inlineStr">
        <is>
          <t>Art. 157, §2º, II</t>
        </is>
      </c>
      <c r="C638" s="27" t="inlineStr">
        <is>
          <t>Roubo com aumento — emprego de arma branca</t>
        </is>
      </c>
      <c r="D638" s="26" t="n">
        <v>48</v>
      </c>
      <c r="E638" s="26" t="n">
        <v>120</v>
      </c>
      <c r="F638" s="26" t="inlineStr">
        <is>
          <t>Reclusão</t>
        </is>
      </c>
      <c r="G638" s="26" t="inlineStr">
        <is>
          <t>Pública Incondicionada</t>
        </is>
      </c>
      <c r="H638" s="26" t="inlineStr">
        <is>
          <t>Não</t>
        </is>
      </c>
      <c r="I638" s="26" t="inlineStr">
        <is>
          <t>Doloso</t>
        </is>
      </c>
      <c r="J638" s="26" t="inlineStr">
        <is>
          <t>Sim</t>
        </is>
      </c>
      <c r="K638" s="26" t="inlineStr">
        <is>
          <t>Sim</t>
        </is>
      </c>
      <c r="L638" s="26" t="inlineStr">
        <is>
          <t>Sim</t>
        </is>
      </c>
      <c r="M638" s="26" t="inlineStr">
        <is>
          <t>Não</t>
        </is>
      </c>
      <c r="N638" s="26" t="inlineStr">
        <is>
          <t>Não</t>
        </is>
      </c>
      <c r="O638" s="26" t="inlineStr">
        <is>
          <t>Verificar</t>
        </is>
      </c>
      <c r="P638" s="27" t="inlineStr">
        <is>
          <t>4-10 anos reclusão + multa. Aumento de 1/3 a 1/2</t>
        </is>
      </c>
    </row>
    <row r="639">
      <c r="A639" s="26" t="inlineStr">
        <is>
          <t>CP</t>
        </is>
      </c>
      <c r="B639" s="26" t="inlineStr">
        <is>
          <t>Art. 157, §2º, III</t>
        </is>
      </c>
      <c r="C639" s="27" t="inlineStr">
        <is>
          <t>Roubo com aumento — vítima em serviço de transporte de valores e o agente conhece tal circunstância</t>
        </is>
      </c>
      <c r="D639" s="26" t="n">
        <v>48</v>
      </c>
      <c r="E639" s="26" t="n">
        <v>120</v>
      </c>
      <c r="F639" s="26" t="inlineStr">
        <is>
          <t>Reclusão</t>
        </is>
      </c>
      <c r="G639" s="26" t="inlineStr">
        <is>
          <t>Pública Incondicionada</t>
        </is>
      </c>
      <c r="H639" s="26" t="inlineStr">
        <is>
          <t>Não</t>
        </is>
      </c>
      <c r="I639" s="26" t="inlineStr">
        <is>
          <t>Doloso</t>
        </is>
      </c>
      <c r="J639" s="26" t="inlineStr">
        <is>
          <t>Sim</t>
        </is>
      </c>
      <c r="K639" s="26" t="inlineStr">
        <is>
          <t>Sim</t>
        </is>
      </c>
      <c r="L639" s="26" t="inlineStr">
        <is>
          <t>Sim</t>
        </is>
      </c>
      <c r="M639" s="26" t="inlineStr">
        <is>
          <t>Não</t>
        </is>
      </c>
      <c r="N639" s="26" t="inlineStr">
        <is>
          <t>Não</t>
        </is>
      </c>
      <c r="O639" s="26" t="inlineStr">
        <is>
          <t>Verificar</t>
        </is>
      </c>
      <c r="P639" s="27" t="inlineStr">
        <is>
          <t>4-10 anos reclusão + multa. Aumento de 1/3 a 1/2</t>
        </is>
      </c>
    </row>
    <row r="640">
      <c r="A640" s="26" t="inlineStr">
        <is>
          <t>CP</t>
        </is>
      </c>
      <c r="B640" s="26" t="inlineStr">
        <is>
          <t>Art. 157, §2º, IV</t>
        </is>
      </c>
      <c r="C640" s="27" t="inlineStr">
        <is>
          <t>Roubo com aumento — veículo automotor transportado para outro Estado ou exterior</t>
        </is>
      </c>
      <c r="D640" s="26" t="n">
        <v>48</v>
      </c>
      <c r="E640" s="26" t="n">
        <v>120</v>
      </c>
      <c r="F640" s="26" t="inlineStr">
        <is>
          <t>Reclusão</t>
        </is>
      </c>
      <c r="G640" s="26" t="inlineStr">
        <is>
          <t>Pública Incondicionada</t>
        </is>
      </c>
      <c r="H640" s="26" t="inlineStr">
        <is>
          <t>Não</t>
        </is>
      </c>
      <c r="I640" s="26" t="inlineStr">
        <is>
          <t>Doloso</t>
        </is>
      </c>
      <c r="J640" s="26" t="inlineStr">
        <is>
          <t>Sim</t>
        </is>
      </c>
      <c r="K640" s="26" t="inlineStr">
        <is>
          <t>Sim</t>
        </is>
      </c>
      <c r="L640" s="26" t="inlineStr">
        <is>
          <t>Sim</t>
        </is>
      </c>
      <c r="M640" s="26" t="inlineStr">
        <is>
          <t>Não</t>
        </is>
      </c>
      <c r="N640" s="26" t="inlineStr">
        <is>
          <t>Não</t>
        </is>
      </c>
      <c r="O640" s="26" t="inlineStr">
        <is>
          <t>Verificar</t>
        </is>
      </c>
      <c r="P640" s="27" t="inlineStr">
        <is>
          <t>4-10 anos reclusão + multa. Aumento de 1/3 a 1/2</t>
        </is>
      </c>
    </row>
    <row r="641">
      <c r="A641" s="26" t="inlineStr">
        <is>
          <t>CP</t>
        </is>
      </c>
      <c r="B641" s="26" t="inlineStr">
        <is>
          <t>Art. 157, §2º, V</t>
        </is>
      </c>
      <c r="C641" s="27" t="inlineStr">
        <is>
          <t>Roubo com aumento — restrição de liberdade da vítima necessária para a consumação</t>
        </is>
      </c>
      <c r="D641" s="26" t="n">
        <v>48</v>
      </c>
      <c r="E641" s="26" t="n">
        <v>120</v>
      </c>
      <c r="F641" s="26" t="inlineStr">
        <is>
          <t>Reclusão</t>
        </is>
      </c>
      <c r="G641" s="26" t="inlineStr">
        <is>
          <t>Pública Incondicionada</t>
        </is>
      </c>
      <c r="H641" s="26" t="inlineStr">
        <is>
          <t>Não</t>
        </is>
      </c>
      <c r="I641" s="26" t="inlineStr">
        <is>
          <t>Doloso</t>
        </is>
      </c>
      <c r="J641" s="26" t="inlineStr">
        <is>
          <t>Sim</t>
        </is>
      </c>
      <c r="K641" s="26" t="inlineStr">
        <is>
          <t>Sim</t>
        </is>
      </c>
      <c r="L641" s="26" t="inlineStr">
        <is>
          <t>Sim</t>
        </is>
      </c>
      <c r="M641" s="26" t="inlineStr">
        <is>
          <t>Não</t>
        </is>
      </c>
      <c r="N641" s="26" t="inlineStr">
        <is>
          <t>Não</t>
        </is>
      </c>
      <c r="O641" s="26" t="inlineStr">
        <is>
          <t>Verificar</t>
        </is>
      </c>
      <c r="P641" s="27" t="inlineStr">
        <is>
          <t>4-10 anos reclusão + multa. Aumento de 1/3 a 1/2</t>
        </is>
      </c>
    </row>
    <row r="642">
      <c r="A642" s="26" t="inlineStr">
        <is>
          <t>CP</t>
        </is>
      </c>
      <c r="B642" s="26" t="inlineStr">
        <is>
          <t>Art. 157, §2º, VI</t>
        </is>
      </c>
      <c r="C642" s="27" t="inlineStr">
        <is>
          <t>Roubo com aumento — subtração de substância explosiva ou acessório</t>
        </is>
      </c>
      <c r="D642" s="26" t="n">
        <v>48</v>
      </c>
      <c r="E642" s="26" t="n">
        <v>120</v>
      </c>
      <c r="F642" s="26" t="inlineStr">
        <is>
          <t>Reclusão</t>
        </is>
      </c>
      <c r="G642" s="26" t="inlineStr">
        <is>
          <t>Pública Incondicionada</t>
        </is>
      </c>
      <c r="H642" s="26" t="inlineStr">
        <is>
          <t>Não</t>
        </is>
      </c>
      <c r="I642" s="26" t="inlineStr">
        <is>
          <t>Doloso</t>
        </is>
      </c>
      <c r="J642" s="26" t="inlineStr">
        <is>
          <t>Sim</t>
        </is>
      </c>
      <c r="K642" s="26" t="inlineStr">
        <is>
          <t>Sim</t>
        </is>
      </c>
      <c r="L642" s="26" t="inlineStr">
        <is>
          <t>Sim</t>
        </is>
      </c>
      <c r="M642" s="26" t="inlineStr">
        <is>
          <t>Não</t>
        </is>
      </c>
      <c r="N642" s="26" t="inlineStr">
        <is>
          <t>Não</t>
        </is>
      </c>
      <c r="O642" s="26" t="inlineStr">
        <is>
          <t>Verificar</t>
        </is>
      </c>
      <c r="P642" s="27" t="inlineStr">
        <is>
          <t>4-10 anos reclusão + multa. Aumento de 1/3 a 1/2</t>
        </is>
      </c>
    </row>
    <row r="643">
      <c r="A643" s="26" t="inlineStr">
        <is>
          <t>CP</t>
        </is>
      </c>
      <c r="B643" s="26" t="inlineStr">
        <is>
          <t>Art. 157, §2º, VII</t>
        </is>
      </c>
      <c r="C643" s="27" t="inlineStr">
        <is>
          <t>Roubo com aumento — emprego de arma branca (incluído pela Lei 13.654/18)</t>
        </is>
      </c>
      <c r="D643" s="26" t="n">
        <v>48</v>
      </c>
      <c r="E643" s="26" t="n">
        <v>120</v>
      </c>
      <c r="F643" s="26" t="inlineStr">
        <is>
          <t>Reclusão</t>
        </is>
      </c>
      <c r="G643" s="26" t="inlineStr">
        <is>
          <t>Pública Incondicionada</t>
        </is>
      </c>
      <c r="H643" s="26" t="inlineStr">
        <is>
          <t>Não</t>
        </is>
      </c>
      <c r="I643" s="26" t="inlineStr">
        <is>
          <t>Doloso</t>
        </is>
      </c>
      <c r="J643" s="26" t="inlineStr">
        <is>
          <t>Sim</t>
        </is>
      </c>
      <c r="K643" s="26" t="inlineStr">
        <is>
          <t>Sim</t>
        </is>
      </c>
      <c r="L643" s="26" t="inlineStr">
        <is>
          <t>Sim</t>
        </is>
      </c>
      <c r="M643" s="26" t="inlineStr">
        <is>
          <t>Não</t>
        </is>
      </c>
      <c r="N643" s="26" t="inlineStr">
        <is>
          <t>Não</t>
        </is>
      </c>
      <c r="O643" s="26" t="inlineStr">
        <is>
          <t>Verificar</t>
        </is>
      </c>
      <c r="P643" s="27" t="inlineStr">
        <is>
          <t>4-10 anos reclusão + multa. Aumento de 1/3 a 1/2</t>
        </is>
      </c>
    </row>
    <row r="644">
      <c r="A644" s="26" t="inlineStr">
        <is>
          <t>CP</t>
        </is>
      </c>
      <c r="B644" s="26" t="inlineStr">
        <is>
          <t>Art. 157, §2º-A, I</t>
        </is>
      </c>
      <c r="C644" s="27" t="inlineStr">
        <is>
          <t>Roubo com aumento de 2/3 — emprego de arma de fogo</t>
        </is>
      </c>
      <c r="D644" s="26" t="n">
        <v>48</v>
      </c>
      <c r="E644" s="26" t="n">
        <v>120</v>
      </c>
      <c r="F644" s="26" t="inlineStr">
        <is>
          <t>Reclusão</t>
        </is>
      </c>
      <c r="G644" s="26" t="inlineStr">
        <is>
          <t>Pública Incondicionada</t>
        </is>
      </c>
      <c r="H644" s="26" t="inlineStr">
        <is>
          <t>Não</t>
        </is>
      </c>
      <c r="I644" s="26" t="inlineStr">
        <is>
          <t>Doloso</t>
        </is>
      </c>
      <c r="J644" s="26" t="inlineStr">
        <is>
          <t>Sim</t>
        </is>
      </c>
      <c r="K644" s="26" t="inlineStr">
        <is>
          <t>Sim</t>
        </is>
      </c>
      <c r="L644" s="26" t="inlineStr">
        <is>
          <t>Sim</t>
        </is>
      </c>
      <c r="M644" s="26" t="inlineStr">
        <is>
          <t>Não</t>
        </is>
      </c>
      <c r="N644" s="26" t="inlineStr">
        <is>
          <t>Não</t>
        </is>
      </c>
      <c r="O644" s="26" t="inlineStr">
        <is>
          <t>Verificar</t>
        </is>
      </c>
      <c r="P644" s="27" t="inlineStr">
        <is>
          <t>4-10 anos reclusão + multa. Aumento de 2/3. Lei 13.654/18</t>
        </is>
      </c>
    </row>
    <row r="645">
      <c r="A645" s="26" t="inlineStr">
        <is>
          <t>CP</t>
        </is>
      </c>
      <c r="B645" s="26" t="inlineStr">
        <is>
          <t>Art. 157, §2º-A, II</t>
        </is>
      </c>
      <c r="C645" s="27" t="inlineStr">
        <is>
          <t>Roubo com aumento de 2/3 — destruição/rompimento de obstáculo mediante explosivo</t>
        </is>
      </c>
      <c r="D645" s="26" t="n">
        <v>48</v>
      </c>
      <c r="E645" s="26" t="n">
        <v>120</v>
      </c>
      <c r="F645" s="26" t="inlineStr">
        <is>
          <t>Reclusão</t>
        </is>
      </c>
      <c r="G645" s="26" t="inlineStr">
        <is>
          <t>Pública Incondicionada</t>
        </is>
      </c>
      <c r="H645" s="26" t="inlineStr">
        <is>
          <t>Não</t>
        </is>
      </c>
      <c r="I645" s="26" t="inlineStr">
        <is>
          <t>Doloso</t>
        </is>
      </c>
      <c r="J645" s="26" t="inlineStr">
        <is>
          <t>Sim</t>
        </is>
      </c>
      <c r="K645" s="26" t="inlineStr">
        <is>
          <t>Sim</t>
        </is>
      </c>
      <c r="L645" s="26" t="inlineStr">
        <is>
          <t>Sim</t>
        </is>
      </c>
      <c r="M645" s="26" t="inlineStr">
        <is>
          <t>Não</t>
        </is>
      </c>
      <c r="N645" s="26" t="inlineStr">
        <is>
          <t>Não</t>
        </is>
      </c>
      <c r="O645" s="26" t="inlineStr">
        <is>
          <t>Verificar</t>
        </is>
      </c>
      <c r="P645" s="27" t="inlineStr">
        <is>
          <t>4-10 anos reclusão + multa. Aumento de 2/3</t>
        </is>
      </c>
    </row>
    <row r="646">
      <c r="A646" s="26" t="inlineStr">
        <is>
          <t>CP</t>
        </is>
      </c>
      <c r="B646" s="26" t="inlineStr">
        <is>
          <t>Art. 157, §2º-B</t>
        </is>
      </c>
      <c r="C646" s="27" t="inlineStr">
        <is>
          <t>Roubo com aumento — emprego de arma de fogo de uso restrito ou proibido (dobro da pena)</t>
        </is>
      </c>
      <c r="D646" s="26" t="n">
        <v>48</v>
      </c>
      <c r="E646" s="26" t="n">
        <v>120</v>
      </c>
      <c r="F646" s="26" t="inlineStr">
        <is>
          <t>Reclusão</t>
        </is>
      </c>
      <c r="G646" s="26" t="inlineStr">
        <is>
          <t>Pública Incondicionada</t>
        </is>
      </c>
      <c r="H646" s="26" t="inlineStr">
        <is>
          <t>Não</t>
        </is>
      </c>
      <c r="I646" s="26" t="inlineStr">
        <is>
          <t>Doloso</t>
        </is>
      </c>
      <c r="J646" s="26" t="inlineStr">
        <is>
          <t>Sim</t>
        </is>
      </c>
      <c r="K646" s="26" t="inlineStr">
        <is>
          <t>Sim</t>
        </is>
      </c>
      <c r="L646" s="26" t="inlineStr">
        <is>
          <t>Sim</t>
        </is>
      </c>
      <c r="M646" s="26" t="inlineStr">
        <is>
          <t>Não</t>
        </is>
      </c>
      <c r="N646" s="26" t="inlineStr">
        <is>
          <t>Não</t>
        </is>
      </c>
      <c r="O646" s="26" t="inlineStr">
        <is>
          <t>Verificar</t>
        </is>
      </c>
      <c r="P646" s="27" t="inlineStr">
        <is>
          <t>4-10 anos reclusão + multa. Pena em DOBRO. Lei 13.964/19 (Pacote Anticrime)</t>
        </is>
      </c>
    </row>
    <row r="647">
      <c r="A647" s="7" t="inlineStr">
        <is>
          <t>CP</t>
        </is>
      </c>
      <c r="B647" s="7" t="inlineStr">
        <is>
          <t>Art. 171, §2º, I</t>
        </is>
      </c>
      <c r="C647" s="16" t="inlineStr">
        <is>
          <t>Estelionato — venda ou hipoteca de coisa alheia como própria (disposição de coisa alheia)</t>
        </is>
      </c>
      <c r="D647" s="7" t="n">
        <v>12</v>
      </c>
      <c r="E647" s="7" t="n">
        <v>60</v>
      </c>
      <c r="F647" s="7" t="inlineStr">
        <is>
          <t>Reclusão</t>
        </is>
      </c>
      <c r="G647" s="7" t="inlineStr">
        <is>
          <t>Pública Condicionada</t>
        </is>
      </c>
      <c r="H647" s="7" t="inlineStr">
        <is>
          <t>Não</t>
        </is>
      </c>
      <c r="I647" s="7" t="inlineStr">
        <is>
          <t>Doloso</t>
        </is>
      </c>
      <c r="J647" s="7" t="inlineStr">
        <is>
          <t>Sim</t>
        </is>
      </c>
      <c r="K647" s="7" t="inlineStr">
        <is>
          <t>Não</t>
        </is>
      </c>
      <c r="L647" s="7" t="inlineStr">
        <is>
          <t>Não</t>
        </is>
      </c>
      <c r="M647" s="7" t="inlineStr">
        <is>
          <t>Sim</t>
        </is>
      </c>
      <c r="N647" s="7" t="inlineStr">
        <is>
          <t>Sim</t>
        </is>
      </c>
      <c r="O647" s="7" t="inlineStr">
        <is>
          <t>Sim</t>
        </is>
      </c>
      <c r="P647" s="16" t="inlineStr">
        <is>
          <t>1-5 anos reclusão + multa. Fraude na venda de imóvel ou bem</t>
        </is>
      </c>
    </row>
    <row r="648">
      <c r="A648" s="7" t="inlineStr">
        <is>
          <t>CP</t>
        </is>
      </c>
      <c r="B648" s="7" t="inlineStr">
        <is>
          <t>Art. 171, §2º, II</t>
        </is>
      </c>
      <c r="C648" s="16" t="inlineStr">
        <is>
          <t>Estelionato — venda ou penhor de coisa empenhada ou litigiosa (defraudação de penhor)</t>
        </is>
      </c>
      <c r="D648" s="7" t="n">
        <v>12</v>
      </c>
      <c r="E648" s="7" t="n">
        <v>60</v>
      </c>
      <c r="F648" s="7" t="inlineStr">
        <is>
          <t>Reclusão</t>
        </is>
      </c>
      <c r="G648" s="7" t="inlineStr">
        <is>
          <t>Pública Condicionada</t>
        </is>
      </c>
      <c r="H648" s="7" t="inlineStr">
        <is>
          <t>Não</t>
        </is>
      </c>
      <c r="I648" s="7" t="inlineStr">
        <is>
          <t>Doloso</t>
        </is>
      </c>
      <c r="J648" s="7" t="inlineStr">
        <is>
          <t>Sim</t>
        </is>
      </c>
      <c r="K648" s="7" t="inlineStr">
        <is>
          <t>Não</t>
        </is>
      </c>
      <c r="L648" s="7" t="inlineStr">
        <is>
          <t>Não</t>
        </is>
      </c>
      <c r="M648" s="7" t="inlineStr">
        <is>
          <t>Sim</t>
        </is>
      </c>
      <c r="N648" s="7" t="inlineStr">
        <is>
          <t>Sim</t>
        </is>
      </c>
      <c r="O648" s="7" t="inlineStr">
        <is>
          <t>Sim</t>
        </is>
      </c>
      <c r="P648" s="16" t="inlineStr">
        <is>
          <t>1-5 anos reclusão + multa</t>
        </is>
      </c>
    </row>
    <row r="649">
      <c r="A649" s="7" t="inlineStr">
        <is>
          <t>CP</t>
        </is>
      </c>
      <c r="B649" s="7" t="inlineStr">
        <is>
          <t>Art. 171, §2º, III</t>
        </is>
      </c>
      <c r="C649" s="16" t="inlineStr">
        <is>
          <t>Estelionato — defraudação de substância, qualidade ou quantidade de coisa devida (entrega diversa)</t>
        </is>
      </c>
      <c r="D649" s="7" t="n">
        <v>12</v>
      </c>
      <c r="E649" s="7" t="n">
        <v>60</v>
      </c>
      <c r="F649" s="7" t="inlineStr">
        <is>
          <t>Reclusão</t>
        </is>
      </c>
      <c r="G649" s="7" t="inlineStr">
        <is>
          <t>Pública Condicionada</t>
        </is>
      </c>
      <c r="H649" s="7" t="inlineStr">
        <is>
          <t>Não</t>
        </is>
      </c>
      <c r="I649" s="7" t="inlineStr">
        <is>
          <t>Doloso</t>
        </is>
      </c>
      <c r="J649" s="7" t="inlineStr">
        <is>
          <t>Sim</t>
        </is>
      </c>
      <c r="K649" s="7" t="inlineStr">
        <is>
          <t>Não</t>
        </is>
      </c>
      <c r="L649" s="7" t="inlineStr">
        <is>
          <t>Não</t>
        </is>
      </c>
      <c r="M649" s="7" t="inlineStr">
        <is>
          <t>Sim</t>
        </is>
      </c>
      <c r="N649" s="7" t="inlineStr">
        <is>
          <t>Sim</t>
        </is>
      </c>
      <c r="O649" s="7" t="inlineStr">
        <is>
          <t>Sim</t>
        </is>
      </c>
      <c r="P649" s="16" t="inlineStr">
        <is>
          <t>1-5 anos reclusão + multa</t>
        </is>
      </c>
    </row>
    <row r="650">
      <c r="A650" s="7" t="inlineStr">
        <is>
          <t>CP</t>
        </is>
      </c>
      <c r="B650" s="7" t="inlineStr">
        <is>
          <t>Art. 171, §2º, IV</t>
        </is>
      </c>
      <c r="C650" s="16" t="inlineStr">
        <is>
          <t>Estelionato — emissão de cheque sem fundos (fraude no pagamento por cheque)</t>
        </is>
      </c>
      <c r="D650" s="7" t="n">
        <v>12</v>
      </c>
      <c r="E650" s="7" t="n">
        <v>60</v>
      </c>
      <c r="F650" s="7" t="inlineStr">
        <is>
          <t>Reclusão</t>
        </is>
      </c>
      <c r="G650" s="7" t="inlineStr">
        <is>
          <t>Pública Condicionada</t>
        </is>
      </c>
      <c r="H650" s="7" t="inlineStr">
        <is>
          <t>Não</t>
        </is>
      </c>
      <c r="I650" s="7" t="inlineStr">
        <is>
          <t>Doloso</t>
        </is>
      </c>
      <c r="J650" s="7" t="inlineStr">
        <is>
          <t>Sim</t>
        </is>
      </c>
      <c r="K650" s="7" t="inlineStr">
        <is>
          <t>Não</t>
        </is>
      </c>
      <c r="L650" s="7" t="inlineStr">
        <is>
          <t>Não</t>
        </is>
      </c>
      <c r="M650" s="7" t="inlineStr">
        <is>
          <t>Sim</t>
        </is>
      </c>
      <c r="N650" s="7" t="inlineStr">
        <is>
          <t>Sim</t>
        </is>
      </c>
      <c r="O650" s="7" t="inlineStr">
        <is>
          <t>Sim</t>
        </is>
      </c>
      <c r="P650" s="16" t="inlineStr">
        <is>
          <t>1-5 anos reclusão + multa. Súmula 554 STF: não há crime quando o cheque é pré-datado</t>
        </is>
      </c>
    </row>
    <row r="651">
      <c r="A651" s="7" t="inlineStr">
        <is>
          <t>CP</t>
        </is>
      </c>
      <c r="B651" s="7" t="inlineStr">
        <is>
          <t>Art. 171, §2º, V</t>
        </is>
      </c>
      <c r="C651" s="16" t="inlineStr">
        <is>
          <t>Estelionato — fraude para receber seguro ou indenização (destruição de coisa própria segurada)</t>
        </is>
      </c>
      <c r="D651" s="7" t="n">
        <v>12</v>
      </c>
      <c r="E651" s="7" t="n">
        <v>60</v>
      </c>
      <c r="F651" s="7" t="inlineStr">
        <is>
          <t>Reclusão</t>
        </is>
      </c>
      <c r="G651" s="7" t="inlineStr">
        <is>
          <t>Pública Condicionada</t>
        </is>
      </c>
      <c r="H651" s="7" t="inlineStr">
        <is>
          <t>Não</t>
        </is>
      </c>
      <c r="I651" s="7" t="inlineStr">
        <is>
          <t>Doloso</t>
        </is>
      </c>
      <c r="J651" s="7" t="inlineStr">
        <is>
          <t>Sim</t>
        </is>
      </c>
      <c r="K651" s="7" t="inlineStr">
        <is>
          <t>Não</t>
        </is>
      </c>
      <c r="L651" s="7" t="inlineStr">
        <is>
          <t>Não</t>
        </is>
      </c>
      <c r="M651" s="7" t="inlineStr">
        <is>
          <t>Sim</t>
        </is>
      </c>
      <c r="N651" s="7" t="inlineStr">
        <is>
          <t>Sim</t>
        </is>
      </c>
      <c r="O651" s="7" t="inlineStr">
        <is>
          <t>Sim</t>
        </is>
      </c>
      <c r="P651" s="16" t="inlineStr">
        <is>
          <t>1-5 anos reclusão + multa. Fraude de seguro</t>
        </is>
      </c>
    </row>
    <row r="652">
      <c r="A652" s="7" t="inlineStr">
        <is>
          <t>CP</t>
        </is>
      </c>
      <c r="B652" s="7" t="inlineStr">
        <is>
          <t>Art. 171, §2º, VI</t>
        </is>
      </c>
      <c r="C652" s="16" t="inlineStr">
        <is>
          <t>Estelionato — fraude na obtenção de financiamento ou crédito em instituição financeira</t>
        </is>
      </c>
      <c r="D652" s="7" t="n">
        <v>12</v>
      </c>
      <c r="E652" s="7" t="n">
        <v>60</v>
      </c>
      <c r="F652" s="7" t="inlineStr">
        <is>
          <t>Reclusão</t>
        </is>
      </c>
      <c r="G652" s="7" t="inlineStr">
        <is>
          <t>Pública Condicionada</t>
        </is>
      </c>
      <c r="H652" s="7" t="inlineStr">
        <is>
          <t>Não</t>
        </is>
      </c>
      <c r="I652" s="7" t="inlineStr">
        <is>
          <t>Doloso</t>
        </is>
      </c>
      <c r="J652" s="7" t="inlineStr">
        <is>
          <t>Sim</t>
        </is>
      </c>
      <c r="K652" s="7" t="inlineStr">
        <is>
          <t>Não</t>
        </is>
      </c>
      <c r="L652" s="7" t="inlineStr">
        <is>
          <t>Não</t>
        </is>
      </c>
      <c r="M652" s="7" t="inlineStr">
        <is>
          <t>Sim</t>
        </is>
      </c>
      <c r="N652" s="7" t="inlineStr">
        <is>
          <t>Sim</t>
        </is>
      </c>
      <c r="O652" s="7" t="inlineStr">
        <is>
          <t>Sim</t>
        </is>
      </c>
      <c r="P652" s="16" t="inlineStr">
        <is>
          <t>1-5 anos reclusão + multa</t>
        </is>
      </c>
    </row>
    <row r="653">
      <c r="A653" s="7" t="inlineStr">
        <is>
          <t>CP</t>
        </is>
      </c>
      <c r="B653" s="7" t="inlineStr">
        <is>
          <t>Art. 171, §3º</t>
        </is>
      </c>
      <c r="C653" s="16" t="inlineStr">
        <is>
          <t>Estelionato contra a Previdência Social (fraude previdenciária)</t>
        </is>
      </c>
      <c r="D653" s="7" t="n">
        <v>12</v>
      </c>
      <c r="E653" s="7" t="n">
        <v>78</v>
      </c>
      <c r="F653" s="7" t="inlineStr">
        <is>
          <t>Reclusão</t>
        </is>
      </c>
      <c r="G653" s="7" t="inlineStr">
        <is>
          <t>Pública Incondicionada</t>
        </is>
      </c>
      <c r="H653" s="7" t="inlineStr">
        <is>
          <t>Não</t>
        </is>
      </c>
      <c r="I653" s="7" t="inlineStr">
        <is>
          <t>Doloso</t>
        </is>
      </c>
      <c r="J653" s="7" t="inlineStr">
        <is>
          <t>Sim</t>
        </is>
      </c>
      <c r="K653" s="7" t="inlineStr">
        <is>
          <t>Não</t>
        </is>
      </c>
      <c r="L653" s="7" t="inlineStr">
        <is>
          <t>Não</t>
        </is>
      </c>
      <c r="M653" s="7" t="inlineStr">
        <is>
          <t>Sim</t>
        </is>
      </c>
      <c r="N653" s="7" t="inlineStr">
        <is>
          <t>Sim</t>
        </is>
      </c>
      <c r="O653" s="7" t="inlineStr">
        <is>
          <t>Sim</t>
        </is>
      </c>
      <c r="P653" s="16" t="inlineStr">
        <is>
          <t>1-6,5 anos reclusão + multa. Aumento de 1/3 por ser contra entidade de previdência</t>
        </is>
      </c>
    </row>
    <row r="654">
      <c r="A654" s="7" t="inlineStr">
        <is>
          <t>CP</t>
        </is>
      </c>
      <c r="B654" s="7" t="inlineStr">
        <is>
          <t>Art. 180, §1º</t>
        </is>
      </c>
      <c r="C654" s="16" t="inlineStr">
        <is>
          <t>Receptação qualificada (no exercício de atividade comercial ou industrial)</t>
        </is>
      </c>
      <c r="D654" s="7" t="n">
        <v>36</v>
      </c>
      <c r="E654" s="7" t="n">
        <v>96</v>
      </c>
      <c r="F654" s="7" t="inlineStr">
        <is>
          <t>Reclusão</t>
        </is>
      </c>
      <c r="G654" s="7" t="inlineStr">
        <is>
          <t>Pública Incondicionada</t>
        </is>
      </c>
      <c r="H654" s="7" t="inlineStr">
        <is>
          <t>Não</t>
        </is>
      </c>
      <c r="I654" s="7" t="inlineStr">
        <is>
          <t>Doloso</t>
        </is>
      </c>
      <c r="J654" s="7" t="inlineStr">
        <is>
          <t>Sim</t>
        </is>
      </c>
      <c r="K654" s="7" t="inlineStr">
        <is>
          <t>Não</t>
        </is>
      </c>
      <c r="L654" s="7" t="inlineStr">
        <is>
          <t>Não</t>
        </is>
      </c>
      <c r="M654" s="7" t="inlineStr">
        <is>
          <t>Sim</t>
        </is>
      </c>
      <c r="N654" s="7" t="inlineStr">
        <is>
          <t>Não</t>
        </is>
      </c>
      <c r="O654" s="7" t="inlineStr">
        <is>
          <t>Verificar</t>
        </is>
      </c>
      <c r="P654" s="16" t="inlineStr">
        <is>
          <t>3-8 anos reclusão + multa</t>
        </is>
      </c>
    </row>
    <row r="655">
      <c r="A655" s="7" t="inlineStr">
        <is>
          <t>CP</t>
        </is>
      </c>
      <c r="B655" s="7" t="inlineStr">
        <is>
          <t>Art. 180, §3º</t>
        </is>
      </c>
      <c r="C655" s="16" t="inlineStr">
        <is>
          <t>Receptação culposa</t>
        </is>
      </c>
      <c r="D655" s="7" t="n">
        <v>1</v>
      </c>
      <c r="E655" s="7" t="n">
        <v>12</v>
      </c>
      <c r="F655" s="7" t="inlineStr">
        <is>
          <t>Detenção</t>
        </is>
      </c>
      <c r="G655" s="7" t="inlineStr">
        <is>
          <t>Pública Incondicionada</t>
        </is>
      </c>
      <c r="H655" s="7" t="inlineStr">
        <is>
          <t>Não</t>
        </is>
      </c>
      <c r="I655" s="7" t="inlineStr">
        <is>
          <t>Culposo</t>
        </is>
      </c>
      <c r="J655" s="7" t="inlineStr">
        <is>
          <t>Não</t>
        </is>
      </c>
      <c r="K655" s="7" t="inlineStr">
        <is>
          <t>Não</t>
        </is>
      </c>
      <c r="L655" s="7" t="inlineStr">
        <is>
          <t>Não</t>
        </is>
      </c>
      <c r="M655" s="7" t="inlineStr">
        <is>
          <t>Sim</t>
        </is>
      </c>
      <c r="N655" s="7" t="inlineStr">
        <is>
          <t>Sim</t>
        </is>
      </c>
      <c r="O655" s="7" t="inlineStr">
        <is>
          <t>Sim</t>
        </is>
      </c>
      <c r="P655" s="16" t="inlineStr">
        <is>
          <t>1 mês a 1 ano detenção + multa. Quem deveria presumir obtida por meio criminoso pela natureza/desproporção de preço/condição do ofertante</t>
        </is>
      </c>
    </row>
    <row r="656">
      <c r="A656" s="7" t="inlineStr">
        <is>
          <t>CP</t>
        </is>
      </c>
      <c r="B656" s="7" t="inlineStr">
        <is>
          <t>Art. 180, §4º</t>
        </is>
      </c>
      <c r="C656" s="16" t="inlineStr">
        <is>
          <t>Receptação de veículo automotor ou componente (qualificada)</t>
        </is>
      </c>
      <c r="D656" s="7" t="n">
        <v>36</v>
      </c>
      <c r="E656" s="7" t="n">
        <v>96</v>
      </c>
      <c r="F656" s="7" t="inlineStr">
        <is>
          <t>Reclusão</t>
        </is>
      </c>
      <c r="G656" s="7" t="inlineStr">
        <is>
          <t>Pública Incondicionada</t>
        </is>
      </c>
      <c r="H656" s="7" t="inlineStr">
        <is>
          <t>Não</t>
        </is>
      </c>
      <c r="I656" s="7" t="inlineStr">
        <is>
          <t>Doloso</t>
        </is>
      </c>
      <c r="J656" s="7" t="inlineStr">
        <is>
          <t>Sim</t>
        </is>
      </c>
      <c r="K656" s="7" t="inlineStr">
        <is>
          <t>Não</t>
        </is>
      </c>
      <c r="L656" s="7" t="inlineStr">
        <is>
          <t>Não</t>
        </is>
      </c>
      <c r="M656" s="7" t="inlineStr">
        <is>
          <t>Sim</t>
        </is>
      </c>
      <c r="N656" s="7" t="inlineStr">
        <is>
          <t>Não</t>
        </is>
      </c>
      <c r="O656" s="7" t="inlineStr">
        <is>
          <t>Verificar</t>
        </is>
      </c>
      <c r="P656" s="16" t="inlineStr">
        <is>
          <t>3-8 anos reclusão + multa. Receptação de veículo com sinal adulterado</t>
        </is>
      </c>
    </row>
    <row r="657">
      <c r="A657" s="26" t="inlineStr">
        <is>
          <t>CP</t>
        </is>
      </c>
      <c r="B657" s="26" t="inlineStr">
        <is>
          <t>Art. 158, §1º, I</t>
        </is>
      </c>
      <c r="C657" s="27" t="inlineStr">
        <is>
          <t>Extorsão com aumento — concurso de duas ou mais pessoas</t>
        </is>
      </c>
      <c r="D657" s="26" t="n">
        <v>48</v>
      </c>
      <c r="E657" s="26" t="n">
        <v>120</v>
      </c>
      <c r="F657" s="26" t="inlineStr">
        <is>
          <t>Reclusão</t>
        </is>
      </c>
      <c r="G657" s="26" t="inlineStr">
        <is>
          <t>Pública Incondicionada</t>
        </is>
      </c>
      <c r="H657" s="26" t="inlineStr">
        <is>
          <t>Não</t>
        </is>
      </c>
      <c r="I657" s="26" t="inlineStr">
        <is>
          <t>Doloso</t>
        </is>
      </c>
      <c r="J657" s="26" t="inlineStr">
        <is>
          <t>Sim</t>
        </is>
      </c>
      <c r="K657" s="26" t="inlineStr">
        <is>
          <t>Sim</t>
        </is>
      </c>
      <c r="L657" s="26" t="inlineStr">
        <is>
          <t>Sim</t>
        </is>
      </c>
      <c r="M657" s="26" t="inlineStr">
        <is>
          <t>Não</t>
        </is>
      </c>
      <c r="N657" s="26" t="inlineStr">
        <is>
          <t>Não</t>
        </is>
      </c>
      <c r="O657" s="26" t="inlineStr">
        <is>
          <t>Verificar</t>
        </is>
      </c>
      <c r="P657" s="27" t="inlineStr">
        <is>
          <t>4-10 anos reclusão + multa. Aumento de 1/3 a 1/2</t>
        </is>
      </c>
    </row>
    <row r="658">
      <c r="A658" s="26" t="inlineStr">
        <is>
          <t>CP</t>
        </is>
      </c>
      <c r="B658" s="26" t="inlineStr">
        <is>
          <t>Art. 158, §1º, II</t>
        </is>
      </c>
      <c r="C658" s="27" t="inlineStr">
        <is>
          <t>Extorsão com aumento — emprego de arma</t>
        </is>
      </c>
      <c r="D658" s="26" t="n">
        <v>48</v>
      </c>
      <c r="E658" s="26" t="n">
        <v>120</v>
      </c>
      <c r="F658" s="26" t="inlineStr">
        <is>
          <t>Reclusão</t>
        </is>
      </c>
      <c r="G658" s="26" t="inlineStr">
        <is>
          <t>Pública Incondicionada</t>
        </is>
      </c>
      <c r="H658" s="26" t="inlineStr">
        <is>
          <t>Não</t>
        </is>
      </c>
      <c r="I658" s="26" t="inlineStr">
        <is>
          <t>Doloso</t>
        </is>
      </c>
      <c r="J658" s="26" t="inlineStr">
        <is>
          <t>Sim</t>
        </is>
      </c>
      <c r="K658" s="26" t="inlineStr">
        <is>
          <t>Sim</t>
        </is>
      </c>
      <c r="L658" s="26" t="inlineStr">
        <is>
          <t>Sim</t>
        </is>
      </c>
      <c r="M658" s="26" t="inlineStr">
        <is>
          <t>Não</t>
        </is>
      </c>
      <c r="N658" s="26" t="inlineStr">
        <is>
          <t>Não</t>
        </is>
      </c>
      <c r="O658" s="26" t="inlineStr">
        <is>
          <t>Verificar</t>
        </is>
      </c>
      <c r="P658" s="27" t="inlineStr">
        <is>
          <t>4-10 anos reclusão + multa. Aumento de 1/3 a 1/2</t>
        </is>
      </c>
    </row>
    <row r="659">
      <c r="A659" s="7" t="inlineStr">
        <is>
          <t>CP</t>
        </is>
      </c>
      <c r="B659" s="7" t="inlineStr">
        <is>
          <t>Art. 168, §1º, I</t>
        </is>
      </c>
      <c r="C659" s="16" t="inlineStr">
        <is>
          <t>Apropriação indébita com aumento — coisa recebida em depósito necessário</t>
        </is>
      </c>
      <c r="D659" s="7" t="n">
        <v>12</v>
      </c>
      <c r="E659" s="7" t="n">
        <v>36</v>
      </c>
      <c r="F659" s="7" t="inlineStr">
        <is>
          <t>Reclusão</t>
        </is>
      </c>
      <c r="G659" s="7" t="inlineStr">
        <is>
          <t>Pública Incondicionada</t>
        </is>
      </c>
      <c r="H659" s="7" t="inlineStr">
        <is>
          <t>Não</t>
        </is>
      </c>
      <c r="I659" s="7" t="inlineStr">
        <is>
          <t>Doloso</t>
        </is>
      </c>
      <c r="J659" s="7" t="inlineStr">
        <is>
          <t>Sim</t>
        </is>
      </c>
      <c r="K659" s="7" t="inlineStr">
        <is>
          <t>Não</t>
        </is>
      </c>
      <c r="L659" s="7" t="inlineStr">
        <is>
          <t>Não</t>
        </is>
      </c>
      <c r="M659" s="7" t="inlineStr">
        <is>
          <t>Sim</t>
        </is>
      </c>
      <c r="N659" s="7" t="inlineStr">
        <is>
          <t>Sim</t>
        </is>
      </c>
      <c r="O659" s="7" t="inlineStr">
        <is>
          <t>Sim</t>
        </is>
      </c>
      <c r="P659" s="16" t="inlineStr">
        <is>
          <t>1-3 anos reclusão + multa. Aumento de 1/3</t>
        </is>
      </c>
    </row>
    <row r="660">
      <c r="A660" s="7" t="inlineStr">
        <is>
          <t>CP</t>
        </is>
      </c>
      <c r="B660" s="7" t="inlineStr">
        <is>
          <t>Art. 168, §1º, II</t>
        </is>
      </c>
      <c r="C660" s="16" t="inlineStr">
        <is>
          <t>Apropriação indébita com aumento — na qualidade de tutor/curador/síndico/liquidatário/inventariante/testamenteiro/depositário judicial</t>
        </is>
      </c>
      <c r="D660" s="7" t="n">
        <v>12</v>
      </c>
      <c r="E660" s="7" t="n">
        <v>36</v>
      </c>
      <c r="F660" s="7" t="inlineStr">
        <is>
          <t>Reclusão</t>
        </is>
      </c>
      <c r="G660" s="7" t="inlineStr">
        <is>
          <t>Pública Incondicionada</t>
        </is>
      </c>
      <c r="H660" s="7" t="inlineStr">
        <is>
          <t>Não</t>
        </is>
      </c>
      <c r="I660" s="7" t="inlineStr">
        <is>
          <t>Doloso</t>
        </is>
      </c>
      <c r="J660" s="7" t="inlineStr">
        <is>
          <t>Sim</t>
        </is>
      </c>
      <c r="K660" s="7" t="inlineStr">
        <is>
          <t>Não</t>
        </is>
      </c>
      <c r="L660" s="7" t="inlineStr">
        <is>
          <t>Não</t>
        </is>
      </c>
      <c r="M660" s="7" t="inlineStr">
        <is>
          <t>Sim</t>
        </is>
      </c>
      <c r="N660" s="7" t="inlineStr">
        <is>
          <t>Sim</t>
        </is>
      </c>
      <c r="O660" s="7" t="inlineStr">
        <is>
          <t>Sim</t>
        </is>
      </c>
      <c r="P660" s="16" t="inlineStr">
        <is>
          <t>1-3 anos reclusão + multa. Aumento de 1/3</t>
        </is>
      </c>
    </row>
    <row r="661">
      <c r="A661" s="7" t="inlineStr">
        <is>
          <t>CP</t>
        </is>
      </c>
      <c r="B661" s="7" t="inlineStr">
        <is>
          <t>Art. 168, §1º, III</t>
        </is>
      </c>
      <c r="C661" s="16" t="inlineStr">
        <is>
          <t>Apropriação indébita com aumento — em razão de ofício/emprego/profissão</t>
        </is>
      </c>
      <c r="D661" s="7" t="n">
        <v>12</v>
      </c>
      <c r="E661" s="7" t="n">
        <v>36</v>
      </c>
      <c r="F661" s="7" t="inlineStr">
        <is>
          <t>Reclusão</t>
        </is>
      </c>
      <c r="G661" s="7" t="inlineStr">
        <is>
          <t>Pública Incondicionada</t>
        </is>
      </c>
      <c r="H661" s="7" t="inlineStr">
        <is>
          <t>Não</t>
        </is>
      </c>
      <c r="I661" s="7" t="inlineStr">
        <is>
          <t>Doloso</t>
        </is>
      </c>
      <c r="J661" s="7" t="inlineStr">
        <is>
          <t>Sim</t>
        </is>
      </c>
      <c r="K661" s="7" t="inlineStr">
        <is>
          <t>Não</t>
        </is>
      </c>
      <c r="L661" s="7" t="inlineStr">
        <is>
          <t>Não</t>
        </is>
      </c>
      <c r="M661" s="7" t="inlineStr">
        <is>
          <t>Sim</t>
        </is>
      </c>
      <c r="N661" s="7" t="inlineStr">
        <is>
          <t>Sim</t>
        </is>
      </c>
      <c r="O661" s="7" t="inlineStr">
        <is>
          <t>Sim</t>
        </is>
      </c>
      <c r="P661" s="16" t="inlineStr">
        <is>
          <t>1-3 anos reclusão + multa. Aumento de 1/3</t>
        </is>
      </c>
    </row>
    <row r="662">
      <c r="A662" s="26" t="inlineStr">
        <is>
          <t>CP</t>
        </is>
      </c>
      <c r="B662" s="26" t="inlineStr">
        <is>
          <t>Art. 163, §único, I</t>
        </is>
      </c>
      <c r="C662" s="27" t="inlineStr">
        <is>
          <t>Dano qualificado com violência à pessoa ou grave ameaça</t>
        </is>
      </c>
      <c r="D662" s="26" t="n">
        <v>6</v>
      </c>
      <c r="E662" s="26" t="n">
        <v>36</v>
      </c>
      <c r="F662" s="26" t="inlineStr">
        <is>
          <t>Detenção</t>
        </is>
      </c>
      <c r="G662" s="26" t="inlineStr">
        <is>
          <t>Pública Incondicionada</t>
        </is>
      </c>
      <c r="H662" s="26" t="inlineStr">
        <is>
          <t>Não</t>
        </is>
      </c>
      <c r="I662" s="26" t="inlineStr">
        <is>
          <t>Doloso</t>
        </is>
      </c>
      <c r="J662" s="26" t="inlineStr">
        <is>
          <t>Sim</t>
        </is>
      </c>
      <c r="K662" s="26" t="inlineStr">
        <is>
          <t>Sim</t>
        </is>
      </c>
      <c r="L662" s="26" t="inlineStr">
        <is>
          <t>Sim</t>
        </is>
      </c>
      <c r="M662" s="26" t="inlineStr">
        <is>
          <t>Não</t>
        </is>
      </c>
      <c r="N662" s="26" t="inlineStr">
        <is>
          <t>Sim</t>
        </is>
      </c>
      <c r="O662" s="26" t="inlineStr">
        <is>
          <t>Sim</t>
        </is>
      </c>
      <c r="P662" s="27" t="inlineStr">
        <is>
          <t>6 meses a 3 anos detenção + multa</t>
        </is>
      </c>
    </row>
    <row r="663">
      <c r="A663" s="7" t="inlineStr">
        <is>
          <t>CP</t>
        </is>
      </c>
      <c r="B663" s="7" t="inlineStr">
        <is>
          <t>Art. 163, §único, II</t>
        </is>
      </c>
      <c r="C663" s="16" t="inlineStr">
        <is>
          <t>Dano qualificado com emprego de substância inflamável ou explosiva</t>
        </is>
      </c>
      <c r="D663" s="7" t="n">
        <v>6</v>
      </c>
      <c r="E663" s="7" t="n">
        <v>36</v>
      </c>
      <c r="F663" s="7" t="inlineStr">
        <is>
          <t>Detenção</t>
        </is>
      </c>
      <c r="G663" s="7" t="inlineStr">
        <is>
          <t>Pública Incondicionada</t>
        </is>
      </c>
      <c r="H663" s="7" t="inlineStr">
        <is>
          <t>Não</t>
        </is>
      </c>
      <c r="I663" s="7" t="inlineStr">
        <is>
          <t>Doloso</t>
        </is>
      </c>
      <c r="J663" s="7" t="inlineStr">
        <is>
          <t>Sim</t>
        </is>
      </c>
      <c r="K663" s="7" t="inlineStr">
        <is>
          <t>Não</t>
        </is>
      </c>
      <c r="L663" s="7" t="inlineStr">
        <is>
          <t>Não</t>
        </is>
      </c>
      <c r="M663" s="7" t="inlineStr">
        <is>
          <t>Sim</t>
        </is>
      </c>
      <c r="N663" s="7" t="inlineStr">
        <is>
          <t>Sim</t>
        </is>
      </c>
      <c r="O663" s="7" t="inlineStr">
        <is>
          <t>Sim</t>
        </is>
      </c>
      <c r="P663" s="16" t="inlineStr">
        <is>
          <t>6 meses a 3 anos detenção + multa</t>
        </is>
      </c>
    </row>
    <row r="664">
      <c r="A664" s="7" t="inlineStr">
        <is>
          <t>CP</t>
        </is>
      </c>
      <c r="B664" s="7" t="inlineStr">
        <is>
          <t>Art. 163, §único, III</t>
        </is>
      </c>
      <c r="C664" s="16" t="inlineStr">
        <is>
          <t>Dano qualificado contra patrimônio da União/Estado/Município/autarquia/fundação/empresa pública/sociedade de economia mista/concessionária</t>
        </is>
      </c>
      <c r="D664" s="7" t="n">
        <v>6</v>
      </c>
      <c r="E664" s="7" t="n">
        <v>36</v>
      </c>
      <c r="F664" s="7" t="inlineStr">
        <is>
          <t>Detenção</t>
        </is>
      </c>
      <c r="G664" s="7" t="inlineStr">
        <is>
          <t>Pública Incondicionada</t>
        </is>
      </c>
      <c r="H664" s="7" t="inlineStr">
        <is>
          <t>Não</t>
        </is>
      </c>
      <c r="I664" s="7" t="inlineStr">
        <is>
          <t>Doloso</t>
        </is>
      </c>
      <c r="J664" s="7" t="inlineStr">
        <is>
          <t>Sim</t>
        </is>
      </c>
      <c r="K664" s="7" t="inlineStr">
        <is>
          <t>Não</t>
        </is>
      </c>
      <c r="L664" s="7" t="inlineStr">
        <is>
          <t>Não</t>
        </is>
      </c>
      <c r="M664" s="7" t="inlineStr">
        <is>
          <t>Sim</t>
        </is>
      </c>
      <c r="N664" s="7" t="inlineStr">
        <is>
          <t>Sim</t>
        </is>
      </c>
      <c r="O664" s="7" t="inlineStr">
        <is>
          <t>Sim</t>
        </is>
      </c>
      <c r="P664" s="16" t="inlineStr">
        <is>
          <t>6 meses a 3 anos detenção + multa</t>
        </is>
      </c>
    </row>
    <row r="665">
      <c r="A665" s="7" t="inlineStr">
        <is>
          <t>CP</t>
        </is>
      </c>
      <c r="B665" s="7" t="inlineStr">
        <is>
          <t>Art. 163, §único, IV</t>
        </is>
      </c>
      <c r="C665" s="16" t="inlineStr">
        <is>
          <t>Dano qualificado por motivo egoístico ou com prejuízo considerável para a vítima</t>
        </is>
      </c>
      <c r="D665" s="7" t="n">
        <v>6</v>
      </c>
      <c r="E665" s="7" t="n">
        <v>36</v>
      </c>
      <c r="F665" s="7" t="inlineStr">
        <is>
          <t>Detenção</t>
        </is>
      </c>
      <c r="G665" s="7" t="inlineStr">
        <is>
          <t>Pública Incondicionada</t>
        </is>
      </c>
      <c r="H665" s="7" t="inlineStr">
        <is>
          <t>Não</t>
        </is>
      </c>
      <c r="I665" s="7" t="inlineStr">
        <is>
          <t>Doloso</t>
        </is>
      </c>
      <c r="J665" s="7" t="inlineStr">
        <is>
          <t>Sim</t>
        </is>
      </c>
      <c r="K665" s="7" t="inlineStr">
        <is>
          <t>Não</t>
        </is>
      </c>
      <c r="L665" s="7" t="inlineStr">
        <is>
          <t>Não</t>
        </is>
      </c>
      <c r="M665" s="7" t="inlineStr">
        <is>
          <t>Sim</t>
        </is>
      </c>
      <c r="N665" s="7" t="inlineStr">
        <is>
          <t>Sim</t>
        </is>
      </c>
      <c r="O665" s="7" t="inlineStr">
        <is>
          <t>Sim</t>
        </is>
      </c>
      <c r="P665" s="16" t="inlineStr">
        <is>
          <t>6 meses a 3 anos detenção + multa</t>
        </is>
      </c>
    </row>
    <row r="666">
      <c r="A666" s="7" t="inlineStr">
        <is>
          <t>CP</t>
        </is>
      </c>
      <c r="B666" s="7" t="inlineStr">
        <is>
          <t>Art. 297, §3º, I</t>
        </is>
      </c>
      <c r="C666" s="16" t="inlineStr">
        <is>
          <t>Falsificação de documento público — inserção de dados falsos em CTPS (carteira de trabalho)</t>
        </is>
      </c>
      <c r="D666" s="7" t="n">
        <v>24</v>
      </c>
      <c r="E666" s="7" t="n">
        <v>72</v>
      </c>
      <c r="F666" s="7" t="inlineStr">
        <is>
          <t>Reclusão</t>
        </is>
      </c>
      <c r="G666" s="7" t="inlineStr">
        <is>
          <t>Pública Incondicionada</t>
        </is>
      </c>
      <c r="H666" s="7" t="inlineStr">
        <is>
          <t>Não</t>
        </is>
      </c>
      <c r="I666" s="7" t="inlineStr">
        <is>
          <t>Doloso</t>
        </is>
      </c>
      <c r="J666" s="7" t="inlineStr">
        <is>
          <t>Sim</t>
        </is>
      </c>
      <c r="K666" s="7" t="inlineStr">
        <is>
          <t>Não</t>
        </is>
      </c>
      <c r="L666" s="7" t="inlineStr">
        <is>
          <t>Não</t>
        </is>
      </c>
      <c r="M666" s="7" t="inlineStr">
        <is>
          <t>Sim</t>
        </is>
      </c>
      <c r="N666" s="7" t="inlineStr">
        <is>
          <t>Não</t>
        </is>
      </c>
      <c r="O666" s="7" t="inlineStr">
        <is>
          <t>Sim</t>
        </is>
      </c>
      <c r="P666" s="16" t="inlineStr">
        <is>
          <t>2-6 anos reclusão + multa</t>
        </is>
      </c>
    </row>
    <row r="667">
      <c r="A667" s="7" t="inlineStr">
        <is>
          <t>CP</t>
        </is>
      </c>
      <c r="B667" s="7" t="inlineStr">
        <is>
          <t>Art. 297, §3º, II</t>
        </is>
      </c>
      <c r="C667" s="16" t="inlineStr">
        <is>
          <t>Falsificação de documento público — inserção de dados falsos em caderneta de inscrição, registro de contribuinte, livro de registro</t>
        </is>
      </c>
      <c r="D667" s="7" t="n">
        <v>24</v>
      </c>
      <c r="E667" s="7" t="n">
        <v>72</v>
      </c>
      <c r="F667" s="7" t="inlineStr">
        <is>
          <t>Reclusão</t>
        </is>
      </c>
      <c r="G667" s="7" t="inlineStr">
        <is>
          <t>Pública Incondicionada</t>
        </is>
      </c>
      <c r="H667" s="7" t="inlineStr">
        <is>
          <t>Não</t>
        </is>
      </c>
      <c r="I667" s="7" t="inlineStr">
        <is>
          <t>Doloso</t>
        </is>
      </c>
      <c r="J667" s="7" t="inlineStr">
        <is>
          <t>Sim</t>
        </is>
      </c>
      <c r="K667" s="7" t="inlineStr">
        <is>
          <t>Não</t>
        </is>
      </c>
      <c r="L667" s="7" t="inlineStr">
        <is>
          <t>Não</t>
        </is>
      </c>
      <c r="M667" s="7" t="inlineStr">
        <is>
          <t>Sim</t>
        </is>
      </c>
      <c r="N667" s="7" t="inlineStr">
        <is>
          <t>Não</t>
        </is>
      </c>
      <c r="O667" s="7" t="inlineStr">
        <is>
          <t>Sim</t>
        </is>
      </c>
      <c r="P667" s="16" t="inlineStr">
        <is>
          <t>2-6 anos reclusão + multa</t>
        </is>
      </c>
    </row>
    <row r="668">
      <c r="A668" s="7" t="inlineStr">
        <is>
          <t>CP</t>
        </is>
      </c>
      <c r="B668" s="7" t="inlineStr">
        <is>
          <t>Art. 297, §4º</t>
        </is>
      </c>
      <c r="C668" s="16" t="inlineStr">
        <is>
          <t>Falsificação de documento público — omitir dado em documento público com a finalidade de obter vantagem indevida</t>
        </is>
      </c>
      <c r="D668" s="7" t="n">
        <v>24</v>
      </c>
      <c r="E668" s="7" t="n">
        <v>72</v>
      </c>
      <c r="F668" s="7" t="inlineStr">
        <is>
          <t>Reclusão</t>
        </is>
      </c>
      <c r="G668" s="7" t="inlineStr">
        <is>
          <t>Pública Incondicionada</t>
        </is>
      </c>
      <c r="H668" s="7" t="inlineStr">
        <is>
          <t>Não</t>
        </is>
      </c>
      <c r="I668" s="7" t="inlineStr">
        <is>
          <t>Doloso</t>
        </is>
      </c>
      <c r="J668" s="7" t="inlineStr">
        <is>
          <t>Sim</t>
        </is>
      </c>
      <c r="K668" s="7" t="inlineStr">
        <is>
          <t>Não</t>
        </is>
      </c>
      <c r="L668" s="7" t="inlineStr">
        <is>
          <t>Não</t>
        </is>
      </c>
      <c r="M668" s="7" t="inlineStr">
        <is>
          <t>Sim</t>
        </is>
      </c>
      <c r="N668" s="7" t="inlineStr">
        <is>
          <t>Não</t>
        </is>
      </c>
      <c r="O668" s="7" t="inlineStr">
        <is>
          <t>Sim</t>
        </is>
      </c>
      <c r="P668" s="16" t="inlineStr">
        <is>
          <t>2-6 anos reclusão + multa</t>
        </is>
      </c>
    </row>
    <row r="669">
      <c r="A669" s="7" t="inlineStr">
        <is>
          <t>CP</t>
        </is>
      </c>
      <c r="B669" s="7" t="inlineStr">
        <is>
          <t>Art. 312, §1º</t>
        </is>
      </c>
      <c r="C669" s="16" t="inlineStr">
        <is>
          <t>Peculato-apropriação (funcionário que se apropria de dinheiro/valor/bem público de que tem a posse em razão do cargo)</t>
        </is>
      </c>
      <c r="D669" s="7" t="n">
        <v>24</v>
      </c>
      <c r="E669" s="7" t="n">
        <v>144</v>
      </c>
      <c r="F669" s="7" t="inlineStr">
        <is>
          <t>Reclusão</t>
        </is>
      </c>
      <c r="G669" s="7" t="inlineStr">
        <is>
          <t>Pública Incondicionada</t>
        </is>
      </c>
      <c r="H669" s="7" t="inlineStr">
        <is>
          <t>Não</t>
        </is>
      </c>
      <c r="I669" s="7" t="inlineStr">
        <is>
          <t>Doloso</t>
        </is>
      </c>
      <c r="J669" s="7" t="inlineStr">
        <is>
          <t>Sim</t>
        </is>
      </c>
      <c r="K669" s="7" t="inlineStr">
        <is>
          <t>Não</t>
        </is>
      </c>
      <c r="L669" s="7" t="inlineStr">
        <is>
          <t>Não</t>
        </is>
      </c>
      <c r="M669" s="7" t="inlineStr">
        <is>
          <t>Sim</t>
        </is>
      </c>
      <c r="N669" s="7" t="inlineStr">
        <is>
          <t>Não</t>
        </is>
      </c>
      <c r="O669" s="7" t="inlineStr">
        <is>
          <t>Sim</t>
        </is>
      </c>
      <c r="P669" s="16" t="inlineStr">
        <is>
          <t>2-12 anos reclusão + multa</t>
        </is>
      </c>
    </row>
    <row r="670">
      <c r="A670" s="7" t="inlineStr">
        <is>
          <t>CP</t>
        </is>
      </c>
      <c r="B670" s="7" t="inlineStr">
        <is>
          <t>Art. 312, §2º</t>
        </is>
      </c>
      <c r="C670" s="16" t="inlineStr">
        <is>
          <t>Peculato culposo (concorre culposamente para o crime de outrem)</t>
        </is>
      </c>
      <c r="D670" s="7" t="n">
        <v>3</v>
      </c>
      <c r="E670" s="7" t="n">
        <v>36</v>
      </c>
      <c r="F670" s="7" t="inlineStr">
        <is>
          <t>Detenção</t>
        </is>
      </c>
      <c r="G670" s="7" t="inlineStr">
        <is>
          <t>Pública Incondicionada</t>
        </is>
      </c>
      <c r="H670" s="7" t="inlineStr">
        <is>
          <t>Não</t>
        </is>
      </c>
      <c r="I670" s="7" t="inlineStr">
        <is>
          <t>Culposo</t>
        </is>
      </c>
      <c r="J670" s="7" t="inlineStr">
        <is>
          <t>Não</t>
        </is>
      </c>
      <c r="K670" s="7" t="inlineStr">
        <is>
          <t>Não</t>
        </is>
      </c>
      <c r="L670" s="7" t="inlineStr">
        <is>
          <t>Não</t>
        </is>
      </c>
      <c r="M670" s="7" t="inlineStr">
        <is>
          <t>Sim</t>
        </is>
      </c>
      <c r="N670" s="7" t="inlineStr">
        <is>
          <t>Sim</t>
        </is>
      </c>
      <c r="O670" s="7" t="inlineStr">
        <is>
          <t>Sim</t>
        </is>
      </c>
      <c r="P670" s="16" t="inlineStr">
        <is>
          <t>3 meses a 3 anos detenção. §3º: se reparar o dano antes da sentença irrecorrível, extingue a punibilidade; após: reduz metade</t>
        </is>
      </c>
    </row>
    <row r="671">
      <c r="A671" s="7" t="inlineStr">
        <is>
          <t>CP</t>
        </is>
      </c>
      <c r="B671" s="7" t="inlineStr">
        <is>
          <t>Art. 312, §3º</t>
        </is>
      </c>
      <c r="C671" s="16" t="inlineStr">
        <is>
          <t>Peculato-furto (funcionário que, embora não tendo posse, subtrai ou concorre para que seja subtraído)</t>
        </is>
      </c>
      <c r="D671" s="7" t="n">
        <v>24</v>
      </c>
      <c r="E671" s="7" t="n">
        <v>144</v>
      </c>
      <c r="F671" s="7" t="inlineStr">
        <is>
          <t>Reclusão</t>
        </is>
      </c>
      <c r="G671" s="7" t="inlineStr">
        <is>
          <t>Pública Incondicionada</t>
        </is>
      </c>
      <c r="H671" s="7" t="inlineStr">
        <is>
          <t>Não</t>
        </is>
      </c>
      <c r="I671" s="7" t="inlineStr">
        <is>
          <t>Doloso</t>
        </is>
      </c>
      <c r="J671" s="7" t="inlineStr">
        <is>
          <t>Sim</t>
        </is>
      </c>
      <c r="K671" s="7" t="inlineStr">
        <is>
          <t>Não</t>
        </is>
      </c>
      <c r="L671" s="7" t="inlineStr">
        <is>
          <t>Não</t>
        </is>
      </c>
      <c r="M671" s="7" t="inlineStr">
        <is>
          <t>Sim</t>
        </is>
      </c>
      <c r="N671" s="7" t="inlineStr">
        <is>
          <t>Não</t>
        </is>
      </c>
      <c r="O671" s="7" t="inlineStr">
        <is>
          <t>Sim</t>
        </is>
      </c>
      <c r="P671" s="16" t="inlineStr">
        <is>
          <t>2-12 anos reclusão + multa. Peculato na modalidade furto</t>
        </is>
      </c>
    </row>
    <row r="672">
      <c r="A672" s="17" t="inlineStr">
        <is>
          <t>CP</t>
        </is>
      </c>
      <c r="B672" s="17" t="inlineStr">
        <is>
          <t>Art. 213, §1º, 1ª parte</t>
        </is>
      </c>
      <c r="C672" s="18" t="inlineStr">
        <is>
          <t>Estupro com lesão corporal grave</t>
        </is>
      </c>
      <c r="D672" s="17" t="n">
        <v>72</v>
      </c>
      <c r="E672" s="17" t="n">
        <v>120</v>
      </c>
      <c r="F672" s="17" t="inlineStr">
        <is>
          <t>Reclusão</t>
        </is>
      </c>
      <c r="G672" s="17" t="inlineStr">
        <is>
          <t>Pública Incondicionada</t>
        </is>
      </c>
      <c r="H672" s="17" t="inlineStr">
        <is>
          <t>Sim</t>
        </is>
      </c>
      <c r="I672" s="17" t="inlineStr">
        <is>
          <t>Doloso</t>
        </is>
      </c>
      <c r="J672" s="17" t="inlineStr">
        <is>
          <t>Sim</t>
        </is>
      </c>
      <c r="K672" s="17" t="inlineStr">
        <is>
          <t>Sim</t>
        </is>
      </c>
      <c r="L672" s="17" t="inlineStr">
        <is>
          <t>Sim</t>
        </is>
      </c>
      <c r="M672" s="17" t="inlineStr">
        <is>
          <t>Não</t>
        </is>
      </c>
      <c r="N672" s="17" t="inlineStr">
        <is>
          <t>Não</t>
        </is>
      </c>
      <c r="O672" s="17" t="inlineStr">
        <is>
          <t>Verificar</t>
        </is>
      </c>
      <c r="P672" s="18" t="inlineStr">
        <is>
          <t>6-10 anos reclusão. HEDIONDO. Resultado qualificador preterdoloso</t>
        </is>
      </c>
    </row>
    <row r="673">
      <c r="A673" s="17" t="inlineStr">
        <is>
          <t>CP</t>
        </is>
      </c>
      <c r="B673" s="17" t="inlineStr">
        <is>
          <t>Art. 213, §1º, 2ª parte</t>
        </is>
      </c>
      <c r="C673" s="18" t="inlineStr">
        <is>
          <t>Estupro de vítima menor de 18 e maior de 14 anos</t>
        </is>
      </c>
      <c r="D673" s="17" t="n">
        <v>72</v>
      </c>
      <c r="E673" s="17" t="n">
        <v>120</v>
      </c>
      <c r="F673" s="17" t="inlineStr">
        <is>
          <t>Reclusão</t>
        </is>
      </c>
      <c r="G673" s="17" t="inlineStr">
        <is>
          <t>Pública Incondicionada</t>
        </is>
      </c>
      <c r="H673" s="17" t="inlineStr">
        <is>
          <t>Sim</t>
        </is>
      </c>
      <c r="I673" s="17" t="inlineStr">
        <is>
          <t>Doloso</t>
        </is>
      </c>
      <c r="J673" s="17" t="inlineStr">
        <is>
          <t>Sim</t>
        </is>
      </c>
      <c r="K673" s="17" t="inlineStr">
        <is>
          <t>Sim</t>
        </is>
      </c>
      <c r="L673" s="17" t="inlineStr">
        <is>
          <t>Sim</t>
        </is>
      </c>
      <c r="M673" s="17" t="inlineStr">
        <is>
          <t>Não</t>
        </is>
      </c>
      <c r="N673" s="17" t="inlineStr">
        <is>
          <t>Não</t>
        </is>
      </c>
      <c r="O673" s="17" t="inlineStr">
        <is>
          <t>Verificar</t>
        </is>
      </c>
      <c r="P673" s="18" t="inlineStr">
        <is>
          <t>6-10 anos reclusão. HEDIONDO</t>
        </is>
      </c>
    </row>
    <row r="674">
      <c r="A674" s="17" t="inlineStr">
        <is>
          <t>CP</t>
        </is>
      </c>
      <c r="B674" s="17" t="inlineStr">
        <is>
          <t>Art. 213, §2º</t>
        </is>
      </c>
      <c r="C674" s="18" t="inlineStr">
        <is>
          <t>Estupro com resultado morte</t>
        </is>
      </c>
      <c r="D674" s="17" t="n">
        <v>144</v>
      </c>
      <c r="E674" s="17" t="n">
        <v>360</v>
      </c>
      <c r="F674" s="17" t="inlineStr">
        <is>
          <t>Reclusão</t>
        </is>
      </c>
      <c r="G674" s="17" t="inlineStr">
        <is>
          <t>Pública Incondicionada</t>
        </is>
      </c>
      <c r="H674" s="17" t="inlineStr">
        <is>
          <t>Sim</t>
        </is>
      </c>
      <c r="I674" s="17" t="inlineStr">
        <is>
          <t>Preterdoloso</t>
        </is>
      </c>
      <c r="J674" s="17" t="inlineStr">
        <is>
          <t>Não</t>
        </is>
      </c>
      <c r="K674" s="17" t="inlineStr">
        <is>
          <t>Sim</t>
        </is>
      </c>
      <c r="L674" s="17" t="inlineStr">
        <is>
          <t>Sim</t>
        </is>
      </c>
      <c r="M674" s="17" t="inlineStr">
        <is>
          <t>Não</t>
        </is>
      </c>
      <c r="N674" s="17" t="inlineStr">
        <is>
          <t>Não</t>
        </is>
      </c>
      <c r="O674" s="17" t="inlineStr">
        <is>
          <t>Verificar</t>
        </is>
      </c>
      <c r="P674" s="18" t="inlineStr">
        <is>
          <t>12-30 anos reclusão. HEDIONDO. Crime preterdoloso (dolo no antecedente, culpa no consequente)</t>
        </is>
      </c>
    </row>
    <row r="675">
      <c r="A675" s="17" t="inlineStr">
        <is>
          <t>CP</t>
        </is>
      </c>
      <c r="B675" s="17" t="inlineStr">
        <is>
          <t>Art. 217-A, §1º</t>
        </is>
      </c>
      <c r="C675" s="18" t="inlineStr">
        <is>
          <t>Estupro de vulnerável — vítima deficiente ou sem discernimento para consentir</t>
        </is>
      </c>
      <c r="D675" s="17" t="n">
        <v>96</v>
      </c>
      <c r="E675" s="17" t="n">
        <v>180</v>
      </c>
      <c r="F675" s="17" t="inlineStr">
        <is>
          <t>Reclusão</t>
        </is>
      </c>
      <c r="G675" s="17" t="inlineStr">
        <is>
          <t>Pública Incondicionada</t>
        </is>
      </c>
      <c r="H675" s="17" t="inlineStr">
        <is>
          <t>Sim</t>
        </is>
      </c>
      <c r="I675" s="17" t="inlineStr">
        <is>
          <t>Doloso</t>
        </is>
      </c>
      <c r="J675" s="17" t="inlineStr">
        <is>
          <t>Sim</t>
        </is>
      </c>
      <c r="K675" s="17" t="inlineStr">
        <is>
          <t>Sim</t>
        </is>
      </c>
      <c r="L675" s="17" t="inlineStr">
        <is>
          <t>Não</t>
        </is>
      </c>
      <c r="M675" s="17" t="inlineStr">
        <is>
          <t>Não</t>
        </is>
      </c>
      <c r="N675" s="17" t="inlineStr">
        <is>
          <t>Não</t>
        </is>
      </c>
      <c r="O675" s="17" t="inlineStr">
        <is>
          <t>Verificar</t>
        </is>
      </c>
      <c r="P675" s="18" t="inlineStr">
        <is>
          <t>8-15 anos reclusão. HEDIONDO</t>
        </is>
      </c>
    </row>
    <row r="676">
      <c r="A676" s="17" t="inlineStr">
        <is>
          <t>CP</t>
        </is>
      </c>
      <c r="B676" s="17" t="inlineStr">
        <is>
          <t>Art. 217-A, §3º</t>
        </is>
      </c>
      <c r="C676" s="18" t="inlineStr">
        <is>
          <t>Estupro de vulnerável com lesão corporal grave</t>
        </is>
      </c>
      <c r="D676" s="17" t="n">
        <v>120</v>
      </c>
      <c r="E676" s="17" t="n">
        <v>240</v>
      </c>
      <c r="F676" s="17" t="inlineStr">
        <is>
          <t>Reclusão</t>
        </is>
      </c>
      <c r="G676" s="17" t="inlineStr">
        <is>
          <t>Pública Incondicionada</t>
        </is>
      </c>
      <c r="H676" s="17" t="inlineStr">
        <is>
          <t>Sim</t>
        </is>
      </c>
      <c r="I676" s="17" t="inlineStr">
        <is>
          <t>Preterdoloso</t>
        </is>
      </c>
      <c r="J676" s="17" t="inlineStr">
        <is>
          <t>Não</t>
        </is>
      </c>
      <c r="K676" s="17" t="inlineStr">
        <is>
          <t>Sim</t>
        </is>
      </c>
      <c r="L676" s="17" t="inlineStr">
        <is>
          <t>Não</t>
        </is>
      </c>
      <c r="M676" s="17" t="inlineStr">
        <is>
          <t>Não</t>
        </is>
      </c>
      <c r="N676" s="17" t="inlineStr">
        <is>
          <t>Não</t>
        </is>
      </c>
      <c r="O676" s="17" t="inlineStr">
        <is>
          <t>Verificar</t>
        </is>
      </c>
      <c r="P676" s="18" t="inlineStr">
        <is>
          <t>10-20 anos reclusão. HEDIONDO</t>
        </is>
      </c>
    </row>
    <row r="677">
      <c r="A677" s="17" t="inlineStr">
        <is>
          <t>CP</t>
        </is>
      </c>
      <c r="B677" s="17" t="inlineStr">
        <is>
          <t>Art. 217-A, §4º</t>
        </is>
      </c>
      <c r="C677" s="18" t="inlineStr">
        <is>
          <t>Estupro de vulnerável com resultado morte</t>
        </is>
      </c>
      <c r="D677" s="17" t="n">
        <v>144</v>
      </c>
      <c r="E677" s="17" t="n">
        <v>360</v>
      </c>
      <c r="F677" s="17" t="inlineStr">
        <is>
          <t>Reclusão</t>
        </is>
      </c>
      <c r="G677" s="17" t="inlineStr">
        <is>
          <t>Pública Incondicionada</t>
        </is>
      </c>
      <c r="H677" s="17" t="inlineStr">
        <is>
          <t>Sim</t>
        </is>
      </c>
      <c r="I677" s="17" t="inlineStr">
        <is>
          <t>Preterdoloso</t>
        </is>
      </c>
      <c r="J677" s="17" t="inlineStr">
        <is>
          <t>Não</t>
        </is>
      </c>
      <c r="K677" s="17" t="inlineStr">
        <is>
          <t>Sim</t>
        </is>
      </c>
      <c r="L677" s="17" t="inlineStr">
        <is>
          <t>Não</t>
        </is>
      </c>
      <c r="M677" s="17" t="inlineStr">
        <is>
          <t>Não</t>
        </is>
      </c>
      <c r="N677" s="17" t="inlineStr">
        <is>
          <t>Não</t>
        </is>
      </c>
      <c r="O677" s="17" t="inlineStr">
        <is>
          <t>Verificar</t>
        </is>
      </c>
      <c r="P677" s="18" t="inlineStr">
        <is>
          <t>12-30 anos reclusão. HEDIONDO. Crime preterdoloso</t>
        </is>
      </c>
    </row>
    <row r="678">
      <c r="A678" s="17" t="inlineStr">
        <is>
          <t>CP</t>
        </is>
      </c>
      <c r="B678" s="17" t="inlineStr">
        <is>
          <t>Art. 218-B, §1º</t>
        </is>
      </c>
      <c r="C678" s="18" t="inlineStr">
        <is>
          <t>Favorecimento da prostituição de vulnerável — dono/gerente/responsável de local</t>
        </is>
      </c>
      <c r="D678" s="17" t="n">
        <v>48</v>
      </c>
      <c r="E678" s="17" t="n">
        <v>120</v>
      </c>
      <c r="F678" s="17" t="inlineStr">
        <is>
          <t>Reclusão</t>
        </is>
      </c>
      <c r="G678" s="17" t="inlineStr">
        <is>
          <t>Pública Incondicionada</t>
        </is>
      </c>
      <c r="H678" s="17" t="inlineStr">
        <is>
          <t>Sim</t>
        </is>
      </c>
      <c r="I678" s="17" t="inlineStr">
        <is>
          <t>Doloso</t>
        </is>
      </c>
      <c r="J678" s="17" t="inlineStr">
        <is>
          <t>Sim</t>
        </is>
      </c>
      <c r="K678" s="17" t="inlineStr">
        <is>
          <t>Não</t>
        </is>
      </c>
      <c r="L678" s="17" t="inlineStr">
        <is>
          <t>Não</t>
        </is>
      </c>
      <c r="M678" s="17" t="inlineStr">
        <is>
          <t>Não</t>
        </is>
      </c>
      <c r="N678" s="17" t="inlineStr">
        <is>
          <t>Não</t>
        </is>
      </c>
      <c r="O678" s="17" t="inlineStr">
        <is>
          <t>Verificar</t>
        </is>
      </c>
      <c r="P678" s="18" t="inlineStr">
        <is>
          <t>4-10 anos reclusão + multa. HEDIONDO. Proprietário de local de prostituição de menor</t>
        </is>
      </c>
    </row>
    <row r="679">
      <c r="A679" s="7" t="inlineStr">
        <is>
          <t>CP</t>
        </is>
      </c>
      <c r="B679" s="7" t="inlineStr">
        <is>
          <t>Art. 218-B, §2º, I</t>
        </is>
      </c>
      <c r="C679" s="16" t="inlineStr">
        <is>
          <t>Favorecimento da prostituição de vulnerável — quem pratica conjunção carnal ou ato libidinoso com menor de 18 em situação de exploração</t>
        </is>
      </c>
      <c r="D679" s="7" t="n">
        <v>24</v>
      </c>
      <c r="E679" s="7" t="n">
        <v>60</v>
      </c>
      <c r="F679" s="7" t="inlineStr">
        <is>
          <t>Reclusão</t>
        </is>
      </c>
      <c r="G679" s="7" t="inlineStr">
        <is>
          <t>Pública Incondicionada</t>
        </is>
      </c>
      <c r="H679" s="7" t="inlineStr">
        <is>
          <t>Não</t>
        </is>
      </c>
      <c r="I679" s="7" t="inlineStr">
        <is>
          <t>Doloso</t>
        </is>
      </c>
      <c r="J679" s="7" t="inlineStr">
        <is>
          <t>Sim</t>
        </is>
      </c>
      <c r="K679" s="7" t="inlineStr">
        <is>
          <t>Não</t>
        </is>
      </c>
      <c r="L679" s="7" t="inlineStr">
        <is>
          <t>Não</t>
        </is>
      </c>
      <c r="M679" s="7" t="inlineStr">
        <is>
          <t>Sim</t>
        </is>
      </c>
      <c r="N679" s="7" t="inlineStr">
        <is>
          <t>Não</t>
        </is>
      </c>
      <c r="O679" s="7" t="inlineStr">
        <is>
          <t>Sim</t>
        </is>
      </c>
      <c r="P679" s="16" t="inlineStr">
        <is>
          <t>2-5 anos reclusão + multa. Cliente de prostituição de vulnerável</t>
        </is>
      </c>
    </row>
    <row r="680">
      <c r="A680" s="7" t="inlineStr">
        <is>
          <t>CP</t>
        </is>
      </c>
      <c r="B680" s="7" t="inlineStr">
        <is>
          <t>Art. 288, §único</t>
        </is>
      </c>
      <c r="C680" s="16" t="inlineStr">
        <is>
          <t>Associação criminosa armada (3+ pessoas associadas com emprego de arma de fogo)</t>
        </is>
      </c>
      <c r="D680" s="7" t="n">
        <v>36</v>
      </c>
      <c r="E680" s="7" t="n">
        <v>72</v>
      </c>
      <c r="F680" s="7" t="inlineStr">
        <is>
          <t>Reclusão</t>
        </is>
      </c>
      <c r="G680" s="7" t="inlineStr">
        <is>
          <t>Pública Incondicionada</t>
        </is>
      </c>
      <c r="H680" s="7" t="inlineStr">
        <is>
          <t>Não</t>
        </is>
      </c>
      <c r="I680" s="7" t="inlineStr">
        <is>
          <t>Doloso</t>
        </is>
      </c>
      <c r="J680" s="7" t="inlineStr">
        <is>
          <t>Não</t>
        </is>
      </c>
      <c r="K680" s="7" t="inlineStr">
        <is>
          <t>Não</t>
        </is>
      </c>
      <c r="L680" s="7" t="inlineStr">
        <is>
          <t>Não</t>
        </is>
      </c>
      <c r="M680" s="7" t="inlineStr">
        <is>
          <t>Sim</t>
        </is>
      </c>
      <c r="N680" s="7" t="inlineStr">
        <is>
          <t>Não</t>
        </is>
      </c>
      <c r="O680" s="7" t="inlineStr">
        <is>
          <t>Verificar</t>
        </is>
      </c>
      <c r="P680" s="16" t="inlineStr">
        <is>
          <t>3-6 anos reclusão. Pena do caput aplicada em dobro quando armada ou com participação de criança/adolescente</t>
        </is>
      </c>
    </row>
    <row r="681">
      <c r="A681" s="7" t="inlineStr">
        <is>
          <t>CP</t>
        </is>
      </c>
      <c r="B681" s="7" t="inlineStr">
        <is>
          <t>Art. 334, §1º, I</t>
        </is>
      </c>
      <c r="C681" s="16" t="inlineStr">
        <is>
          <t>Descaminho — venda em comércio de mercadoria introduzida clandestinamente no país ou importada com isenção indevida</t>
        </is>
      </c>
      <c r="D681" s="7" t="n">
        <v>12</v>
      </c>
      <c r="E681" s="7" t="n">
        <v>48</v>
      </c>
      <c r="F681" s="7" t="inlineStr">
        <is>
          <t>Reclusão</t>
        </is>
      </c>
      <c r="G681" s="7" t="inlineStr">
        <is>
          <t>Pública Incondicionada</t>
        </is>
      </c>
      <c r="H681" s="7" t="inlineStr">
        <is>
          <t>Não</t>
        </is>
      </c>
      <c r="I681" s="7" t="inlineStr">
        <is>
          <t>Doloso</t>
        </is>
      </c>
      <c r="J681" s="7" t="inlineStr">
        <is>
          <t>Sim</t>
        </is>
      </c>
      <c r="K681" s="7" t="inlineStr">
        <is>
          <t>Não</t>
        </is>
      </c>
      <c r="L681" s="7" t="inlineStr">
        <is>
          <t>Não</t>
        </is>
      </c>
      <c r="M681" s="7" t="inlineStr">
        <is>
          <t>Sim</t>
        </is>
      </c>
      <c r="N681" s="7" t="inlineStr">
        <is>
          <t>Sim</t>
        </is>
      </c>
      <c r="O681" s="7" t="inlineStr">
        <is>
          <t>Sim</t>
        </is>
      </c>
      <c r="P681" s="16" t="inlineStr">
        <is>
          <t>1-4 anos reclusão</t>
        </is>
      </c>
    </row>
    <row r="682">
      <c r="A682" s="7" t="inlineStr">
        <is>
          <t>CP</t>
        </is>
      </c>
      <c r="B682" s="7" t="inlineStr">
        <is>
          <t>Art. 334, §1º, II</t>
        </is>
      </c>
      <c r="C682" s="16" t="inlineStr">
        <is>
          <t>Descaminho — manter em depósito mercadoria de procedência estrangeira sem documentação legal</t>
        </is>
      </c>
      <c r="D682" s="7" t="n">
        <v>12</v>
      </c>
      <c r="E682" s="7" t="n">
        <v>48</v>
      </c>
      <c r="F682" s="7" t="inlineStr">
        <is>
          <t>Reclusão</t>
        </is>
      </c>
      <c r="G682" s="7" t="inlineStr">
        <is>
          <t>Pública Incondicionada</t>
        </is>
      </c>
      <c r="H682" s="7" t="inlineStr">
        <is>
          <t>Não</t>
        </is>
      </c>
      <c r="I682" s="7" t="inlineStr">
        <is>
          <t>Doloso</t>
        </is>
      </c>
      <c r="J682" s="7" t="inlineStr">
        <is>
          <t>Sim</t>
        </is>
      </c>
      <c r="K682" s="7" t="inlineStr">
        <is>
          <t>Não</t>
        </is>
      </c>
      <c r="L682" s="7" t="inlineStr">
        <is>
          <t>Não</t>
        </is>
      </c>
      <c r="M682" s="7" t="inlineStr">
        <is>
          <t>Sim</t>
        </is>
      </c>
      <c r="N682" s="7" t="inlineStr">
        <is>
          <t>Sim</t>
        </is>
      </c>
      <c r="O682" s="7" t="inlineStr">
        <is>
          <t>Sim</t>
        </is>
      </c>
      <c r="P682" s="16" t="inlineStr">
        <is>
          <t>1-4 anos reclusão</t>
        </is>
      </c>
    </row>
    <row r="683">
      <c r="A683" s="7" t="inlineStr">
        <is>
          <t>CP</t>
        </is>
      </c>
      <c r="B683" s="7" t="inlineStr">
        <is>
          <t>Art. 334, §1º, III</t>
        </is>
      </c>
      <c r="C683" s="16" t="inlineStr">
        <is>
          <t>Descaminho — adquirir/transportar/revender mercadoria estrangeira ilegal</t>
        </is>
      </c>
      <c r="D683" s="7" t="n">
        <v>12</v>
      </c>
      <c r="E683" s="7" t="n">
        <v>48</v>
      </c>
      <c r="F683" s="7" t="inlineStr">
        <is>
          <t>Reclusão</t>
        </is>
      </c>
      <c r="G683" s="7" t="inlineStr">
        <is>
          <t>Pública Incondicionada</t>
        </is>
      </c>
      <c r="H683" s="7" t="inlineStr">
        <is>
          <t>Não</t>
        </is>
      </c>
      <c r="I683" s="7" t="inlineStr">
        <is>
          <t>Doloso</t>
        </is>
      </c>
      <c r="J683" s="7" t="inlineStr">
        <is>
          <t>Sim</t>
        </is>
      </c>
      <c r="K683" s="7" t="inlineStr">
        <is>
          <t>Não</t>
        </is>
      </c>
      <c r="L683" s="7" t="inlineStr">
        <is>
          <t>Não</t>
        </is>
      </c>
      <c r="M683" s="7" t="inlineStr">
        <is>
          <t>Sim</t>
        </is>
      </c>
      <c r="N683" s="7" t="inlineStr">
        <is>
          <t>Sim</t>
        </is>
      </c>
      <c r="O683" s="7" t="inlineStr">
        <is>
          <t>Sim</t>
        </is>
      </c>
      <c r="P683" s="16" t="inlineStr">
        <is>
          <t>1-4 anos reclusão</t>
        </is>
      </c>
    </row>
    <row r="684">
      <c r="A684" s="7" t="inlineStr">
        <is>
          <t>CP</t>
        </is>
      </c>
      <c r="B684" s="7" t="inlineStr">
        <is>
          <t>Art. 334-A, §1º, I</t>
        </is>
      </c>
      <c r="C684" s="16" t="inlineStr">
        <is>
          <t>Contrabando — vender/expor à venda/manter em depósito/transportar produto de importação ou exportação proibida</t>
        </is>
      </c>
      <c r="D684" s="7" t="n">
        <v>24</v>
      </c>
      <c r="E684" s="7" t="n">
        <v>60</v>
      </c>
      <c r="F684" s="7" t="inlineStr">
        <is>
          <t>Reclusão</t>
        </is>
      </c>
      <c r="G684" s="7" t="inlineStr">
        <is>
          <t>Pública Incondicionada</t>
        </is>
      </c>
      <c r="H684" s="7" t="inlineStr">
        <is>
          <t>Não</t>
        </is>
      </c>
      <c r="I684" s="7" t="inlineStr">
        <is>
          <t>Doloso</t>
        </is>
      </c>
      <c r="J684" s="7" t="inlineStr">
        <is>
          <t>Sim</t>
        </is>
      </c>
      <c r="K684" s="7" t="inlineStr">
        <is>
          <t>Não</t>
        </is>
      </c>
      <c r="L684" s="7" t="inlineStr">
        <is>
          <t>Não</t>
        </is>
      </c>
      <c r="M684" s="7" t="inlineStr">
        <is>
          <t>Sim</t>
        </is>
      </c>
      <c r="N684" s="7" t="inlineStr">
        <is>
          <t>Não</t>
        </is>
      </c>
      <c r="O684" s="7" t="inlineStr">
        <is>
          <t>Sim</t>
        </is>
      </c>
      <c r="P684" s="16" t="inlineStr">
        <is>
          <t>2-5 anos reclusão</t>
        </is>
      </c>
    </row>
    <row r="685">
      <c r="A685" s="7" t="inlineStr">
        <is>
          <t>CP</t>
        </is>
      </c>
      <c r="B685" s="7" t="inlineStr">
        <is>
          <t>Art. 334-A, §1º, II</t>
        </is>
      </c>
      <c r="C685" s="16" t="inlineStr">
        <is>
          <t>Contrabando — adquirir/receber/ocultar produto de importação proibida em proveito próprio ou alheio</t>
        </is>
      </c>
      <c r="D685" s="7" t="n">
        <v>24</v>
      </c>
      <c r="E685" s="7" t="n">
        <v>60</v>
      </c>
      <c r="F685" s="7" t="inlineStr">
        <is>
          <t>Reclusão</t>
        </is>
      </c>
      <c r="G685" s="7" t="inlineStr">
        <is>
          <t>Pública Incondicionada</t>
        </is>
      </c>
      <c r="H685" s="7" t="inlineStr">
        <is>
          <t>Não</t>
        </is>
      </c>
      <c r="I685" s="7" t="inlineStr">
        <is>
          <t>Doloso</t>
        </is>
      </c>
      <c r="J685" s="7" t="inlineStr">
        <is>
          <t>Sim</t>
        </is>
      </c>
      <c r="K685" s="7" t="inlineStr">
        <is>
          <t>Não</t>
        </is>
      </c>
      <c r="L685" s="7" t="inlineStr">
        <is>
          <t>Não</t>
        </is>
      </c>
      <c r="M685" s="7" t="inlineStr">
        <is>
          <t>Sim</t>
        </is>
      </c>
      <c r="N685" s="7" t="inlineStr">
        <is>
          <t>Não</t>
        </is>
      </c>
      <c r="O685" s="7" t="inlineStr">
        <is>
          <t>Sim</t>
        </is>
      </c>
      <c r="P685" s="16" t="inlineStr">
        <is>
          <t>2-5 anos reclusão</t>
        </is>
      </c>
    </row>
    <row r="686">
      <c r="A686" s="7" t="inlineStr">
        <is>
          <t>CP</t>
        </is>
      </c>
      <c r="B686" s="7" t="inlineStr">
        <is>
          <t>Art. 289, §2º</t>
        </is>
      </c>
      <c r="C686" s="16" t="inlineStr">
        <is>
          <t>Moeda falsa — quem de boa-fé recebeu moeda falsa e a restitui à circulação</t>
        </is>
      </c>
      <c r="D686" s="7" t="n">
        <v>6</v>
      </c>
      <c r="E686" s="7" t="n">
        <v>24</v>
      </c>
      <c r="F686" s="7" t="inlineStr">
        <is>
          <t>Detenção</t>
        </is>
      </c>
      <c r="G686" s="7" t="inlineStr">
        <is>
          <t>Pública Incondicionada</t>
        </is>
      </c>
      <c r="H686" s="7" t="inlineStr">
        <is>
          <t>Não</t>
        </is>
      </c>
      <c r="I686" s="7" t="inlineStr">
        <is>
          <t>Doloso</t>
        </is>
      </c>
      <c r="J686" s="7" t="inlineStr">
        <is>
          <t>Sim</t>
        </is>
      </c>
      <c r="K686" s="7" t="inlineStr">
        <is>
          <t>Não</t>
        </is>
      </c>
      <c r="L686" s="7" t="inlineStr">
        <is>
          <t>Não</t>
        </is>
      </c>
      <c r="M686" s="7" t="inlineStr">
        <is>
          <t>Sim</t>
        </is>
      </c>
      <c r="N686" s="7" t="inlineStr">
        <is>
          <t>Sim</t>
        </is>
      </c>
      <c r="O686" s="7" t="inlineStr">
        <is>
          <t>Sim</t>
        </is>
      </c>
      <c r="P686" s="16" t="inlineStr">
        <is>
          <t>6 meses a 2 anos detenção + multa. Forma privilegiada (boa-fé na aquisição)</t>
        </is>
      </c>
    </row>
    <row r="687">
      <c r="A687" s="7" t="inlineStr">
        <is>
          <t>CP</t>
        </is>
      </c>
      <c r="B687" s="7" t="inlineStr">
        <is>
          <t>Art. 289, §3º</t>
        </is>
      </c>
      <c r="C687" s="16" t="inlineStr">
        <is>
          <t>Fabricar/emitir/autorizar emissão de moeda com título ou peso inferior ao determinado em lei</t>
        </is>
      </c>
      <c r="D687" s="7" t="n">
        <v>36</v>
      </c>
      <c r="E687" s="7" t="n">
        <v>180</v>
      </c>
      <c r="F687" s="7" t="inlineStr">
        <is>
          <t>Reclusão</t>
        </is>
      </c>
      <c r="G687" s="7" t="inlineStr">
        <is>
          <t>Pública Incondicionada</t>
        </is>
      </c>
      <c r="H687" s="7" t="inlineStr">
        <is>
          <t>Não</t>
        </is>
      </c>
      <c r="I687" s="7" t="inlineStr">
        <is>
          <t>Doloso</t>
        </is>
      </c>
      <c r="J687" s="7" t="inlineStr">
        <is>
          <t>Sim</t>
        </is>
      </c>
      <c r="K687" s="7" t="inlineStr">
        <is>
          <t>Não</t>
        </is>
      </c>
      <c r="L687" s="7" t="inlineStr">
        <is>
          <t>Não</t>
        </is>
      </c>
      <c r="M687" s="7" t="inlineStr">
        <is>
          <t>Sim</t>
        </is>
      </c>
      <c r="N687" s="7" t="inlineStr">
        <is>
          <t>Não</t>
        </is>
      </c>
      <c r="O687" s="7" t="inlineStr">
        <is>
          <t>Verificar</t>
        </is>
      </c>
      <c r="P687" s="16" t="inlineStr">
        <is>
          <t>3-15 anos reclusão + multa. Funcionário público que fabrica moeda com peso/título incorreto</t>
        </is>
      </c>
    </row>
    <row r="688">
      <c r="A688" s="7" t="inlineStr">
        <is>
          <t>CP</t>
        </is>
      </c>
      <c r="B688" s="7" t="inlineStr">
        <is>
          <t>Art. 289, §4º</t>
        </is>
      </c>
      <c r="C688" s="16" t="inlineStr">
        <is>
          <t>Desviar/suprir moeda por ordem do governo</t>
        </is>
      </c>
      <c r="D688" s="7" t="n">
        <v>36</v>
      </c>
      <c r="E688" s="7" t="n">
        <v>180</v>
      </c>
      <c r="F688" s="7" t="inlineStr">
        <is>
          <t>Reclusão</t>
        </is>
      </c>
      <c r="G688" s="7" t="inlineStr">
        <is>
          <t>Pública Incondicionada</t>
        </is>
      </c>
      <c r="H688" s="7" t="inlineStr">
        <is>
          <t>Não</t>
        </is>
      </c>
      <c r="I688" s="7" t="inlineStr">
        <is>
          <t>Doloso</t>
        </is>
      </c>
      <c r="J688" s="7" t="inlineStr">
        <is>
          <t>Sim</t>
        </is>
      </c>
      <c r="K688" s="7" t="inlineStr">
        <is>
          <t>Não</t>
        </is>
      </c>
      <c r="L688" s="7" t="inlineStr">
        <is>
          <t>Não</t>
        </is>
      </c>
      <c r="M688" s="7" t="inlineStr">
        <is>
          <t>Sim</t>
        </is>
      </c>
      <c r="N688" s="7" t="inlineStr">
        <is>
          <t>Não</t>
        </is>
      </c>
      <c r="O688" s="7" t="inlineStr">
        <is>
          <t>Verificar</t>
        </is>
      </c>
      <c r="P688" s="16" t="inlineStr">
        <is>
          <t>3-15 anos reclusão + multa. Desvio de moeda autorizada</t>
        </is>
      </c>
    </row>
    <row r="689">
      <c r="A689" s="7" t="inlineStr">
        <is>
          <t>CP</t>
        </is>
      </c>
      <c r="B689" s="7" t="inlineStr">
        <is>
          <t>Art. 215, §1º</t>
        </is>
      </c>
      <c r="C689" s="16" t="inlineStr">
        <is>
          <t>Violação sexual mediante fraude com aumento (se crime cometido para obter vantagem econômica)</t>
        </is>
      </c>
      <c r="D689" s="7" t="n">
        <v>24</v>
      </c>
      <c r="E689" s="7" t="n">
        <v>72</v>
      </c>
      <c r="F689" s="7" t="inlineStr">
        <is>
          <t>Reclusão</t>
        </is>
      </c>
      <c r="G689" s="7" t="inlineStr">
        <is>
          <t>Pública Incondicionada</t>
        </is>
      </c>
      <c r="H689" s="7" t="inlineStr">
        <is>
          <t>Não</t>
        </is>
      </c>
      <c r="I689" s="7" t="inlineStr">
        <is>
          <t>Doloso</t>
        </is>
      </c>
      <c r="J689" s="7" t="inlineStr">
        <is>
          <t>Sim</t>
        </is>
      </c>
      <c r="K689" s="7" t="inlineStr">
        <is>
          <t>Não</t>
        </is>
      </c>
      <c r="L689" s="7" t="inlineStr">
        <is>
          <t>Não</t>
        </is>
      </c>
      <c r="M689" s="7" t="inlineStr">
        <is>
          <t>Sim</t>
        </is>
      </c>
      <c r="N689" s="7" t="inlineStr">
        <is>
          <t>Não</t>
        </is>
      </c>
      <c r="O689" s="7" t="inlineStr">
        <is>
          <t>Sim</t>
        </is>
      </c>
      <c r="P689" s="16" t="inlineStr">
        <is>
          <t>2-6 anos reclusão. Aumento se para obter vantagem econômica. Aplica-se multa</t>
        </is>
      </c>
    </row>
    <row r="690">
      <c r="A690" s="7" t="inlineStr">
        <is>
          <t>CP</t>
        </is>
      </c>
      <c r="B690" s="7" t="inlineStr">
        <is>
          <t>Art. 218, §2º</t>
        </is>
      </c>
      <c r="C690" s="16" t="inlineStr">
        <is>
          <t>Corrupção de menores — induzir com ele a praticar ato libidinoso</t>
        </is>
      </c>
      <c r="D690" s="7" t="n">
        <v>24</v>
      </c>
      <c r="E690" s="7" t="n">
        <v>60</v>
      </c>
      <c r="F690" s="7" t="inlineStr">
        <is>
          <t>Reclusão</t>
        </is>
      </c>
      <c r="G690" s="7" t="inlineStr">
        <is>
          <t>Pública Incondicionada</t>
        </is>
      </c>
      <c r="H690" s="7" t="inlineStr">
        <is>
          <t>Não</t>
        </is>
      </c>
      <c r="I690" s="7" t="inlineStr">
        <is>
          <t>Doloso</t>
        </is>
      </c>
      <c r="J690" s="7" t="inlineStr">
        <is>
          <t>Sim</t>
        </is>
      </c>
      <c r="K690" s="7" t="inlineStr">
        <is>
          <t>Não</t>
        </is>
      </c>
      <c r="L690" s="7" t="inlineStr">
        <is>
          <t>Não</t>
        </is>
      </c>
      <c r="M690" s="7" t="inlineStr">
        <is>
          <t>Sim</t>
        </is>
      </c>
      <c r="N690" s="7" t="inlineStr">
        <is>
          <t>Não</t>
        </is>
      </c>
      <c r="O690" s="7" t="inlineStr">
        <is>
          <t>Sim</t>
        </is>
      </c>
      <c r="P690" s="16" t="inlineStr">
        <is>
          <t>2-5 anos reclusão</t>
        </is>
      </c>
    </row>
    <row r="691">
      <c r="A691" s="26" t="inlineStr">
        <is>
          <t>CP</t>
        </is>
      </c>
      <c r="B691" s="26" t="inlineStr">
        <is>
          <t>Art. 148, §1º, I</t>
        </is>
      </c>
      <c r="C691" s="27" t="inlineStr">
        <is>
          <t>Sequestro/cárcere privado qualificado — se a vítima é ascendente/descendente/cônjuge/companheiro ou maior de 60 anos</t>
        </is>
      </c>
      <c r="D691" s="26" t="n">
        <v>24</v>
      </c>
      <c r="E691" s="26" t="n">
        <v>60</v>
      </c>
      <c r="F691" s="26" t="inlineStr">
        <is>
          <t>Reclusão</t>
        </is>
      </c>
      <c r="G691" s="26" t="inlineStr">
        <is>
          <t>Pública Incondicionada</t>
        </is>
      </c>
      <c r="H691" s="26" t="inlineStr">
        <is>
          <t>Não</t>
        </is>
      </c>
      <c r="I691" s="26" t="inlineStr">
        <is>
          <t>Doloso</t>
        </is>
      </c>
      <c r="J691" s="26" t="inlineStr">
        <is>
          <t>Sim</t>
        </is>
      </c>
      <c r="K691" s="26" t="inlineStr">
        <is>
          <t>Sim</t>
        </is>
      </c>
      <c r="L691" s="26" t="inlineStr">
        <is>
          <t>Não</t>
        </is>
      </c>
      <c r="M691" s="26" t="inlineStr">
        <is>
          <t>Não</t>
        </is>
      </c>
      <c r="N691" s="26" t="inlineStr">
        <is>
          <t>Não</t>
        </is>
      </c>
      <c r="O691" s="26" t="inlineStr">
        <is>
          <t>Sim</t>
        </is>
      </c>
      <c r="P691" s="27" t="inlineStr">
        <is>
          <t>2-5 anos reclusão</t>
        </is>
      </c>
    </row>
    <row r="692">
      <c r="A692" s="26" t="inlineStr">
        <is>
          <t>CP</t>
        </is>
      </c>
      <c r="B692" s="26" t="inlineStr">
        <is>
          <t>Art. 148, §1º, II</t>
        </is>
      </c>
      <c r="C692" s="27" t="inlineStr">
        <is>
          <t>Sequestro/cárcere privado qualificado — se resulta à vítima dano à saúde por privações ou maus-tratos</t>
        </is>
      </c>
      <c r="D692" s="26" t="n">
        <v>24</v>
      </c>
      <c r="E692" s="26" t="n">
        <v>96</v>
      </c>
      <c r="F692" s="26" t="inlineStr">
        <is>
          <t>Reclusão</t>
        </is>
      </c>
      <c r="G692" s="26" t="inlineStr">
        <is>
          <t>Pública Incondicionada</t>
        </is>
      </c>
      <c r="H692" s="26" t="inlineStr">
        <is>
          <t>Não</t>
        </is>
      </c>
      <c r="I692" s="26" t="inlineStr">
        <is>
          <t>Doloso</t>
        </is>
      </c>
      <c r="J692" s="26" t="inlineStr">
        <is>
          <t>Sim</t>
        </is>
      </c>
      <c r="K692" s="26" t="inlineStr">
        <is>
          <t>Sim</t>
        </is>
      </c>
      <c r="L692" s="26" t="inlineStr">
        <is>
          <t>Não</t>
        </is>
      </c>
      <c r="M692" s="26" t="inlineStr">
        <is>
          <t>Não</t>
        </is>
      </c>
      <c r="N692" s="26" t="inlineStr">
        <is>
          <t>Não</t>
        </is>
      </c>
      <c r="O692" s="26" t="inlineStr">
        <is>
          <t>Sim</t>
        </is>
      </c>
      <c r="P692" s="27" t="inlineStr">
        <is>
          <t>2-8 anos reclusão</t>
        </is>
      </c>
    </row>
    <row r="693">
      <c r="A693" s="26" t="inlineStr">
        <is>
          <t>CP</t>
        </is>
      </c>
      <c r="B693" s="26" t="inlineStr">
        <is>
          <t>Art. 148, §1º, III</t>
        </is>
      </c>
      <c r="C693" s="27" t="inlineStr">
        <is>
          <t>Sequestro/cárcere privado qualificado — se a vítima é menor de 18 anos</t>
        </is>
      </c>
      <c r="D693" s="26" t="n">
        <v>24</v>
      </c>
      <c r="E693" s="26" t="n">
        <v>60</v>
      </c>
      <c r="F693" s="26" t="inlineStr">
        <is>
          <t>Reclusão</t>
        </is>
      </c>
      <c r="G693" s="26" t="inlineStr">
        <is>
          <t>Pública Incondicionada</t>
        </is>
      </c>
      <c r="H693" s="26" t="inlineStr">
        <is>
          <t>Não</t>
        </is>
      </c>
      <c r="I693" s="26" t="inlineStr">
        <is>
          <t>Doloso</t>
        </is>
      </c>
      <c r="J693" s="26" t="inlineStr">
        <is>
          <t>Sim</t>
        </is>
      </c>
      <c r="K693" s="26" t="inlineStr">
        <is>
          <t>Sim</t>
        </is>
      </c>
      <c r="L693" s="26" t="inlineStr">
        <is>
          <t>Não</t>
        </is>
      </c>
      <c r="M693" s="26" t="inlineStr">
        <is>
          <t>Não</t>
        </is>
      </c>
      <c r="N693" s="26" t="inlineStr">
        <is>
          <t>Não</t>
        </is>
      </c>
      <c r="O693" s="26" t="inlineStr">
        <is>
          <t>Sim</t>
        </is>
      </c>
      <c r="P693" s="27" t="inlineStr">
        <is>
          <t>2-5 anos reclusão</t>
        </is>
      </c>
    </row>
    <row r="694">
      <c r="A694" s="26" t="inlineStr">
        <is>
          <t>CP</t>
        </is>
      </c>
      <c r="B694" s="26" t="inlineStr">
        <is>
          <t>Art. 148, §1º, IV</t>
        </is>
      </c>
      <c r="C694" s="27" t="inlineStr">
        <is>
          <t>Sequestro/cárcere privado qualificado — se o crime é praticado com fins libidinosos</t>
        </is>
      </c>
      <c r="D694" s="26" t="n">
        <v>24</v>
      </c>
      <c r="E694" s="26" t="n">
        <v>60</v>
      </c>
      <c r="F694" s="26" t="inlineStr">
        <is>
          <t>Reclusão</t>
        </is>
      </c>
      <c r="G694" s="26" t="inlineStr">
        <is>
          <t>Pública Incondicionada</t>
        </is>
      </c>
      <c r="H694" s="26" t="inlineStr">
        <is>
          <t>Não</t>
        </is>
      </c>
      <c r="I694" s="26" t="inlineStr">
        <is>
          <t>Doloso</t>
        </is>
      </c>
      <c r="J694" s="26" t="inlineStr">
        <is>
          <t>Sim</t>
        </is>
      </c>
      <c r="K694" s="26" t="inlineStr">
        <is>
          <t>Sim</t>
        </is>
      </c>
      <c r="L694" s="26" t="inlineStr">
        <is>
          <t>Não</t>
        </is>
      </c>
      <c r="M694" s="26" t="inlineStr">
        <is>
          <t>Não</t>
        </is>
      </c>
      <c r="N694" s="26" t="inlineStr">
        <is>
          <t>Não</t>
        </is>
      </c>
      <c r="O694" s="26" t="inlineStr">
        <is>
          <t>Sim</t>
        </is>
      </c>
      <c r="P694" s="27" t="inlineStr">
        <is>
          <t>2-5 anos reclusão</t>
        </is>
      </c>
    </row>
    <row r="695">
      <c r="A695" s="26" t="inlineStr">
        <is>
          <t>CP</t>
        </is>
      </c>
      <c r="B695" s="26" t="inlineStr">
        <is>
          <t>Art. 148, §1º, V</t>
        </is>
      </c>
      <c r="C695" s="27" t="inlineStr">
        <is>
          <t>Sequestro/cárcere privado qualificado — se o crime é praticado com fins de lucro (exceto extorsão mediante sequestro)</t>
        </is>
      </c>
      <c r="D695" s="26" t="n">
        <v>24</v>
      </c>
      <c r="E695" s="26" t="n">
        <v>60</v>
      </c>
      <c r="F695" s="26" t="inlineStr">
        <is>
          <t>Reclusão</t>
        </is>
      </c>
      <c r="G695" s="26" t="inlineStr">
        <is>
          <t>Pública Incondicionada</t>
        </is>
      </c>
      <c r="H695" s="26" t="inlineStr">
        <is>
          <t>Não</t>
        </is>
      </c>
      <c r="I695" s="26" t="inlineStr">
        <is>
          <t>Doloso</t>
        </is>
      </c>
      <c r="J695" s="26" t="inlineStr">
        <is>
          <t>Sim</t>
        </is>
      </c>
      <c r="K695" s="26" t="inlineStr">
        <is>
          <t>Sim</t>
        </is>
      </c>
      <c r="L695" s="26" t="inlineStr">
        <is>
          <t>Não</t>
        </is>
      </c>
      <c r="M695" s="26" t="inlineStr">
        <is>
          <t>Não</t>
        </is>
      </c>
      <c r="N695" s="26" t="inlineStr">
        <is>
          <t>Não</t>
        </is>
      </c>
      <c r="O695" s="26" t="inlineStr">
        <is>
          <t>Sim</t>
        </is>
      </c>
      <c r="P695" s="27" t="inlineStr">
        <is>
          <t>2-5 anos reclusão. Se se trata de extorsão mediante sequestro: Art. 159</t>
        </is>
      </c>
    </row>
    <row r="696">
      <c r="A696" s="26" t="inlineStr">
        <is>
          <t>CP</t>
        </is>
      </c>
      <c r="B696" s="26" t="inlineStr">
        <is>
          <t>Art. 148, §2º</t>
        </is>
      </c>
      <c r="C696" s="27" t="inlineStr">
        <is>
          <t>Sequestro/cárcere privado qualificado — se resulta lesão grave à vítima</t>
        </is>
      </c>
      <c r="D696" s="26" t="n">
        <v>24</v>
      </c>
      <c r="E696" s="26" t="n">
        <v>96</v>
      </c>
      <c r="F696" s="26" t="inlineStr">
        <is>
          <t>Reclusão</t>
        </is>
      </c>
      <c r="G696" s="26" t="inlineStr">
        <is>
          <t>Pública Incondicionada</t>
        </is>
      </c>
      <c r="H696" s="26" t="inlineStr">
        <is>
          <t>Não</t>
        </is>
      </c>
      <c r="I696" s="26" t="inlineStr">
        <is>
          <t>Doloso</t>
        </is>
      </c>
      <c r="J696" s="26" t="inlineStr">
        <is>
          <t>Sim</t>
        </is>
      </c>
      <c r="K696" s="26" t="inlineStr">
        <is>
          <t>Sim</t>
        </is>
      </c>
      <c r="L696" s="26" t="inlineStr">
        <is>
          <t>Não</t>
        </is>
      </c>
      <c r="M696" s="26" t="inlineStr">
        <is>
          <t>Não</t>
        </is>
      </c>
      <c r="N696" s="26" t="inlineStr">
        <is>
          <t>Não</t>
        </is>
      </c>
      <c r="O696" s="26" t="inlineStr">
        <is>
          <t>Sim</t>
        </is>
      </c>
      <c r="P696" s="27" t="inlineStr">
        <is>
          <t>2-8 anos reclusão</t>
        </is>
      </c>
    </row>
    <row r="697">
      <c r="A697" s="26" t="inlineStr">
        <is>
          <t>CP</t>
        </is>
      </c>
      <c r="B697" s="26" t="inlineStr">
        <is>
          <t>Art. 129, §1º, I</t>
        </is>
      </c>
      <c r="C697" s="27" t="inlineStr">
        <is>
          <t>Lesão corporal grave — incapacidade para ocupações habituais por mais de 30 dias</t>
        </is>
      </c>
      <c r="D697" s="26" t="n">
        <v>12</v>
      </c>
      <c r="E697" s="26" t="n">
        <v>60</v>
      </c>
      <c r="F697" s="26" t="inlineStr">
        <is>
          <t>Reclusão</t>
        </is>
      </c>
      <c r="G697" s="26" t="inlineStr">
        <is>
          <t>Pública Incondicionada</t>
        </is>
      </c>
      <c r="H697" s="26" t="inlineStr">
        <is>
          <t>Não</t>
        </is>
      </c>
      <c r="I697" s="26" t="inlineStr">
        <is>
          <t>Doloso</t>
        </is>
      </c>
      <c r="J697" s="26" t="inlineStr">
        <is>
          <t>Sim</t>
        </is>
      </c>
      <c r="K697" s="26" t="inlineStr">
        <is>
          <t>Sim</t>
        </is>
      </c>
      <c r="L697" s="26" t="inlineStr">
        <is>
          <t>Não</t>
        </is>
      </c>
      <c r="M697" s="26" t="inlineStr">
        <is>
          <t>Não</t>
        </is>
      </c>
      <c r="N697" s="26" t="inlineStr">
        <is>
          <t>Sim</t>
        </is>
      </c>
      <c r="O697" s="26" t="inlineStr">
        <is>
          <t>Sim</t>
        </is>
      </c>
      <c r="P697" s="27" t="inlineStr">
        <is>
          <t>1-5 anos reclusão</t>
        </is>
      </c>
    </row>
    <row r="698">
      <c r="A698" s="26" t="inlineStr">
        <is>
          <t>CP</t>
        </is>
      </c>
      <c r="B698" s="26" t="inlineStr">
        <is>
          <t>Art. 129, §1º, II</t>
        </is>
      </c>
      <c r="C698" s="27" t="inlineStr">
        <is>
          <t>Lesão corporal grave — perigo de vida</t>
        </is>
      </c>
      <c r="D698" s="26" t="n">
        <v>12</v>
      </c>
      <c r="E698" s="26" t="n">
        <v>60</v>
      </c>
      <c r="F698" s="26" t="inlineStr">
        <is>
          <t>Reclusão</t>
        </is>
      </c>
      <c r="G698" s="26" t="inlineStr">
        <is>
          <t>Pública Incondicionada</t>
        </is>
      </c>
      <c r="H698" s="26" t="inlineStr">
        <is>
          <t>Não</t>
        </is>
      </c>
      <c r="I698" s="26" t="inlineStr">
        <is>
          <t>Doloso</t>
        </is>
      </c>
      <c r="J698" s="26" t="inlineStr">
        <is>
          <t>Sim</t>
        </is>
      </c>
      <c r="K698" s="26" t="inlineStr">
        <is>
          <t>Sim</t>
        </is>
      </c>
      <c r="L698" s="26" t="inlineStr">
        <is>
          <t>Não</t>
        </is>
      </c>
      <c r="M698" s="26" t="inlineStr">
        <is>
          <t>Não</t>
        </is>
      </c>
      <c r="N698" s="26" t="inlineStr">
        <is>
          <t>Sim</t>
        </is>
      </c>
      <c r="O698" s="26" t="inlineStr">
        <is>
          <t>Sim</t>
        </is>
      </c>
      <c r="P698" s="27" t="inlineStr">
        <is>
          <t>1-5 anos reclusão</t>
        </is>
      </c>
    </row>
    <row r="699">
      <c r="A699" s="26" t="inlineStr">
        <is>
          <t>CP</t>
        </is>
      </c>
      <c r="B699" s="26" t="inlineStr">
        <is>
          <t>Art. 129, §1º, III</t>
        </is>
      </c>
      <c r="C699" s="27" t="inlineStr">
        <is>
          <t>Lesão corporal grave — debilidade permanente de membro, sentido ou função</t>
        </is>
      </c>
      <c r="D699" s="26" t="n">
        <v>12</v>
      </c>
      <c r="E699" s="26" t="n">
        <v>60</v>
      </c>
      <c r="F699" s="26" t="inlineStr">
        <is>
          <t>Reclusão</t>
        </is>
      </c>
      <c r="G699" s="26" t="inlineStr">
        <is>
          <t>Pública Incondicionada</t>
        </is>
      </c>
      <c r="H699" s="26" t="inlineStr">
        <is>
          <t>Não</t>
        </is>
      </c>
      <c r="I699" s="26" t="inlineStr">
        <is>
          <t>Doloso</t>
        </is>
      </c>
      <c r="J699" s="26" t="inlineStr">
        <is>
          <t>Sim</t>
        </is>
      </c>
      <c r="K699" s="26" t="inlineStr">
        <is>
          <t>Sim</t>
        </is>
      </c>
      <c r="L699" s="26" t="inlineStr">
        <is>
          <t>Não</t>
        </is>
      </c>
      <c r="M699" s="26" t="inlineStr">
        <is>
          <t>Não</t>
        </is>
      </c>
      <c r="N699" s="26" t="inlineStr">
        <is>
          <t>Sim</t>
        </is>
      </c>
      <c r="O699" s="26" t="inlineStr">
        <is>
          <t>Sim</t>
        </is>
      </c>
      <c r="P699" s="27" t="inlineStr">
        <is>
          <t>1-5 anos reclusão</t>
        </is>
      </c>
    </row>
    <row r="700">
      <c r="A700" s="26" t="inlineStr">
        <is>
          <t>CP</t>
        </is>
      </c>
      <c r="B700" s="26" t="inlineStr">
        <is>
          <t>Art. 129, §1º, IV</t>
        </is>
      </c>
      <c r="C700" s="27" t="inlineStr">
        <is>
          <t>Lesão corporal grave — aceleração de parto</t>
        </is>
      </c>
      <c r="D700" s="26" t="n">
        <v>12</v>
      </c>
      <c r="E700" s="26" t="n">
        <v>60</v>
      </c>
      <c r="F700" s="26" t="inlineStr">
        <is>
          <t>Reclusão</t>
        </is>
      </c>
      <c r="G700" s="26" t="inlineStr">
        <is>
          <t>Pública Incondicionada</t>
        </is>
      </c>
      <c r="H700" s="26" t="inlineStr">
        <is>
          <t>Não</t>
        </is>
      </c>
      <c r="I700" s="26" t="inlineStr">
        <is>
          <t>Preterdoloso</t>
        </is>
      </c>
      <c r="J700" s="26" t="inlineStr">
        <is>
          <t>Não</t>
        </is>
      </c>
      <c r="K700" s="26" t="inlineStr">
        <is>
          <t>Sim</t>
        </is>
      </c>
      <c r="L700" s="26" t="inlineStr">
        <is>
          <t>Não</t>
        </is>
      </c>
      <c r="M700" s="26" t="inlineStr">
        <is>
          <t>Não</t>
        </is>
      </c>
      <c r="N700" s="26" t="inlineStr">
        <is>
          <t>Sim</t>
        </is>
      </c>
      <c r="O700" s="26" t="inlineStr">
        <is>
          <t>Sim</t>
        </is>
      </c>
      <c r="P700" s="27" t="inlineStr">
        <is>
          <t>1-5 anos reclusão. Resultado preterdoloso</t>
        </is>
      </c>
    </row>
    <row r="701">
      <c r="A701" s="26" t="inlineStr">
        <is>
          <t>CP</t>
        </is>
      </c>
      <c r="B701" s="26" t="inlineStr">
        <is>
          <t>Art. 129, §2º, I</t>
        </is>
      </c>
      <c r="C701" s="27" t="inlineStr">
        <is>
          <t>Lesão corporal gravíssima — incapacidade permanente para o trabalho</t>
        </is>
      </c>
      <c r="D701" s="26" t="n">
        <v>24</v>
      </c>
      <c r="E701" s="26" t="n">
        <v>96</v>
      </c>
      <c r="F701" s="26" t="inlineStr">
        <is>
          <t>Reclusão</t>
        </is>
      </c>
      <c r="G701" s="26" t="inlineStr">
        <is>
          <t>Pública Incondicionada</t>
        </is>
      </c>
      <c r="H701" s="26" t="inlineStr">
        <is>
          <t>Não</t>
        </is>
      </c>
      <c r="I701" s="26" t="inlineStr">
        <is>
          <t>Doloso</t>
        </is>
      </c>
      <c r="J701" s="26" t="inlineStr">
        <is>
          <t>Sim</t>
        </is>
      </c>
      <c r="K701" s="26" t="inlineStr">
        <is>
          <t>Sim</t>
        </is>
      </c>
      <c r="L701" s="26" t="inlineStr">
        <is>
          <t>Não</t>
        </is>
      </c>
      <c r="M701" s="26" t="inlineStr">
        <is>
          <t>Não</t>
        </is>
      </c>
      <c r="N701" s="26" t="inlineStr">
        <is>
          <t>Não</t>
        </is>
      </c>
      <c r="O701" s="26" t="inlineStr">
        <is>
          <t>Sim</t>
        </is>
      </c>
      <c r="P701" s="27" t="inlineStr">
        <is>
          <t>2-8 anos reclusão</t>
        </is>
      </c>
    </row>
    <row r="702">
      <c r="A702" s="26" t="inlineStr">
        <is>
          <t>CP</t>
        </is>
      </c>
      <c r="B702" s="26" t="inlineStr">
        <is>
          <t>Art. 129, §2º, II</t>
        </is>
      </c>
      <c r="C702" s="27" t="inlineStr">
        <is>
          <t>Lesão corporal gravíssima — enfermidade incurável</t>
        </is>
      </c>
      <c r="D702" s="26" t="n">
        <v>24</v>
      </c>
      <c r="E702" s="26" t="n">
        <v>96</v>
      </c>
      <c r="F702" s="26" t="inlineStr">
        <is>
          <t>Reclusão</t>
        </is>
      </c>
      <c r="G702" s="26" t="inlineStr">
        <is>
          <t>Pública Incondicionada</t>
        </is>
      </c>
      <c r="H702" s="26" t="inlineStr">
        <is>
          <t>Não</t>
        </is>
      </c>
      <c r="I702" s="26" t="inlineStr">
        <is>
          <t>Doloso</t>
        </is>
      </c>
      <c r="J702" s="26" t="inlineStr">
        <is>
          <t>Sim</t>
        </is>
      </c>
      <c r="K702" s="26" t="inlineStr">
        <is>
          <t>Sim</t>
        </is>
      </c>
      <c r="L702" s="26" t="inlineStr">
        <is>
          <t>Não</t>
        </is>
      </c>
      <c r="M702" s="26" t="inlineStr">
        <is>
          <t>Não</t>
        </is>
      </c>
      <c r="N702" s="26" t="inlineStr">
        <is>
          <t>Não</t>
        </is>
      </c>
      <c r="O702" s="26" t="inlineStr">
        <is>
          <t>Sim</t>
        </is>
      </c>
      <c r="P702" s="27" t="inlineStr">
        <is>
          <t>2-8 anos reclusão</t>
        </is>
      </c>
    </row>
    <row r="703">
      <c r="A703" s="26" t="inlineStr">
        <is>
          <t>CP</t>
        </is>
      </c>
      <c r="B703" s="26" t="inlineStr">
        <is>
          <t>Art. 129, §2º, III</t>
        </is>
      </c>
      <c r="C703" s="27" t="inlineStr">
        <is>
          <t>Lesão corporal gravíssima — perda ou inutilização de membro, sentido ou função</t>
        </is>
      </c>
      <c r="D703" s="26" t="n">
        <v>24</v>
      </c>
      <c r="E703" s="26" t="n">
        <v>96</v>
      </c>
      <c r="F703" s="26" t="inlineStr">
        <is>
          <t>Reclusão</t>
        </is>
      </c>
      <c r="G703" s="26" t="inlineStr">
        <is>
          <t>Pública Incondicionada</t>
        </is>
      </c>
      <c r="H703" s="26" t="inlineStr">
        <is>
          <t>Não</t>
        </is>
      </c>
      <c r="I703" s="26" t="inlineStr">
        <is>
          <t>Doloso</t>
        </is>
      </c>
      <c r="J703" s="26" t="inlineStr">
        <is>
          <t>Sim</t>
        </is>
      </c>
      <c r="K703" s="26" t="inlineStr">
        <is>
          <t>Sim</t>
        </is>
      </c>
      <c r="L703" s="26" t="inlineStr">
        <is>
          <t>Não</t>
        </is>
      </c>
      <c r="M703" s="26" t="inlineStr">
        <is>
          <t>Não</t>
        </is>
      </c>
      <c r="N703" s="26" t="inlineStr">
        <is>
          <t>Não</t>
        </is>
      </c>
      <c r="O703" s="26" t="inlineStr">
        <is>
          <t>Sim</t>
        </is>
      </c>
      <c r="P703" s="27" t="inlineStr">
        <is>
          <t>2-8 anos reclusão</t>
        </is>
      </c>
    </row>
    <row r="704">
      <c r="A704" s="26" t="inlineStr">
        <is>
          <t>CP</t>
        </is>
      </c>
      <c r="B704" s="26" t="inlineStr">
        <is>
          <t>Art. 129, §2º, IV</t>
        </is>
      </c>
      <c r="C704" s="27" t="inlineStr">
        <is>
          <t>Lesão corporal gravíssima — deformidade permanente</t>
        </is>
      </c>
      <c r="D704" s="26" t="n">
        <v>24</v>
      </c>
      <c r="E704" s="26" t="n">
        <v>96</v>
      </c>
      <c r="F704" s="26" t="inlineStr">
        <is>
          <t>Reclusão</t>
        </is>
      </c>
      <c r="G704" s="26" t="inlineStr">
        <is>
          <t>Pública Incondicionada</t>
        </is>
      </c>
      <c r="H704" s="26" t="inlineStr">
        <is>
          <t>Não</t>
        </is>
      </c>
      <c r="I704" s="26" t="inlineStr">
        <is>
          <t>Doloso</t>
        </is>
      </c>
      <c r="J704" s="26" t="inlineStr">
        <is>
          <t>Sim</t>
        </is>
      </c>
      <c r="K704" s="26" t="inlineStr">
        <is>
          <t>Sim</t>
        </is>
      </c>
      <c r="L704" s="26" t="inlineStr">
        <is>
          <t>Não</t>
        </is>
      </c>
      <c r="M704" s="26" t="inlineStr">
        <is>
          <t>Não</t>
        </is>
      </c>
      <c r="N704" s="26" t="inlineStr">
        <is>
          <t>Não</t>
        </is>
      </c>
      <c r="O704" s="26" t="inlineStr">
        <is>
          <t>Sim</t>
        </is>
      </c>
      <c r="P704" s="27" t="inlineStr">
        <is>
          <t>2-8 anos reclusão</t>
        </is>
      </c>
    </row>
    <row r="705">
      <c r="A705" s="26" t="inlineStr">
        <is>
          <t>CP</t>
        </is>
      </c>
      <c r="B705" s="26" t="inlineStr">
        <is>
          <t>Art. 129, §2º, V</t>
        </is>
      </c>
      <c r="C705" s="27" t="inlineStr">
        <is>
          <t>Lesão corporal gravíssima — aborto (resultado preterdoloso)</t>
        </is>
      </c>
      <c r="D705" s="26" t="n">
        <v>24</v>
      </c>
      <c r="E705" s="26" t="n">
        <v>96</v>
      </c>
      <c r="F705" s="26" t="inlineStr">
        <is>
          <t>Reclusão</t>
        </is>
      </c>
      <c r="G705" s="26" t="inlineStr">
        <is>
          <t>Pública Incondicionada</t>
        </is>
      </c>
      <c r="H705" s="26" t="inlineStr">
        <is>
          <t>Não</t>
        </is>
      </c>
      <c r="I705" s="26" t="inlineStr">
        <is>
          <t>Preterdoloso</t>
        </is>
      </c>
      <c r="J705" s="26" t="inlineStr">
        <is>
          <t>Não</t>
        </is>
      </c>
      <c r="K705" s="26" t="inlineStr">
        <is>
          <t>Sim</t>
        </is>
      </c>
      <c r="L705" s="26" t="inlineStr">
        <is>
          <t>Não</t>
        </is>
      </c>
      <c r="M705" s="26" t="inlineStr">
        <is>
          <t>Não</t>
        </is>
      </c>
      <c r="N705" s="26" t="inlineStr">
        <is>
          <t>Não</t>
        </is>
      </c>
      <c r="O705" s="26" t="inlineStr">
        <is>
          <t>Sim</t>
        </is>
      </c>
      <c r="P705" s="27" t="inlineStr">
        <is>
          <t>2-8 anos reclusão. Resultado preterdoloso: dolo na lesão, culpa no aborto</t>
        </is>
      </c>
    </row>
    <row r="706">
      <c r="A706" s="26" t="inlineStr">
        <is>
          <t>CP</t>
        </is>
      </c>
      <c r="B706" s="26" t="inlineStr">
        <is>
          <t>Art. 149-A, I</t>
        </is>
      </c>
      <c r="C706" s="27" t="inlineStr">
        <is>
          <t>Tráfico de pessoas — para remoção de órgãos, tecidos ou partes do corpo</t>
        </is>
      </c>
      <c r="D706" s="26" t="n">
        <v>48</v>
      </c>
      <c r="E706" s="26" t="n">
        <v>96</v>
      </c>
      <c r="F706" s="26" t="inlineStr">
        <is>
          <t>Reclusão</t>
        </is>
      </c>
      <c r="G706" s="26" t="inlineStr">
        <is>
          <t>Pública Incondicionada</t>
        </is>
      </c>
      <c r="H706" s="26" t="inlineStr">
        <is>
          <t>Não</t>
        </is>
      </c>
      <c r="I706" s="26" t="inlineStr">
        <is>
          <t>Doloso</t>
        </is>
      </c>
      <c r="J706" s="26" t="inlineStr">
        <is>
          <t>Sim</t>
        </is>
      </c>
      <c r="K706" s="26" t="inlineStr">
        <is>
          <t>Sim</t>
        </is>
      </c>
      <c r="L706" s="26" t="inlineStr">
        <is>
          <t>Sim</t>
        </is>
      </c>
      <c r="M706" s="26" t="inlineStr">
        <is>
          <t>Não</t>
        </is>
      </c>
      <c r="N706" s="26" t="inlineStr">
        <is>
          <t>Não</t>
        </is>
      </c>
      <c r="O706" s="26" t="inlineStr">
        <is>
          <t>Verificar</t>
        </is>
      </c>
      <c r="P706" s="27" t="inlineStr">
        <is>
          <t>4-8 anos reclusão + multa</t>
        </is>
      </c>
    </row>
    <row r="707">
      <c r="A707" s="26" t="inlineStr">
        <is>
          <t>CP</t>
        </is>
      </c>
      <c r="B707" s="26" t="inlineStr">
        <is>
          <t>Art. 149-A, II</t>
        </is>
      </c>
      <c r="C707" s="27" t="inlineStr">
        <is>
          <t>Tráfico de pessoas — para submissão a trabalho em condições análogas à de escravo</t>
        </is>
      </c>
      <c r="D707" s="26" t="n">
        <v>48</v>
      </c>
      <c r="E707" s="26" t="n">
        <v>96</v>
      </c>
      <c r="F707" s="26" t="inlineStr">
        <is>
          <t>Reclusão</t>
        </is>
      </c>
      <c r="G707" s="26" t="inlineStr">
        <is>
          <t>Pública Incondicionada</t>
        </is>
      </c>
      <c r="H707" s="26" t="inlineStr">
        <is>
          <t>Não</t>
        </is>
      </c>
      <c r="I707" s="26" t="inlineStr">
        <is>
          <t>Doloso</t>
        </is>
      </c>
      <c r="J707" s="26" t="inlineStr">
        <is>
          <t>Sim</t>
        </is>
      </c>
      <c r="K707" s="26" t="inlineStr">
        <is>
          <t>Sim</t>
        </is>
      </c>
      <c r="L707" s="26" t="inlineStr">
        <is>
          <t>Sim</t>
        </is>
      </c>
      <c r="M707" s="26" t="inlineStr">
        <is>
          <t>Não</t>
        </is>
      </c>
      <c r="N707" s="26" t="inlineStr">
        <is>
          <t>Não</t>
        </is>
      </c>
      <c r="O707" s="26" t="inlineStr">
        <is>
          <t>Verificar</t>
        </is>
      </c>
      <c r="P707" s="27" t="inlineStr">
        <is>
          <t>4-8 anos reclusão + multa</t>
        </is>
      </c>
    </row>
    <row r="708">
      <c r="A708" s="26" t="inlineStr">
        <is>
          <t>CP</t>
        </is>
      </c>
      <c r="B708" s="26" t="inlineStr">
        <is>
          <t>Art. 149-A, III</t>
        </is>
      </c>
      <c r="C708" s="27" t="inlineStr">
        <is>
          <t>Tráfico de pessoas — para submissão a qualquer tipo de servidão</t>
        </is>
      </c>
      <c r="D708" s="26" t="n">
        <v>48</v>
      </c>
      <c r="E708" s="26" t="n">
        <v>96</v>
      </c>
      <c r="F708" s="26" t="inlineStr">
        <is>
          <t>Reclusão</t>
        </is>
      </c>
      <c r="G708" s="26" t="inlineStr">
        <is>
          <t>Pública Incondicionada</t>
        </is>
      </c>
      <c r="H708" s="26" t="inlineStr">
        <is>
          <t>Não</t>
        </is>
      </c>
      <c r="I708" s="26" t="inlineStr">
        <is>
          <t>Doloso</t>
        </is>
      </c>
      <c r="J708" s="26" t="inlineStr">
        <is>
          <t>Sim</t>
        </is>
      </c>
      <c r="K708" s="26" t="inlineStr">
        <is>
          <t>Sim</t>
        </is>
      </c>
      <c r="L708" s="26" t="inlineStr">
        <is>
          <t>Sim</t>
        </is>
      </c>
      <c r="M708" s="26" t="inlineStr">
        <is>
          <t>Não</t>
        </is>
      </c>
      <c r="N708" s="26" t="inlineStr">
        <is>
          <t>Não</t>
        </is>
      </c>
      <c r="O708" s="26" t="inlineStr">
        <is>
          <t>Verificar</t>
        </is>
      </c>
      <c r="P708" s="27" t="inlineStr">
        <is>
          <t>4-8 anos reclusão + multa</t>
        </is>
      </c>
    </row>
    <row r="709">
      <c r="A709" s="7" t="inlineStr">
        <is>
          <t>CP</t>
        </is>
      </c>
      <c r="B709" s="7" t="inlineStr">
        <is>
          <t>Art. 149-A, IV</t>
        </is>
      </c>
      <c r="C709" s="16" t="inlineStr">
        <is>
          <t>Tráfico de pessoas — para adoção ilegal</t>
        </is>
      </c>
      <c r="D709" s="7" t="n">
        <v>48</v>
      </c>
      <c r="E709" s="7" t="n">
        <v>96</v>
      </c>
      <c r="F709" s="7" t="inlineStr">
        <is>
          <t>Reclusão</t>
        </is>
      </c>
      <c r="G709" s="7" t="inlineStr">
        <is>
          <t>Pública Incondicionada</t>
        </is>
      </c>
      <c r="H709" s="7" t="inlineStr">
        <is>
          <t>Não</t>
        </is>
      </c>
      <c r="I709" s="7" t="inlineStr">
        <is>
          <t>Doloso</t>
        </is>
      </c>
      <c r="J709" s="7" t="inlineStr">
        <is>
          <t>Sim</t>
        </is>
      </c>
      <c r="K709" s="7" t="inlineStr">
        <is>
          <t>Não</t>
        </is>
      </c>
      <c r="L709" s="7" t="inlineStr">
        <is>
          <t>Não</t>
        </is>
      </c>
      <c r="M709" s="7" t="inlineStr">
        <is>
          <t>Não</t>
        </is>
      </c>
      <c r="N709" s="7" t="inlineStr">
        <is>
          <t>Não</t>
        </is>
      </c>
      <c r="O709" s="7" t="inlineStr">
        <is>
          <t>Verificar</t>
        </is>
      </c>
      <c r="P709" s="16" t="inlineStr">
        <is>
          <t>4-8 anos reclusão + multa</t>
        </is>
      </c>
    </row>
    <row r="710">
      <c r="A710" s="7" t="inlineStr">
        <is>
          <t>CP</t>
        </is>
      </c>
      <c r="B710" s="7" t="inlineStr">
        <is>
          <t>Art. 149-A, V</t>
        </is>
      </c>
      <c r="C710" s="16" t="inlineStr">
        <is>
          <t>Tráfico de pessoas — para exploração sexual</t>
        </is>
      </c>
      <c r="D710" s="7" t="n">
        <v>48</v>
      </c>
      <c r="E710" s="7" t="n">
        <v>96</v>
      </c>
      <c r="F710" s="7" t="inlineStr">
        <is>
          <t>Reclusão</t>
        </is>
      </c>
      <c r="G710" s="7" t="inlineStr">
        <is>
          <t>Pública Incondicionada</t>
        </is>
      </c>
      <c r="H710" s="7" t="inlineStr">
        <is>
          <t>Não</t>
        </is>
      </c>
      <c r="I710" s="7" t="inlineStr">
        <is>
          <t>Doloso</t>
        </is>
      </c>
      <c r="J710" s="7" t="inlineStr">
        <is>
          <t>Sim</t>
        </is>
      </c>
      <c r="K710" s="7" t="inlineStr">
        <is>
          <t>Não</t>
        </is>
      </c>
      <c r="L710" s="7" t="inlineStr">
        <is>
          <t>Não</t>
        </is>
      </c>
      <c r="M710" s="7" t="inlineStr">
        <is>
          <t>Não</t>
        </is>
      </c>
      <c r="N710" s="7" t="inlineStr">
        <is>
          <t>Não</t>
        </is>
      </c>
      <c r="O710" s="7" t="inlineStr">
        <is>
          <t>Verificar</t>
        </is>
      </c>
      <c r="P710" s="16" t="inlineStr">
        <is>
          <t>4-8 anos reclusão + multa</t>
        </is>
      </c>
    </row>
    <row r="711">
      <c r="A711" s="7" t="inlineStr">
        <is>
          <t>CP</t>
        </is>
      </c>
      <c r="B711" s="7" t="inlineStr">
        <is>
          <t>Art. 151, §1º, I</t>
        </is>
      </c>
      <c r="C711" s="16" t="inlineStr">
        <is>
          <t>Sonegação ou destruição de correspondência (funcionário público)</t>
        </is>
      </c>
      <c r="D711" s="7" t="n">
        <v>6</v>
      </c>
      <c r="E711" s="7" t="n">
        <v>24</v>
      </c>
      <c r="F711" s="7" t="inlineStr">
        <is>
          <t>Detenção</t>
        </is>
      </c>
      <c r="G711" s="7" t="inlineStr">
        <is>
          <t>Pública Incondicionada</t>
        </is>
      </c>
      <c r="H711" s="7" t="inlineStr">
        <is>
          <t>Não</t>
        </is>
      </c>
      <c r="I711" s="7" t="inlineStr">
        <is>
          <t>Doloso</t>
        </is>
      </c>
      <c r="J711" s="7" t="inlineStr">
        <is>
          <t>Sim</t>
        </is>
      </c>
      <c r="K711" s="7" t="inlineStr">
        <is>
          <t>Não</t>
        </is>
      </c>
      <c r="L711" s="7" t="inlineStr">
        <is>
          <t>Não</t>
        </is>
      </c>
      <c r="M711" s="7" t="inlineStr">
        <is>
          <t>Sim</t>
        </is>
      </c>
      <c r="N711" s="7" t="inlineStr">
        <is>
          <t>Sim</t>
        </is>
      </c>
      <c r="O711" s="7" t="inlineStr">
        <is>
          <t>Sim</t>
        </is>
      </c>
      <c r="P711" s="16" t="inlineStr">
        <is>
          <t>6 meses a 2 anos detenção + multa. Crime funcional</t>
        </is>
      </c>
    </row>
    <row r="712">
      <c r="A712" s="7" t="inlineStr">
        <is>
          <t>CP</t>
        </is>
      </c>
      <c r="B712" s="7" t="inlineStr">
        <is>
          <t>Art. 151, §1º, II</t>
        </is>
      </c>
      <c r="C712" s="16" t="inlineStr">
        <is>
          <t>Violação de comunicação telegráfica, radioelétrica ou telefônica</t>
        </is>
      </c>
      <c r="D712" s="7" t="n">
        <v>12</v>
      </c>
      <c r="E712" s="7" t="n">
        <v>36</v>
      </c>
      <c r="F712" s="7" t="inlineStr">
        <is>
          <t>Detenção</t>
        </is>
      </c>
      <c r="G712" s="7" t="inlineStr">
        <is>
          <t>Pública Incondicionada</t>
        </is>
      </c>
      <c r="H712" s="7" t="inlineStr">
        <is>
          <t>Não</t>
        </is>
      </c>
      <c r="I712" s="7" t="inlineStr">
        <is>
          <t>Doloso</t>
        </is>
      </c>
      <c r="J712" s="7" t="inlineStr">
        <is>
          <t>Sim</t>
        </is>
      </c>
      <c r="K712" s="7" t="inlineStr">
        <is>
          <t>Não</t>
        </is>
      </c>
      <c r="L712" s="7" t="inlineStr">
        <is>
          <t>Não</t>
        </is>
      </c>
      <c r="M712" s="7" t="inlineStr">
        <is>
          <t>Sim</t>
        </is>
      </c>
      <c r="N712" s="7" t="inlineStr">
        <is>
          <t>Sim</t>
        </is>
      </c>
      <c r="O712" s="7" t="inlineStr">
        <is>
          <t>Sim</t>
        </is>
      </c>
      <c r="P712" s="16" t="inlineStr">
        <is>
          <t>1-3 anos detenção + multa</t>
        </is>
      </c>
    </row>
    <row r="713">
      <c r="A713" s="7" t="inlineStr">
        <is>
          <t>CP</t>
        </is>
      </c>
      <c r="B713" s="7" t="inlineStr">
        <is>
          <t>Art. 151, §1º, III</t>
        </is>
      </c>
      <c r="C713" s="16" t="inlineStr">
        <is>
          <t>Impedir a comunicação telegráfica, radioelétrica ou telefônica</t>
        </is>
      </c>
      <c r="D713" s="7" t="n">
        <v>12</v>
      </c>
      <c r="E713" s="7" t="n">
        <v>36</v>
      </c>
      <c r="F713" s="7" t="inlineStr">
        <is>
          <t>Detenção</t>
        </is>
      </c>
      <c r="G713" s="7" t="inlineStr">
        <is>
          <t>Pública Incondicionada</t>
        </is>
      </c>
      <c r="H713" s="7" t="inlineStr">
        <is>
          <t>Não</t>
        </is>
      </c>
      <c r="I713" s="7" t="inlineStr">
        <is>
          <t>Doloso</t>
        </is>
      </c>
      <c r="J713" s="7" t="inlineStr">
        <is>
          <t>Sim</t>
        </is>
      </c>
      <c r="K713" s="7" t="inlineStr">
        <is>
          <t>Não</t>
        </is>
      </c>
      <c r="L713" s="7" t="inlineStr">
        <is>
          <t>Não</t>
        </is>
      </c>
      <c r="M713" s="7" t="inlineStr">
        <is>
          <t>Sim</t>
        </is>
      </c>
      <c r="N713" s="7" t="inlineStr">
        <is>
          <t>Sim</t>
        </is>
      </c>
      <c r="O713" s="7" t="inlineStr">
        <is>
          <t>Sim</t>
        </is>
      </c>
      <c r="P713" s="16" t="inlineStr">
        <is>
          <t>1-3 anos detenção + multa</t>
        </is>
      </c>
    </row>
    <row r="714">
      <c r="A714" s="7" t="inlineStr">
        <is>
          <t>CP</t>
        </is>
      </c>
      <c r="B714" s="7" t="inlineStr">
        <is>
          <t>Art. 151, §1º, IV</t>
        </is>
      </c>
      <c r="C714" s="16" t="inlineStr">
        <is>
          <t>Instalar ou utilizar estação ou aparelho radioelétrico sem autorização legal</t>
        </is>
      </c>
      <c r="D714" s="7" t="n">
        <v>12</v>
      </c>
      <c r="E714" s="7" t="n">
        <v>36</v>
      </c>
      <c r="F714" s="7" t="inlineStr">
        <is>
          <t>Detenção</t>
        </is>
      </c>
      <c r="G714" s="7" t="inlineStr">
        <is>
          <t>Pública Incondicionada</t>
        </is>
      </c>
      <c r="H714" s="7" t="inlineStr">
        <is>
          <t>Não</t>
        </is>
      </c>
      <c r="I714" s="7" t="inlineStr">
        <is>
          <t>Doloso</t>
        </is>
      </c>
      <c r="J714" s="7" t="inlineStr">
        <is>
          <t>Sim</t>
        </is>
      </c>
      <c r="K714" s="7" t="inlineStr">
        <is>
          <t>Não</t>
        </is>
      </c>
      <c r="L714" s="7" t="inlineStr">
        <is>
          <t>Não</t>
        </is>
      </c>
      <c r="M714" s="7" t="inlineStr">
        <is>
          <t>Sim</t>
        </is>
      </c>
      <c r="N714" s="7" t="inlineStr">
        <is>
          <t>Sim</t>
        </is>
      </c>
      <c r="O714" s="7" t="inlineStr">
        <is>
          <t>Sim</t>
        </is>
      </c>
      <c r="P714" s="16" t="inlineStr">
        <is>
          <t>1-3 anos detenção + multa</t>
        </is>
      </c>
    </row>
    <row r="715">
      <c r="A715" s="28" t="inlineStr">
        <is>
          <t>CP</t>
        </is>
      </c>
      <c r="B715" s="28" t="inlineStr">
        <is>
          <t>Art. 61, I</t>
        </is>
      </c>
      <c r="C715" s="29" t="inlineStr">
        <is>
          <t>REFERÊNCIA — Agravante: reincidência (Art. 63 CP)</t>
        </is>
      </c>
      <c r="D715" s="28" t="inlineStr">
        <is>
          <t>—</t>
        </is>
      </c>
      <c r="E715" s="28" t="inlineStr">
        <is>
          <t>—</t>
        </is>
      </c>
      <c r="F715" s="28" t="inlineStr">
        <is>
          <t>—</t>
        </is>
      </c>
      <c r="G715" s="28" t="inlineStr">
        <is>
          <t>—</t>
        </is>
      </c>
      <c r="H715" s="28" t="inlineStr">
        <is>
          <t>—</t>
        </is>
      </c>
      <c r="I715" s="28" t="inlineStr">
        <is>
          <t>—</t>
        </is>
      </c>
      <c r="J715" s="28" t="inlineStr">
        <is>
          <t>—</t>
        </is>
      </c>
      <c r="K715" s="28" t="inlineStr">
        <is>
          <t>—</t>
        </is>
      </c>
      <c r="L715" s="28" t="inlineStr">
        <is>
          <t>—</t>
        </is>
      </c>
      <c r="M715" s="28" t="inlineStr">
        <is>
          <t>—</t>
        </is>
      </c>
      <c r="N715" s="28" t="inlineStr">
        <is>
          <t>—</t>
        </is>
      </c>
      <c r="O715" s="28" t="inlineStr">
        <is>
          <t>—</t>
        </is>
      </c>
      <c r="P715" s="29" t="inlineStr">
        <is>
          <t>REFERÊNCIA — circunstância agravante. Não é tipo penal autônomo. Aplica-se na 2ª fase da dosimetria. Réu é reincidente se, após trânsito em julgado de condenação anterior, comete novo crime antes de 5 anos (Art. 64, I)</t>
        </is>
      </c>
    </row>
    <row r="716">
      <c r="A716" s="26" t="inlineStr">
        <is>
          <t>Lei 9.434/97</t>
        </is>
      </c>
      <c r="B716" s="26" t="inlineStr">
        <is>
          <t>Art. 14, §2º</t>
        </is>
      </c>
      <c r="C716" s="27" t="inlineStr">
        <is>
          <t>Remoção de órgãos/tecidos que causa lesão corporal grave ou incapacidade permanente no doador</t>
        </is>
      </c>
      <c r="D716" s="26" t="n">
        <v>36</v>
      </c>
      <c r="E716" s="26" t="n">
        <v>144</v>
      </c>
      <c r="F716" s="26" t="inlineStr">
        <is>
          <t>Reclusão</t>
        </is>
      </c>
      <c r="G716" s="26" t="inlineStr">
        <is>
          <t>Pública Incondicionada</t>
        </is>
      </c>
      <c r="H716" s="26" t="inlineStr">
        <is>
          <t>Não</t>
        </is>
      </c>
      <c r="I716" s="26" t="inlineStr">
        <is>
          <t>Preterdoloso</t>
        </is>
      </c>
      <c r="J716" s="26" t="inlineStr">
        <is>
          <t>Não</t>
        </is>
      </c>
      <c r="K716" s="26" t="inlineStr">
        <is>
          <t>Sim</t>
        </is>
      </c>
      <c r="L716" s="26" t="inlineStr">
        <is>
          <t>Não</t>
        </is>
      </c>
      <c r="M716" s="26" t="inlineStr">
        <is>
          <t>Não</t>
        </is>
      </c>
      <c r="N716" s="26" t="inlineStr">
        <is>
          <t>Não</t>
        </is>
      </c>
      <c r="O716" s="26" t="inlineStr">
        <is>
          <t>Verificar</t>
        </is>
      </c>
      <c r="P716" s="27" t="inlineStr">
        <is>
          <t>3-12 anos reclusão. Resultado qualificador. Se resultar morte: 4-12 anos (§3º)</t>
        </is>
      </c>
    </row>
    <row r="717">
      <c r="A717" s="26" t="inlineStr">
        <is>
          <t>Lei 9.434/97</t>
        </is>
      </c>
      <c r="B717" s="26" t="inlineStr">
        <is>
          <t>Art. 14, §3º</t>
        </is>
      </c>
      <c r="C717" s="27" t="inlineStr">
        <is>
          <t>Remoção de órgãos/tecidos que resulta em morte do doador</t>
        </is>
      </c>
      <c r="D717" s="26" t="n">
        <v>48</v>
      </c>
      <c r="E717" s="26" t="n">
        <v>144</v>
      </c>
      <c r="F717" s="26" t="inlineStr">
        <is>
          <t>Reclusão</t>
        </is>
      </c>
      <c r="G717" s="26" t="inlineStr">
        <is>
          <t>Pública Incondicionada</t>
        </is>
      </c>
      <c r="H717" s="26" t="inlineStr">
        <is>
          <t>Não</t>
        </is>
      </c>
      <c r="I717" s="26" t="inlineStr">
        <is>
          <t>Preterdoloso</t>
        </is>
      </c>
      <c r="J717" s="26" t="inlineStr">
        <is>
          <t>Não</t>
        </is>
      </c>
      <c r="K717" s="26" t="inlineStr">
        <is>
          <t>Sim</t>
        </is>
      </c>
      <c r="L717" s="26" t="inlineStr">
        <is>
          <t>Não</t>
        </is>
      </c>
      <c r="M717" s="26" t="inlineStr">
        <is>
          <t>Não</t>
        </is>
      </c>
      <c r="N717" s="26" t="inlineStr">
        <is>
          <t>Não</t>
        </is>
      </c>
      <c r="O717" s="26" t="inlineStr">
        <is>
          <t>Verificar</t>
        </is>
      </c>
      <c r="P717" s="27" t="inlineStr">
        <is>
          <t>4-12 anos reclusão. Resultado morte. Crime preterdoloso</t>
        </is>
      </c>
    </row>
    <row r="718">
      <c r="A718" s="7" t="inlineStr">
        <is>
          <t>Lei 11.105/05</t>
        </is>
      </c>
      <c r="B718" s="7" t="inlineStr">
        <is>
          <t>Art. 24</t>
        </is>
      </c>
      <c r="C718" s="16" t="inlineStr">
        <is>
          <t>Utilizar embrião humano em desacordo com o Art. 5º (pesquisa com células-tronco sem autorização)</t>
        </is>
      </c>
      <c r="D718" s="7" t="n">
        <v>12</v>
      </c>
      <c r="E718" s="7" t="n">
        <v>36</v>
      </c>
      <c r="F718" s="7" t="inlineStr">
        <is>
          <t>Detenção</t>
        </is>
      </c>
      <c r="G718" s="7" t="inlineStr">
        <is>
          <t>Pública Incondicionada</t>
        </is>
      </c>
      <c r="H718" s="7" t="inlineStr">
        <is>
          <t>Não</t>
        </is>
      </c>
      <c r="I718" s="7" t="inlineStr">
        <is>
          <t>Doloso</t>
        </is>
      </c>
      <c r="J718" s="7" t="inlineStr">
        <is>
          <t>Sim</t>
        </is>
      </c>
      <c r="K718" s="7" t="inlineStr">
        <is>
          <t>Não</t>
        </is>
      </c>
      <c r="L718" s="7" t="inlineStr">
        <is>
          <t>Não</t>
        </is>
      </c>
      <c r="M718" s="7" t="inlineStr">
        <is>
          <t>Sim</t>
        </is>
      </c>
      <c r="N718" s="7" t="inlineStr">
        <is>
          <t>Sim</t>
        </is>
      </c>
      <c r="O718" s="7" t="inlineStr">
        <is>
          <t>Sim</t>
        </is>
      </c>
      <c r="P718" s="16" t="inlineStr">
        <is>
          <t>1-3 anos detenção + multa</t>
        </is>
      </c>
    </row>
    <row r="719">
      <c r="A719" s="7" t="inlineStr">
        <is>
          <t>Lei 11.105/05</t>
        </is>
      </c>
      <c r="B719" s="7" t="inlineStr">
        <is>
          <t>Art. 25</t>
        </is>
      </c>
      <c r="C719" s="16" t="inlineStr">
        <is>
          <t>Praticar engenharia genética em célula germinal humana, zigoto ou embrião humano</t>
        </is>
      </c>
      <c r="D719" s="7" t="n">
        <v>12</v>
      </c>
      <c r="E719" s="7" t="n">
        <v>48</v>
      </c>
      <c r="F719" s="7" t="inlineStr">
        <is>
          <t>Reclusão</t>
        </is>
      </c>
      <c r="G719" s="7" t="inlineStr">
        <is>
          <t>Pública Incondicionada</t>
        </is>
      </c>
      <c r="H719" s="7" t="inlineStr">
        <is>
          <t>Não</t>
        </is>
      </c>
      <c r="I719" s="7" t="inlineStr">
        <is>
          <t>Doloso</t>
        </is>
      </c>
      <c r="J719" s="7" t="inlineStr">
        <is>
          <t>Sim</t>
        </is>
      </c>
      <c r="K719" s="7" t="inlineStr">
        <is>
          <t>Não</t>
        </is>
      </c>
      <c r="L719" s="7" t="inlineStr">
        <is>
          <t>Não</t>
        </is>
      </c>
      <c r="M719" s="7" t="inlineStr">
        <is>
          <t>Sim</t>
        </is>
      </c>
      <c r="N719" s="7" t="inlineStr">
        <is>
          <t>Sim</t>
        </is>
      </c>
      <c r="O719" s="7" t="inlineStr">
        <is>
          <t>Sim</t>
        </is>
      </c>
      <c r="P719" s="16" t="inlineStr">
        <is>
          <t>1-4 anos reclusão + multa</t>
        </is>
      </c>
    </row>
    <row r="720">
      <c r="A720" s="7" t="inlineStr">
        <is>
          <t>Lei 11.105/05</t>
        </is>
      </c>
      <c r="B720" s="7" t="inlineStr">
        <is>
          <t>Art. 26</t>
        </is>
      </c>
      <c r="C720" s="16" t="inlineStr">
        <is>
          <t>Realizar clonagem humana reprodutiva</t>
        </is>
      </c>
      <c r="D720" s="7" t="n">
        <v>24</v>
      </c>
      <c r="E720" s="7" t="n">
        <v>60</v>
      </c>
      <c r="F720" s="7" t="inlineStr">
        <is>
          <t>Reclusão</t>
        </is>
      </c>
      <c r="G720" s="7" t="inlineStr">
        <is>
          <t>Pública Incondicionada</t>
        </is>
      </c>
      <c r="H720" s="7" t="inlineStr">
        <is>
          <t>Não</t>
        </is>
      </c>
      <c r="I720" s="7" t="inlineStr">
        <is>
          <t>Doloso</t>
        </is>
      </c>
      <c r="J720" s="7" t="inlineStr">
        <is>
          <t>Sim</t>
        </is>
      </c>
      <c r="K720" s="7" t="inlineStr">
        <is>
          <t>Não</t>
        </is>
      </c>
      <c r="L720" s="7" t="inlineStr">
        <is>
          <t>Não</t>
        </is>
      </c>
      <c r="M720" s="7" t="inlineStr">
        <is>
          <t>Sim</t>
        </is>
      </c>
      <c r="N720" s="7" t="inlineStr">
        <is>
          <t>Não</t>
        </is>
      </c>
      <c r="O720" s="7" t="inlineStr">
        <is>
          <t>Sim</t>
        </is>
      </c>
      <c r="P720" s="16" t="inlineStr">
        <is>
          <t>2-5 anos reclusão + multa. Proibição absoluta de clonagem reprodutiva</t>
        </is>
      </c>
    </row>
    <row r="721">
      <c r="A721" s="7" t="inlineStr">
        <is>
          <t>Lei 11.105/05</t>
        </is>
      </c>
      <c r="B721" s="7" t="inlineStr">
        <is>
          <t>Art. 27</t>
        </is>
      </c>
      <c r="C721" s="16" t="inlineStr">
        <is>
          <t>Liberar ou descartar OGM no meio ambiente em desacordo com normas de biossegurança</t>
        </is>
      </c>
      <c r="D721" s="7" t="n">
        <v>12</v>
      </c>
      <c r="E721" s="7" t="n">
        <v>48</v>
      </c>
      <c r="F721" s="7" t="inlineStr">
        <is>
          <t>Reclusão</t>
        </is>
      </c>
      <c r="G721" s="7" t="inlineStr">
        <is>
          <t>Pública Incondicionada</t>
        </is>
      </c>
      <c r="H721" s="7" t="inlineStr">
        <is>
          <t>Não</t>
        </is>
      </c>
      <c r="I721" s="7" t="inlineStr">
        <is>
          <t>Doloso</t>
        </is>
      </c>
      <c r="J721" s="7" t="inlineStr">
        <is>
          <t>Sim</t>
        </is>
      </c>
      <c r="K721" s="7" t="inlineStr">
        <is>
          <t>Não</t>
        </is>
      </c>
      <c r="L721" s="7" t="inlineStr">
        <is>
          <t>Não</t>
        </is>
      </c>
      <c r="M721" s="7" t="inlineStr">
        <is>
          <t>Sim</t>
        </is>
      </c>
      <c r="N721" s="7" t="inlineStr">
        <is>
          <t>Sim</t>
        </is>
      </c>
      <c r="O721" s="7" t="inlineStr">
        <is>
          <t>Sim</t>
        </is>
      </c>
      <c r="P721" s="16" t="inlineStr">
        <is>
          <t>1-4 anos reclusão + multa. §1º: se culposo: 3 meses a 1 ano</t>
        </is>
      </c>
    </row>
    <row r="722">
      <c r="A722" s="7" t="inlineStr">
        <is>
          <t>Lei 11.105/05</t>
        </is>
      </c>
      <c r="B722" s="7" t="inlineStr">
        <is>
          <t>Art. 28</t>
        </is>
      </c>
      <c r="C722" s="16" t="inlineStr">
        <is>
          <t>Utilizar/comercializar/registrar/patentear OGM ou derivado sem autorização do CTNBio</t>
        </is>
      </c>
      <c r="D722" s="7" t="n">
        <v>24</v>
      </c>
      <c r="E722" s="7" t="n">
        <v>96</v>
      </c>
      <c r="F722" s="7" t="inlineStr">
        <is>
          <t>Reclusão</t>
        </is>
      </c>
      <c r="G722" s="7" t="inlineStr">
        <is>
          <t>Pública Incondicionada</t>
        </is>
      </c>
      <c r="H722" s="7" t="inlineStr">
        <is>
          <t>Não</t>
        </is>
      </c>
      <c r="I722" s="7" t="inlineStr">
        <is>
          <t>Doloso</t>
        </is>
      </c>
      <c r="J722" s="7" t="inlineStr">
        <is>
          <t>Sim</t>
        </is>
      </c>
      <c r="K722" s="7" t="inlineStr">
        <is>
          <t>Não</t>
        </is>
      </c>
      <c r="L722" s="7" t="inlineStr">
        <is>
          <t>Não</t>
        </is>
      </c>
      <c r="M722" s="7" t="inlineStr">
        <is>
          <t>Sim</t>
        </is>
      </c>
      <c r="N722" s="7" t="inlineStr">
        <is>
          <t>Não</t>
        </is>
      </c>
      <c r="O722" s="7" t="inlineStr">
        <is>
          <t>Sim</t>
        </is>
      </c>
      <c r="P722" s="16" t="inlineStr">
        <is>
          <t>2-8 anos reclusão + multa</t>
        </is>
      </c>
    </row>
    <row r="723">
      <c r="A723" s="7" t="inlineStr">
        <is>
          <t>Lei 11.105/05</t>
        </is>
      </c>
      <c r="B723" s="7" t="inlineStr">
        <is>
          <t>Art. 29</t>
        </is>
      </c>
      <c r="C723" s="16" t="inlineStr">
        <is>
          <t>Produzir/armazenar/transportar/comercializar/importar/exportar OGM ou derivado sem autorização</t>
        </is>
      </c>
      <c r="D723" s="7" t="n">
        <v>12</v>
      </c>
      <c r="E723" s="7" t="n">
        <v>24</v>
      </c>
      <c r="F723" s="7" t="inlineStr">
        <is>
          <t>Detenção</t>
        </is>
      </c>
      <c r="G723" s="7" t="inlineStr">
        <is>
          <t>Pública Incondicionada</t>
        </is>
      </c>
      <c r="H723" s="7" t="inlineStr">
        <is>
          <t>Não</t>
        </is>
      </c>
      <c r="I723" s="7" t="inlineStr">
        <is>
          <t>Doloso</t>
        </is>
      </c>
      <c r="J723" s="7" t="inlineStr">
        <is>
          <t>Sim</t>
        </is>
      </c>
      <c r="K723" s="7" t="inlineStr">
        <is>
          <t>Não</t>
        </is>
      </c>
      <c r="L723" s="7" t="inlineStr">
        <is>
          <t>Não</t>
        </is>
      </c>
      <c r="M723" s="7" t="inlineStr">
        <is>
          <t>Sim</t>
        </is>
      </c>
      <c r="N723" s="7" t="inlineStr">
        <is>
          <t>Sim</t>
        </is>
      </c>
      <c r="O723" s="7" t="inlineStr">
        <is>
          <t>Sim</t>
        </is>
      </c>
      <c r="P723" s="16" t="inlineStr">
        <is>
          <t>1-2 anos detenção + multa</t>
        </is>
      </c>
    </row>
    <row r="724">
      <c r="A724" s="7" t="inlineStr">
        <is>
          <t>Lei 4.117/62</t>
        </is>
      </c>
      <c r="B724" s="7" t="inlineStr">
        <is>
          <t>Art. 70</t>
        </is>
      </c>
      <c r="C724" s="16" t="inlineStr">
        <is>
          <t>Instalar ou utilizar telecomunicações sem autorização do poder competente (rádio/TV clandestina)</t>
        </is>
      </c>
      <c r="D724" s="7" t="n">
        <v>24</v>
      </c>
      <c r="E724" s="7" t="n">
        <v>48</v>
      </c>
      <c r="F724" s="7" t="inlineStr">
        <is>
          <t>Detenção</t>
        </is>
      </c>
      <c r="G724" s="7" t="inlineStr">
        <is>
          <t>Pública Incondicionada</t>
        </is>
      </c>
      <c r="H724" s="7" t="inlineStr">
        <is>
          <t>Não</t>
        </is>
      </c>
      <c r="I724" s="7" t="inlineStr">
        <is>
          <t>Doloso</t>
        </is>
      </c>
      <c r="J724" s="7" t="inlineStr">
        <is>
          <t>Sim</t>
        </is>
      </c>
      <c r="K724" s="7" t="inlineStr">
        <is>
          <t>Não</t>
        </is>
      </c>
      <c r="L724" s="7" t="inlineStr">
        <is>
          <t>Não</t>
        </is>
      </c>
      <c r="M724" s="7" t="inlineStr">
        <is>
          <t>Sim</t>
        </is>
      </c>
      <c r="N724" s="7" t="inlineStr">
        <is>
          <t>Não</t>
        </is>
      </c>
      <c r="O724" s="7" t="inlineStr">
        <is>
          <t>Sim</t>
        </is>
      </c>
      <c r="P724" s="16" t="inlineStr">
        <is>
          <t>2-4 anos detenção + multa. Rádio/TV pirata. Art. 183 da Lei 9.472/97 também pune conduta similar com 2-4 anos detenção</t>
        </is>
      </c>
    </row>
    <row r="725">
      <c r="A725" s="7" t="inlineStr">
        <is>
          <t>Lei 4.595/64</t>
        </is>
      </c>
      <c r="B725" s="7" t="inlineStr">
        <is>
          <t>Art. 44, §7º</t>
        </is>
      </c>
      <c r="C725" s="16" t="inlineStr">
        <is>
          <t>Operação de instituição financeira sem autorização do Banco Central</t>
        </is>
      </c>
      <c r="D725" s="7" t="n">
        <v>12</v>
      </c>
      <c r="E725" s="7" t="n">
        <v>48</v>
      </c>
      <c r="F725" s="7" t="inlineStr">
        <is>
          <t>Reclusão</t>
        </is>
      </c>
      <c r="G725" s="7" t="inlineStr">
        <is>
          <t>Pública Incondicionada</t>
        </is>
      </c>
      <c r="H725" s="7" t="inlineStr">
        <is>
          <t>Não</t>
        </is>
      </c>
      <c r="I725" s="7" t="inlineStr">
        <is>
          <t>Doloso</t>
        </is>
      </c>
      <c r="J725" s="7" t="inlineStr">
        <is>
          <t>Sim</t>
        </is>
      </c>
      <c r="K725" s="7" t="inlineStr">
        <is>
          <t>Não</t>
        </is>
      </c>
      <c r="L725" s="7" t="inlineStr">
        <is>
          <t>Não</t>
        </is>
      </c>
      <c r="M725" s="7" t="inlineStr">
        <is>
          <t>Sim</t>
        </is>
      </c>
      <c r="N725" s="7" t="inlineStr">
        <is>
          <t>Sim</t>
        </is>
      </c>
      <c r="O725" s="7" t="inlineStr">
        <is>
          <t>Sim</t>
        </is>
      </c>
      <c r="P725" s="16" t="inlineStr">
        <is>
          <t>1-4 anos reclusão + multa. Nota: a Lei 7.492/86 (Art. 16) também pune conduta similar com 1-4 anos reclusão</t>
        </is>
      </c>
    </row>
    <row r="726">
      <c r="A726" s="7" t="inlineStr">
        <is>
          <t>ECA (atualiz.)</t>
        </is>
      </c>
      <c r="B726" s="7" t="inlineStr">
        <is>
          <t>Art. 244-B</t>
        </is>
      </c>
      <c r="C726" s="16" t="inlineStr">
        <is>
          <t>Corrupção de menores — corromper ou facilitar a corrupção de menor de 18 anos, com ele praticando infração penal ou induzindo-o a praticá-la</t>
        </is>
      </c>
      <c r="D726" s="7" t="n">
        <v>12</v>
      </c>
      <c r="E726" s="7" t="n">
        <v>48</v>
      </c>
      <c r="F726" s="7" t="inlineStr">
        <is>
          <t>Reclusão</t>
        </is>
      </c>
      <c r="G726" s="7" t="inlineStr">
        <is>
          <t>Pública Incondicionada</t>
        </is>
      </c>
      <c r="H726" s="7" t="inlineStr">
        <is>
          <t>Não</t>
        </is>
      </c>
      <c r="I726" s="7" t="inlineStr">
        <is>
          <t>Doloso</t>
        </is>
      </c>
      <c r="J726" s="7" t="inlineStr">
        <is>
          <t>Sim</t>
        </is>
      </c>
      <c r="K726" s="7" t="inlineStr">
        <is>
          <t>Não</t>
        </is>
      </c>
      <c r="L726" s="7" t="inlineStr">
        <is>
          <t>Não</t>
        </is>
      </c>
      <c r="M726" s="7" t="inlineStr">
        <is>
          <t>Sim</t>
        </is>
      </c>
      <c r="N726" s="7" t="inlineStr">
        <is>
          <t>Sim</t>
        </is>
      </c>
      <c r="O726" s="7" t="inlineStr">
        <is>
          <t>Sim</t>
        </is>
      </c>
      <c r="P726" s="16" t="inlineStr">
        <is>
          <t>1-4 anos reclusão. Absorveu a Lei 2.252/54. §1º: se o crime constitui prática de tortura, tráfico de drogas ou crimes hediondos, aplica-se o disposto no Art. 1º da Lei 8.072/90. §2º: aumento de 1/3 se menor de 14 anos</t>
        </is>
      </c>
    </row>
    <row r="727">
      <c r="A727" s="7" t="inlineStr">
        <is>
          <t>CP</t>
        </is>
      </c>
      <c r="B727" s="7" t="inlineStr">
        <is>
          <t>Art. 359-I</t>
        </is>
      </c>
      <c r="C727" s="16" t="inlineStr">
        <is>
          <t>Espionagem — entregar/permitir acesso a documento/informação classificada como sigilosa a governo/agente estrangeiro</t>
        </is>
      </c>
      <c r="D727" s="7" t="n">
        <v>36</v>
      </c>
      <c r="E727" s="7" t="n">
        <v>144</v>
      </c>
      <c r="F727" s="7" t="inlineStr">
        <is>
          <t>Reclusão</t>
        </is>
      </c>
      <c r="G727" s="7" t="inlineStr">
        <is>
          <t>Pública Incondicionada</t>
        </is>
      </c>
      <c r="H727" s="7" t="inlineStr">
        <is>
          <t>Não</t>
        </is>
      </c>
      <c r="I727" s="7" t="inlineStr">
        <is>
          <t>Doloso</t>
        </is>
      </c>
      <c r="J727" s="7" t="inlineStr">
        <is>
          <t>Sim</t>
        </is>
      </c>
      <c r="K727" s="7" t="inlineStr">
        <is>
          <t>Não</t>
        </is>
      </c>
      <c r="L727" s="7" t="inlineStr">
        <is>
          <t>Não</t>
        </is>
      </c>
      <c r="M727" s="7" t="inlineStr">
        <is>
          <t>Sim</t>
        </is>
      </c>
      <c r="N727" s="7" t="inlineStr">
        <is>
          <t>Não</t>
        </is>
      </c>
      <c r="O727" s="7" t="inlineStr">
        <is>
          <t>Verificar</t>
        </is>
      </c>
      <c r="P727" s="16" t="inlineStr">
        <is>
          <t>3-12 anos reclusão. Lei 14.197/21 (revogou Lei 7.170/83). Crime contra a soberania nacional</t>
        </is>
      </c>
    </row>
    <row r="728">
      <c r="A728" s="26" t="inlineStr">
        <is>
          <t>CP</t>
        </is>
      </c>
      <c r="B728" s="26" t="inlineStr">
        <is>
          <t>Art. 359-J</t>
        </is>
      </c>
      <c r="C728" s="27" t="inlineStr">
        <is>
          <t>Espionagem com violência — obter documento/informação sigilosa com emprego de violência ou grave ameaça</t>
        </is>
      </c>
      <c r="D728" s="26" t="n">
        <v>48</v>
      </c>
      <c r="E728" s="26" t="n">
        <v>180</v>
      </c>
      <c r="F728" s="26" t="inlineStr">
        <is>
          <t>Reclusão</t>
        </is>
      </c>
      <c r="G728" s="26" t="inlineStr">
        <is>
          <t>Pública Incondicionada</t>
        </is>
      </c>
      <c r="H728" s="26" t="inlineStr">
        <is>
          <t>Não</t>
        </is>
      </c>
      <c r="I728" s="26" t="inlineStr">
        <is>
          <t>Doloso</t>
        </is>
      </c>
      <c r="J728" s="26" t="inlineStr">
        <is>
          <t>Sim</t>
        </is>
      </c>
      <c r="K728" s="26" t="inlineStr">
        <is>
          <t>Sim</t>
        </is>
      </c>
      <c r="L728" s="26" t="inlineStr">
        <is>
          <t>Sim</t>
        </is>
      </c>
      <c r="M728" s="26" t="inlineStr">
        <is>
          <t>Não</t>
        </is>
      </c>
      <c r="N728" s="26" t="inlineStr">
        <is>
          <t>Não</t>
        </is>
      </c>
      <c r="O728" s="26" t="inlineStr">
        <is>
          <t>Verificar</t>
        </is>
      </c>
      <c r="P728" s="27" t="inlineStr">
        <is>
          <t>4-15 anos reclusão. Lei 14.197/21</t>
        </is>
      </c>
    </row>
    <row r="729">
      <c r="A729" s="7" t="inlineStr">
        <is>
          <t>CP</t>
        </is>
      </c>
      <c r="B729" s="7" t="inlineStr">
        <is>
          <t>Art. 359-K</t>
        </is>
      </c>
      <c r="C729" s="16" t="inlineStr">
        <is>
          <t>Espionagem — permitir acesso indevido a informação sigilosa (forma culposa do funcionário público)</t>
        </is>
      </c>
      <c r="D729" s="7" t="n">
        <v>12</v>
      </c>
      <c r="E729" s="7" t="n">
        <v>48</v>
      </c>
      <c r="F729" s="7" t="inlineStr">
        <is>
          <t>Detenção</t>
        </is>
      </c>
      <c r="G729" s="7" t="inlineStr">
        <is>
          <t>Pública Incondicionada</t>
        </is>
      </c>
      <c r="H729" s="7" t="inlineStr">
        <is>
          <t>Não</t>
        </is>
      </c>
      <c r="I729" s="7" t="inlineStr">
        <is>
          <t>Culposo</t>
        </is>
      </c>
      <c r="J729" s="7" t="inlineStr">
        <is>
          <t>Não</t>
        </is>
      </c>
      <c r="K729" s="7" t="inlineStr">
        <is>
          <t>Não</t>
        </is>
      </c>
      <c r="L729" s="7" t="inlineStr">
        <is>
          <t>Não</t>
        </is>
      </c>
      <c r="M729" s="7" t="inlineStr">
        <is>
          <t>Sim</t>
        </is>
      </c>
      <c r="N729" s="7" t="inlineStr">
        <is>
          <t>Sim</t>
        </is>
      </c>
      <c r="O729" s="7" t="inlineStr">
        <is>
          <t>Sim</t>
        </is>
      </c>
      <c r="P729" s="16" t="inlineStr">
        <is>
          <t>1-4 anos detenção. Lei 14.197/21. Forma culposa de espionagem</t>
        </is>
      </c>
    </row>
    <row r="730">
      <c r="A730" s="7" t="inlineStr">
        <is>
          <t>Lei 9.504/97</t>
        </is>
      </c>
      <c r="B730" s="7" t="inlineStr">
        <is>
          <t>Art. 33, §4º</t>
        </is>
      </c>
      <c r="C730" s="16" t="inlineStr">
        <is>
          <t>Divulgar resultado de pesquisa eleitoral fraudulenta</t>
        </is>
      </c>
      <c r="D730" s="7" t="n">
        <v>6</v>
      </c>
      <c r="E730" s="7" t="n">
        <v>12</v>
      </c>
      <c r="F730" s="7" t="inlineStr">
        <is>
          <t>Detenção</t>
        </is>
      </c>
      <c r="G730" s="7" t="inlineStr">
        <is>
          <t>Pública Incondicionada</t>
        </is>
      </c>
      <c r="H730" s="7" t="inlineStr">
        <is>
          <t>Não</t>
        </is>
      </c>
      <c r="I730" s="7" t="inlineStr">
        <is>
          <t>Doloso</t>
        </is>
      </c>
      <c r="J730" s="7" t="inlineStr">
        <is>
          <t>Sim</t>
        </is>
      </c>
      <c r="K730" s="7" t="inlineStr">
        <is>
          <t>Não</t>
        </is>
      </c>
      <c r="L730" s="7" t="inlineStr">
        <is>
          <t>Não</t>
        </is>
      </c>
      <c r="M730" s="7" t="inlineStr">
        <is>
          <t>Sim</t>
        </is>
      </c>
      <c r="N730" s="7" t="inlineStr">
        <is>
          <t>Sim</t>
        </is>
      </c>
      <c r="O730" s="7" t="inlineStr">
        <is>
          <t>Sim</t>
        </is>
      </c>
      <c r="P730" s="16" t="inlineStr">
        <is>
          <t>6 meses a 1 ano detenção + multa</t>
        </is>
      </c>
    </row>
    <row r="731">
      <c r="A731" s="7" t="inlineStr">
        <is>
          <t>Lei 9.504/97</t>
        </is>
      </c>
      <c r="B731" s="7" t="inlineStr">
        <is>
          <t>Art. 39, §5º, I</t>
        </is>
      </c>
      <c r="C731" s="16" t="inlineStr">
        <is>
          <t>Confeccionar/utilizar/distribuir material impresso de propaganda eleitoral desconforme (sem CNPJ, sem responsável)</t>
        </is>
      </c>
      <c r="D731" s="7" t="n">
        <v>6</v>
      </c>
      <c r="E731" s="7" t="n">
        <v>12</v>
      </c>
      <c r="F731" s="7" t="inlineStr">
        <is>
          <t>Detenção</t>
        </is>
      </c>
      <c r="G731" s="7" t="inlineStr">
        <is>
          <t>Pública Incondicionada</t>
        </is>
      </c>
      <c r="H731" s="7" t="inlineStr">
        <is>
          <t>Não</t>
        </is>
      </c>
      <c r="I731" s="7" t="inlineStr">
        <is>
          <t>Doloso</t>
        </is>
      </c>
      <c r="J731" s="7" t="inlineStr">
        <is>
          <t>Sim</t>
        </is>
      </c>
      <c r="K731" s="7" t="inlineStr">
        <is>
          <t>Não</t>
        </is>
      </c>
      <c r="L731" s="7" t="inlineStr">
        <is>
          <t>Não</t>
        </is>
      </c>
      <c r="M731" s="7" t="inlineStr">
        <is>
          <t>Sim</t>
        </is>
      </c>
      <c r="N731" s="7" t="inlineStr">
        <is>
          <t>Sim</t>
        </is>
      </c>
      <c r="O731" s="7" t="inlineStr">
        <is>
          <t>Sim</t>
        </is>
      </c>
      <c r="P731" s="16" t="inlineStr">
        <is>
          <t>6 meses a 1 ano detenção + multa</t>
        </is>
      </c>
    </row>
    <row r="732">
      <c r="A732" s="7" t="inlineStr">
        <is>
          <t>CE (Lei 4.737/65)</t>
        </is>
      </c>
      <c r="B732" s="7" t="inlineStr">
        <is>
          <t>Art. 309</t>
        </is>
      </c>
      <c r="C732" s="16" t="inlineStr">
        <is>
          <t>Votar ou tentar votar mais de uma vez ou em lugar de outrem</t>
        </is>
      </c>
      <c r="D732" s="7" t="n">
        <v>12</v>
      </c>
      <c r="E732" s="7" t="n">
        <v>36</v>
      </c>
      <c r="F732" s="7" t="inlineStr">
        <is>
          <t>Reclusão</t>
        </is>
      </c>
      <c r="G732" s="7" t="inlineStr">
        <is>
          <t>Pública Incondicionada</t>
        </is>
      </c>
      <c r="H732" s="7" t="inlineStr">
        <is>
          <t>Não</t>
        </is>
      </c>
      <c r="I732" s="7" t="inlineStr">
        <is>
          <t>Doloso</t>
        </is>
      </c>
      <c r="J732" s="7" t="inlineStr">
        <is>
          <t>Sim</t>
        </is>
      </c>
      <c r="K732" s="7" t="inlineStr">
        <is>
          <t>Não</t>
        </is>
      </c>
      <c r="L732" s="7" t="inlineStr">
        <is>
          <t>Não</t>
        </is>
      </c>
      <c r="M732" s="7" t="inlineStr">
        <is>
          <t>Sim</t>
        </is>
      </c>
      <c r="N732" s="7" t="inlineStr">
        <is>
          <t>Sim</t>
        </is>
      </c>
      <c r="O732" s="7" t="inlineStr">
        <is>
          <t>Sim</t>
        </is>
      </c>
      <c r="P732" s="16" t="inlineStr">
        <is>
          <t>1-3 anos reclusão</t>
        </is>
      </c>
    </row>
    <row r="733">
      <c r="A733" s="7" t="inlineStr">
        <is>
          <t>CE (Lei 4.737/65)</t>
        </is>
      </c>
      <c r="B733" s="7" t="inlineStr">
        <is>
          <t>Art. 350</t>
        </is>
      </c>
      <c r="C733" s="16" t="inlineStr">
        <is>
          <t>Omitir/retardar/negar dados/informações solicitadas pela justiça eleitoral</t>
        </is>
      </c>
      <c r="D733" s="7" t="n">
        <v>1</v>
      </c>
      <c r="E733" s="7" t="n">
        <v>6</v>
      </c>
      <c r="F733" s="7" t="inlineStr">
        <is>
          <t>Detenção</t>
        </is>
      </c>
      <c r="G733" s="7" t="inlineStr">
        <is>
          <t>Pública Incondicionada</t>
        </is>
      </c>
      <c r="H733" s="7" t="inlineStr">
        <is>
          <t>Não</t>
        </is>
      </c>
      <c r="I733" s="7" t="inlineStr">
        <is>
          <t>Doloso</t>
        </is>
      </c>
      <c r="J733" s="7" t="inlineStr">
        <is>
          <t>Sim</t>
        </is>
      </c>
      <c r="K733" s="7" t="inlineStr">
        <is>
          <t>Não</t>
        </is>
      </c>
      <c r="L733" s="7" t="inlineStr">
        <is>
          <t>Não</t>
        </is>
      </c>
      <c r="M733" s="7" t="inlineStr">
        <is>
          <t>Sim</t>
        </is>
      </c>
      <c r="N733" s="7" t="inlineStr">
        <is>
          <t>Sim</t>
        </is>
      </c>
      <c r="O733" s="7" t="inlineStr">
        <is>
          <t>Sim</t>
        </is>
      </c>
      <c r="P733" s="16" t="inlineStr">
        <is>
          <t>15 dias a 6 meses detenção + multa</t>
        </is>
      </c>
    </row>
    <row r="734">
      <c r="A734" s="28" t="inlineStr">
        <is>
          <t>Lei 5.250/67</t>
        </is>
      </c>
      <c r="B734" s="28" t="inlineStr">
        <is>
          <t>—</t>
        </is>
      </c>
      <c r="C734" s="29" t="inlineStr">
        <is>
          <t>REFERÊNCIA — A Lei de Imprensa (5.250/67) foi declarada NÃO RECEPCIONADA pelo STF (ADPF 130, 2009). Os crimes de imprensa (calúnia, difamação, injúria pela imprensa) são agora tipificados pelo CP (Arts. 138-140) com as agravantes do Art. 141, III (meios que facilitam a divulgação)</t>
        </is>
      </c>
      <c r="D734" s="28" t="inlineStr">
        <is>
          <t>—</t>
        </is>
      </c>
      <c r="E734" s="28" t="inlineStr">
        <is>
          <t>—</t>
        </is>
      </c>
      <c r="F734" s="28" t="inlineStr">
        <is>
          <t>—</t>
        </is>
      </c>
      <c r="G734" s="28" t="inlineStr">
        <is>
          <t>—</t>
        </is>
      </c>
      <c r="H734" s="28" t="inlineStr">
        <is>
          <t>—</t>
        </is>
      </c>
      <c r="I734" s="28" t="inlineStr">
        <is>
          <t>—</t>
        </is>
      </c>
      <c r="J734" s="28" t="inlineStr">
        <is>
          <t>—</t>
        </is>
      </c>
      <c r="K734" s="28" t="inlineStr">
        <is>
          <t>—</t>
        </is>
      </c>
      <c r="L734" s="28" t="inlineStr">
        <is>
          <t>—</t>
        </is>
      </c>
      <c r="M734" s="28" t="inlineStr">
        <is>
          <t>—</t>
        </is>
      </c>
      <c r="N734" s="28" t="inlineStr">
        <is>
          <t>—</t>
        </is>
      </c>
      <c r="O734" s="28" t="inlineStr">
        <is>
          <t>—</t>
        </is>
      </c>
      <c r="P734" s="29" t="inlineStr">
        <is>
          <t>REFERÊNCIA — ADPF 130/2009. Lei não recepcionada pela CF/88. Aplicam-se os tipos do CP</t>
        </is>
      </c>
    </row>
    <row r="735">
      <c r="A735" s="28" t="inlineStr">
        <is>
          <t>Lei 9.099/95</t>
        </is>
      </c>
      <c r="B735" s="28" t="inlineStr">
        <is>
          <t>—</t>
        </is>
      </c>
      <c r="C735" s="29" t="inlineStr">
        <is>
          <t>REFERÊNCIA — A Lei 9.099/95 não cria tipos penais. Define infrações de menor potencial ofensivo (pena máx ≤ 2 anos), cria institutos despenalizadores: composição civil (Art. 74), transação penal (Art. 76), suspensão condicional do processo (Art. 89)</t>
        </is>
      </c>
      <c r="D735" s="28" t="inlineStr">
        <is>
          <t>—</t>
        </is>
      </c>
      <c r="E735" s="28" t="inlineStr">
        <is>
          <t>—</t>
        </is>
      </c>
      <c r="F735" s="28" t="inlineStr">
        <is>
          <t>—</t>
        </is>
      </c>
      <c r="G735" s="28" t="inlineStr">
        <is>
          <t>—</t>
        </is>
      </c>
      <c r="H735" s="28" t="inlineStr">
        <is>
          <t>—</t>
        </is>
      </c>
      <c r="I735" s="28" t="inlineStr">
        <is>
          <t>—</t>
        </is>
      </c>
      <c r="J735" s="28" t="inlineStr">
        <is>
          <t>—</t>
        </is>
      </c>
      <c r="K735" s="28" t="inlineStr">
        <is>
          <t>—</t>
        </is>
      </c>
      <c r="L735" s="28" t="inlineStr">
        <is>
          <t>—</t>
        </is>
      </c>
      <c r="M735" s="28" t="inlineStr">
        <is>
          <t>—</t>
        </is>
      </c>
      <c r="N735" s="28" t="inlineStr">
        <is>
          <t>—</t>
        </is>
      </c>
      <c r="O735" s="28" t="inlineStr">
        <is>
          <t>—</t>
        </is>
      </c>
      <c r="P735" s="29" t="inlineStr">
        <is>
          <t>REFERÊNCIA — lei processual. Define menor potencial ofensivo. Art. 89: sursis processual (pena mín ≤ 1 ano). Art. 41 da Lei 11.340/06 (Maria da Penha): afasta aplicação da Lei 9.099 para violência doméstica</t>
        </is>
      </c>
    </row>
    <row r="736">
      <c r="A736" s="7" t="inlineStr">
        <is>
          <t>Lei 5.553/68</t>
        </is>
      </c>
      <c r="B736" s="7" t="inlineStr">
        <is>
          <t>Art. 3º</t>
        </is>
      </c>
      <c r="C736" s="16" t="inlineStr">
        <is>
          <t>Reter documento de identificação pessoal (CPF, RG, CTPS, passaporte) além do prazo necessário</t>
        </is>
      </c>
      <c r="D736" s="7" t="n">
        <v>1</v>
      </c>
      <c r="E736" s="7" t="n">
        <v>3</v>
      </c>
      <c r="F736" s="7" t="inlineStr">
        <is>
          <t>Detenção</t>
        </is>
      </c>
      <c r="G736" s="7" t="inlineStr">
        <is>
          <t>Pública Incondicionada</t>
        </is>
      </c>
      <c r="H736" s="7" t="inlineStr">
        <is>
          <t>Não</t>
        </is>
      </c>
      <c r="I736" s="7" t="inlineStr">
        <is>
          <t>Doloso</t>
        </is>
      </c>
      <c r="J736" s="7" t="inlineStr">
        <is>
          <t>Sim</t>
        </is>
      </c>
      <c r="K736" s="7" t="inlineStr">
        <is>
          <t>Não</t>
        </is>
      </c>
      <c r="L736" s="7" t="inlineStr">
        <is>
          <t>Não</t>
        </is>
      </c>
      <c r="M736" s="7" t="inlineStr">
        <is>
          <t>Sim</t>
        </is>
      </c>
      <c r="N736" s="7" t="inlineStr">
        <is>
          <t>Sim</t>
        </is>
      </c>
      <c r="O736" s="7" t="inlineStr">
        <is>
          <t>Sim</t>
        </is>
      </c>
      <c r="P736" s="16" t="inlineStr">
        <is>
          <t>1-3 meses detenção + multa. Crime de reter além do tempo estritamente necessário documento de identificação pessoal</t>
        </is>
      </c>
    </row>
    <row r="737">
      <c r="A737" s="7" t="inlineStr">
        <is>
          <t>Lei 7.802/89</t>
        </is>
      </c>
      <c r="B737" s="7" t="inlineStr">
        <is>
          <t>Art. 15</t>
        </is>
      </c>
      <c r="C737" s="16" t="inlineStr">
        <is>
          <t>Produzir/comercializar/transportar/aplicar/prestar serviço na aplicação/dar destinação final a agrotóxicos em desacordo com a lei</t>
        </is>
      </c>
      <c r="D737" s="7" t="n">
        <v>24</v>
      </c>
      <c r="E737" s="7" t="n">
        <v>48</v>
      </c>
      <c r="F737" s="7" t="inlineStr">
        <is>
          <t>Reclusão</t>
        </is>
      </c>
      <c r="G737" s="7" t="inlineStr">
        <is>
          <t>Pública Incondicionada</t>
        </is>
      </c>
      <c r="H737" s="7" t="inlineStr">
        <is>
          <t>Não</t>
        </is>
      </c>
      <c r="I737" s="7" t="inlineStr">
        <is>
          <t>Doloso</t>
        </is>
      </c>
      <c r="J737" s="7" t="inlineStr">
        <is>
          <t>Sim</t>
        </is>
      </c>
      <c r="K737" s="7" t="inlineStr">
        <is>
          <t>Não</t>
        </is>
      </c>
      <c r="L737" s="7" t="inlineStr">
        <is>
          <t>Não</t>
        </is>
      </c>
      <c r="M737" s="7" t="inlineStr">
        <is>
          <t>Sim</t>
        </is>
      </c>
      <c r="N737" s="7" t="inlineStr">
        <is>
          <t>Não</t>
        </is>
      </c>
      <c r="O737" s="7" t="inlineStr">
        <is>
          <t>Sim</t>
        </is>
      </c>
      <c r="P737" s="16" t="inlineStr">
        <is>
          <t>2-4 anos reclusão + multa</t>
        </is>
      </c>
    </row>
    <row r="738">
      <c r="A738" s="7" t="inlineStr">
        <is>
          <t>Lei 7.802/89</t>
        </is>
      </c>
      <c r="B738" s="7" t="inlineStr">
        <is>
          <t>Art. 16</t>
        </is>
      </c>
      <c r="C738" s="16" t="inlineStr">
        <is>
          <t>Empregar agrotóxico que cause dano à saúde das pessoas e ao meio ambiente (modalidade culposa)</t>
        </is>
      </c>
      <c r="D738" s="7" t="n">
        <v>12</v>
      </c>
      <c r="E738" s="7" t="n">
        <v>36</v>
      </c>
      <c r="F738" s="7" t="inlineStr">
        <is>
          <t>Reclusão</t>
        </is>
      </c>
      <c r="G738" s="7" t="inlineStr">
        <is>
          <t>Pública Incondicionada</t>
        </is>
      </c>
      <c r="H738" s="7" t="inlineStr">
        <is>
          <t>Não</t>
        </is>
      </c>
      <c r="I738" s="7" t="inlineStr">
        <is>
          <t>Culposo</t>
        </is>
      </c>
      <c r="J738" s="7" t="inlineStr">
        <is>
          <t>Não</t>
        </is>
      </c>
      <c r="K738" s="7" t="inlineStr">
        <is>
          <t>Não</t>
        </is>
      </c>
      <c r="L738" s="7" t="inlineStr">
        <is>
          <t>Não</t>
        </is>
      </c>
      <c r="M738" s="7" t="inlineStr">
        <is>
          <t>Sim</t>
        </is>
      </c>
      <c r="N738" s="7" t="inlineStr">
        <is>
          <t>Sim</t>
        </is>
      </c>
      <c r="O738" s="7" t="inlineStr">
        <is>
          <t>Sim</t>
        </is>
      </c>
      <c r="P738" s="16" t="inlineStr">
        <is>
          <t>1-3 anos reclusão + multa. Forma culposa</t>
        </is>
      </c>
    </row>
    <row r="739">
      <c r="A739" s="7" t="inlineStr">
        <is>
          <t>Lei 6.766/79</t>
        </is>
      </c>
      <c r="B739" s="7" t="inlineStr">
        <is>
          <t>Art. 50, I</t>
        </is>
      </c>
      <c r="C739" s="16" t="inlineStr">
        <is>
          <t>Dar início a loteamento ou desmembramento sem autorização ou em desacordo com a lei</t>
        </is>
      </c>
      <c r="D739" s="7" t="n">
        <v>12</v>
      </c>
      <c r="E739" s="7" t="n">
        <v>60</v>
      </c>
      <c r="F739" s="7" t="inlineStr">
        <is>
          <t>Reclusão</t>
        </is>
      </c>
      <c r="G739" s="7" t="inlineStr">
        <is>
          <t>Pública Incondicionada</t>
        </is>
      </c>
      <c r="H739" s="7" t="inlineStr">
        <is>
          <t>Não</t>
        </is>
      </c>
      <c r="I739" s="7" t="inlineStr">
        <is>
          <t>Doloso</t>
        </is>
      </c>
      <c r="J739" s="7" t="inlineStr">
        <is>
          <t>Sim</t>
        </is>
      </c>
      <c r="K739" s="7" t="inlineStr">
        <is>
          <t>Não</t>
        </is>
      </c>
      <c r="L739" s="7" t="inlineStr">
        <is>
          <t>Não</t>
        </is>
      </c>
      <c r="M739" s="7" t="inlineStr">
        <is>
          <t>Sim</t>
        </is>
      </c>
      <c r="N739" s="7" t="inlineStr">
        <is>
          <t>Sim</t>
        </is>
      </c>
      <c r="O739" s="7" t="inlineStr">
        <is>
          <t>Sim</t>
        </is>
      </c>
      <c r="P739" s="16" t="inlineStr">
        <is>
          <t>1-5 anos reclusão + multa. Crime urbanístico</t>
        </is>
      </c>
    </row>
    <row r="740">
      <c r="A740" s="7" t="inlineStr">
        <is>
          <t>Lei 6.766/79</t>
        </is>
      </c>
      <c r="B740" s="7" t="inlineStr">
        <is>
          <t>Art. 50, II</t>
        </is>
      </c>
      <c r="C740" s="16" t="inlineStr">
        <is>
          <t>Vender ou prometer vender lote em loteamento não registrado no Registro de Imóveis</t>
        </is>
      </c>
      <c r="D740" s="7" t="n">
        <v>12</v>
      </c>
      <c r="E740" s="7" t="n">
        <v>60</v>
      </c>
      <c r="F740" s="7" t="inlineStr">
        <is>
          <t>Reclusão</t>
        </is>
      </c>
      <c r="G740" s="7" t="inlineStr">
        <is>
          <t>Pública Incondicionada</t>
        </is>
      </c>
      <c r="H740" s="7" t="inlineStr">
        <is>
          <t>Não</t>
        </is>
      </c>
      <c r="I740" s="7" t="inlineStr">
        <is>
          <t>Doloso</t>
        </is>
      </c>
      <c r="J740" s="7" t="inlineStr">
        <is>
          <t>Sim</t>
        </is>
      </c>
      <c r="K740" s="7" t="inlineStr">
        <is>
          <t>Não</t>
        </is>
      </c>
      <c r="L740" s="7" t="inlineStr">
        <is>
          <t>Não</t>
        </is>
      </c>
      <c r="M740" s="7" t="inlineStr">
        <is>
          <t>Sim</t>
        </is>
      </c>
      <c r="N740" s="7" t="inlineStr">
        <is>
          <t>Sim</t>
        </is>
      </c>
      <c r="O740" s="7" t="inlineStr">
        <is>
          <t>Sim</t>
        </is>
      </c>
      <c r="P740" s="16" t="inlineStr">
        <is>
          <t>1-5 anos reclusão + multa</t>
        </is>
      </c>
    </row>
    <row r="741">
      <c r="A741" s="7" t="inlineStr">
        <is>
          <t>Lei 6.766/79</t>
        </is>
      </c>
      <c r="B741" s="7" t="inlineStr">
        <is>
          <t>Art. 50, III</t>
        </is>
      </c>
      <c r="C741" s="16" t="inlineStr">
        <is>
          <t>Fazer ou veicular propaganda de loteamento/desmembramento com informações falsas</t>
        </is>
      </c>
      <c r="D741" s="7" t="n">
        <v>12</v>
      </c>
      <c r="E741" s="7" t="n">
        <v>60</v>
      </c>
      <c r="F741" s="7" t="inlineStr">
        <is>
          <t>Reclusão</t>
        </is>
      </c>
      <c r="G741" s="7" t="inlineStr">
        <is>
          <t>Pública Incondicionada</t>
        </is>
      </c>
      <c r="H741" s="7" t="inlineStr">
        <is>
          <t>Não</t>
        </is>
      </c>
      <c r="I741" s="7" t="inlineStr">
        <is>
          <t>Doloso</t>
        </is>
      </c>
      <c r="J741" s="7" t="inlineStr">
        <is>
          <t>Sim</t>
        </is>
      </c>
      <c r="K741" s="7" t="inlineStr">
        <is>
          <t>Não</t>
        </is>
      </c>
      <c r="L741" s="7" t="inlineStr">
        <is>
          <t>Não</t>
        </is>
      </c>
      <c r="M741" s="7" t="inlineStr">
        <is>
          <t>Sim</t>
        </is>
      </c>
      <c r="N741" s="7" t="inlineStr">
        <is>
          <t>Sim</t>
        </is>
      </c>
      <c r="O741" s="7" t="inlineStr">
        <is>
          <t>Sim</t>
        </is>
      </c>
      <c r="P741" s="16" t="inlineStr">
        <is>
          <t>1-5 anos reclusão + multa</t>
        </is>
      </c>
    </row>
    <row r="742">
      <c r="A742" s="17" t="inlineStr">
        <is>
          <t>ECA</t>
        </is>
      </c>
      <c r="B742" s="17" t="inlineStr">
        <is>
          <t>Art. 244-A</t>
        </is>
      </c>
      <c r="C742" s="18" t="inlineStr">
        <is>
          <t>Submeter criança ou adolescente a prostituição ou exploração sexual</t>
        </is>
      </c>
      <c r="D742" s="17" t="n">
        <v>48</v>
      </c>
      <c r="E742" s="17" t="n">
        <v>120</v>
      </c>
      <c r="F742" s="17" t="inlineStr">
        <is>
          <t>Reclusão</t>
        </is>
      </c>
      <c r="G742" s="17" t="inlineStr">
        <is>
          <t>Pública Incondicionada</t>
        </is>
      </c>
      <c r="H742" s="17" t="inlineStr">
        <is>
          <t>Sim</t>
        </is>
      </c>
      <c r="I742" s="17" t="inlineStr">
        <is>
          <t>Doloso</t>
        </is>
      </c>
      <c r="J742" s="17" t="inlineStr">
        <is>
          <t>Sim</t>
        </is>
      </c>
      <c r="K742" s="17" t="inlineStr">
        <is>
          <t>Não</t>
        </is>
      </c>
      <c r="L742" s="17" t="inlineStr">
        <is>
          <t>Não</t>
        </is>
      </c>
      <c r="M742" s="17" t="inlineStr">
        <is>
          <t>Não</t>
        </is>
      </c>
      <c r="N742" s="17" t="inlineStr">
        <is>
          <t>Não</t>
        </is>
      </c>
      <c r="O742" s="17" t="inlineStr">
        <is>
          <t>Verificar</t>
        </is>
      </c>
      <c r="P742" s="18" t="inlineStr">
        <is>
          <t>4-10 anos reclusão + multa. HEDIONDO. §1º: incorre nas mesmas penas o proprietário/gerente/responsável do local</t>
        </is>
      </c>
    </row>
    <row r="743">
      <c r="A743" s="7" t="inlineStr">
        <is>
          <t>ECA</t>
        </is>
      </c>
      <c r="B743" s="7" t="inlineStr">
        <is>
          <t>Art. 244-B, §2º</t>
        </is>
      </c>
      <c r="C743" s="16" t="inlineStr">
        <is>
          <t>Corrupção de menor de 14 anos (forma majorada)</t>
        </is>
      </c>
      <c r="D743" s="7" t="n">
        <v>12</v>
      </c>
      <c r="E743" s="7" t="n">
        <v>48</v>
      </c>
      <c r="F743" s="7" t="inlineStr">
        <is>
          <t>Reclusão</t>
        </is>
      </c>
      <c r="G743" s="7" t="inlineStr">
        <is>
          <t>Pública Incondicionada</t>
        </is>
      </c>
      <c r="H743" s="7" t="inlineStr">
        <is>
          <t>Não</t>
        </is>
      </c>
      <c r="I743" s="7" t="inlineStr">
        <is>
          <t>Doloso</t>
        </is>
      </c>
      <c r="J743" s="7" t="inlineStr">
        <is>
          <t>Sim</t>
        </is>
      </c>
      <c r="K743" s="7" t="inlineStr">
        <is>
          <t>Não</t>
        </is>
      </c>
      <c r="L743" s="7" t="inlineStr">
        <is>
          <t>Não</t>
        </is>
      </c>
      <c r="M743" s="7" t="inlineStr">
        <is>
          <t>Sim</t>
        </is>
      </c>
      <c r="N743" s="7" t="inlineStr">
        <is>
          <t>Sim</t>
        </is>
      </c>
      <c r="O743" s="7" t="inlineStr">
        <is>
          <t>Sim</t>
        </is>
      </c>
      <c r="P743" s="16" t="inlineStr">
        <is>
          <t>1-4 anos reclusão + aumento de 1/3 por ser contra menor de 14</t>
        </is>
      </c>
    </row>
    <row r="744">
      <c r="A744" s="7" t="inlineStr">
        <is>
          <t>ECA</t>
        </is>
      </c>
      <c r="B744" s="7" t="inlineStr">
        <is>
          <t>Art. 232</t>
        </is>
      </c>
      <c r="C744" s="16" t="inlineStr">
        <is>
          <t>Submeter criança/adolescente a vexame ou constrangimento (inclusive por parte de autoridade)</t>
        </is>
      </c>
      <c r="D744" s="7" t="n">
        <v>6</v>
      </c>
      <c r="E744" s="7" t="n">
        <v>24</v>
      </c>
      <c r="F744" s="7" t="inlineStr">
        <is>
          <t>Detenção</t>
        </is>
      </c>
      <c r="G744" s="7" t="inlineStr">
        <is>
          <t>Pública Incondicionada</t>
        </is>
      </c>
      <c r="H744" s="7" t="inlineStr">
        <is>
          <t>Não</t>
        </is>
      </c>
      <c r="I744" s="7" t="inlineStr">
        <is>
          <t>Doloso</t>
        </is>
      </c>
      <c r="J744" s="7" t="inlineStr">
        <is>
          <t>Sim</t>
        </is>
      </c>
      <c r="K744" s="7" t="inlineStr">
        <is>
          <t>Não</t>
        </is>
      </c>
      <c r="L744" s="7" t="inlineStr">
        <is>
          <t>Não</t>
        </is>
      </c>
      <c r="M744" s="7" t="inlineStr">
        <is>
          <t>Sim</t>
        </is>
      </c>
      <c r="N744" s="7" t="inlineStr">
        <is>
          <t>Sim</t>
        </is>
      </c>
      <c r="O744" s="7" t="inlineStr">
        <is>
          <t>Sim</t>
        </is>
      </c>
      <c r="P744" s="16" t="inlineStr">
        <is>
          <t>6 meses a 2 anos detenção</t>
        </is>
      </c>
    </row>
    <row r="745">
      <c r="A745" s="17" t="inlineStr">
        <is>
          <t>ECA</t>
        </is>
      </c>
      <c r="B745" s="17" t="inlineStr">
        <is>
          <t>Art. 233</t>
        </is>
      </c>
      <c r="C745" s="18" t="inlineStr">
        <is>
          <t>Submeter criança/adolescente sob guarda/vigilância a tortura</t>
        </is>
      </c>
      <c r="D745" s="17" t="n">
        <v>12</v>
      </c>
      <c r="E745" s="17" t="n">
        <v>60</v>
      </c>
      <c r="F745" s="17" t="inlineStr">
        <is>
          <t>Reclusão</t>
        </is>
      </c>
      <c r="G745" s="17" t="inlineStr">
        <is>
          <t>Pública Incondicionada</t>
        </is>
      </c>
      <c r="H745" s="17" t="inlineStr">
        <is>
          <t>Sim</t>
        </is>
      </c>
      <c r="I745" s="17" t="inlineStr">
        <is>
          <t>Doloso</t>
        </is>
      </c>
      <c r="J745" s="17" t="inlineStr">
        <is>
          <t>Sim</t>
        </is>
      </c>
      <c r="K745" s="17" t="inlineStr">
        <is>
          <t>Sim</t>
        </is>
      </c>
      <c r="L745" s="17" t="inlineStr">
        <is>
          <t>Sim</t>
        </is>
      </c>
      <c r="M745" s="17" t="inlineStr">
        <is>
          <t>Não</t>
        </is>
      </c>
      <c r="N745" s="17" t="inlineStr">
        <is>
          <t>Sim</t>
        </is>
      </c>
      <c r="O745" s="17" t="inlineStr">
        <is>
          <t>Sim</t>
        </is>
      </c>
      <c r="P745" s="18" t="inlineStr">
        <is>
          <t>1-5 anos reclusão. HEDIONDO (equiparado a tortura). Revogado parcialmente pela Lei 9.455/97 (Lei de Tortura), que é norma geral. Aplicável subsidiariamente</t>
        </is>
      </c>
    </row>
    <row r="746">
      <c r="A746" s="7" t="inlineStr">
        <is>
          <t>ECA</t>
        </is>
      </c>
      <c r="B746" s="7" t="inlineStr">
        <is>
          <t>Art. 234</t>
        </is>
      </c>
      <c r="C746" s="16" t="inlineStr">
        <is>
          <t>Impedir ou embaraçar a ação de autoridade judiciária, membro do Conselho Tutelar ou representante do MP no exercício da função de proteção à criança/adolescente</t>
        </is>
      </c>
      <c r="D746" s="7" t="n">
        <v>6</v>
      </c>
      <c r="E746" s="7" t="n">
        <v>24</v>
      </c>
      <c r="F746" s="7" t="inlineStr">
        <is>
          <t>Detenção</t>
        </is>
      </c>
      <c r="G746" s="7" t="inlineStr">
        <is>
          <t>Pública Incondicionada</t>
        </is>
      </c>
      <c r="H746" s="7" t="inlineStr">
        <is>
          <t>Não</t>
        </is>
      </c>
      <c r="I746" s="7" t="inlineStr">
        <is>
          <t>Doloso</t>
        </is>
      </c>
      <c r="J746" s="7" t="inlineStr">
        <is>
          <t>Sim</t>
        </is>
      </c>
      <c r="K746" s="7" t="inlineStr">
        <is>
          <t>Não</t>
        </is>
      </c>
      <c r="L746" s="7" t="inlineStr">
        <is>
          <t>Não</t>
        </is>
      </c>
      <c r="M746" s="7" t="inlineStr">
        <is>
          <t>Sim</t>
        </is>
      </c>
      <c r="N746" s="7" t="inlineStr">
        <is>
          <t>Sim</t>
        </is>
      </c>
      <c r="O746" s="7" t="inlineStr">
        <is>
          <t>Sim</t>
        </is>
      </c>
      <c r="P746" s="16" t="inlineStr">
        <is>
          <t>6 meses a 2 anos detenção</t>
        </is>
      </c>
    </row>
    <row r="747">
      <c r="A747" s="7" t="inlineStr">
        <is>
          <t>ECA</t>
        </is>
      </c>
      <c r="B747" s="7" t="inlineStr">
        <is>
          <t>Art. 235</t>
        </is>
      </c>
      <c r="C747" s="16" t="inlineStr">
        <is>
          <t>Descumprir injustificadamente prazo fixado em prol de criança/adolescente (autoridade competente)</t>
        </is>
      </c>
      <c r="D747" s="7" t="n">
        <v>6</v>
      </c>
      <c r="E747" s="7" t="n">
        <v>24</v>
      </c>
      <c r="F747" s="7" t="inlineStr">
        <is>
          <t>Detenção</t>
        </is>
      </c>
      <c r="G747" s="7" t="inlineStr">
        <is>
          <t>Pública Incondicionada</t>
        </is>
      </c>
      <c r="H747" s="7" t="inlineStr">
        <is>
          <t>Não</t>
        </is>
      </c>
      <c r="I747" s="7" t="inlineStr">
        <is>
          <t>Doloso</t>
        </is>
      </c>
      <c r="J747" s="7" t="inlineStr">
        <is>
          <t>Sim</t>
        </is>
      </c>
      <c r="K747" s="7" t="inlineStr">
        <is>
          <t>Não</t>
        </is>
      </c>
      <c r="L747" s="7" t="inlineStr">
        <is>
          <t>Não</t>
        </is>
      </c>
      <c r="M747" s="7" t="inlineStr">
        <is>
          <t>Sim</t>
        </is>
      </c>
      <c r="N747" s="7" t="inlineStr">
        <is>
          <t>Sim</t>
        </is>
      </c>
      <c r="O747" s="7" t="inlineStr">
        <is>
          <t>Sim</t>
        </is>
      </c>
      <c r="P747" s="16" t="inlineStr">
        <is>
          <t>6 meses a 2 anos detenção</t>
        </is>
      </c>
    </row>
    <row r="748">
      <c r="A748" s="7" t="inlineStr">
        <is>
          <t>ECA</t>
        </is>
      </c>
      <c r="B748" s="7" t="inlineStr">
        <is>
          <t>Art. 236</t>
        </is>
      </c>
      <c r="C748" s="16" t="inlineStr">
        <is>
          <t>Impedir ou embaraçar a ação de autoridade no exercício de função protetiva em estabelecimento de ensino</t>
        </is>
      </c>
      <c r="D748" s="7" t="n">
        <v>6</v>
      </c>
      <c r="E748" s="7" t="n">
        <v>24</v>
      </c>
      <c r="F748" s="7" t="inlineStr">
        <is>
          <t>Detenção</t>
        </is>
      </c>
      <c r="G748" s="7" t="inlineStr">
        <is>
          <t>Pública Incondicionada</t>
        </is>
      </c>
      <c r="H748" s="7" t="inlineStr">
        <is>
          <t>Não</t>
        </is>
      </c>
      <c r="I748" s="7" t="inlineStr">
        <is>
          <t>Doloso</t>
        </is>
      </c>
      <c r="J748" s="7" t="inlineStr">
        <is>
          <t>Sim</t>
        </is>
      </c>
      <c r="K748" s="7" t="inlineStr">
        <is>
          <t>Não</t>
        </is>
      </c>
      <c r="L748" s="7" t="inlineStr">
        <is>
          <t>Não</t>
        </is>
      </c>
      <c r="M748" s="7" t="inlineStr">
        <is>
          <t>Sim</t>
        </is>
      </c>
      <c r="N748" s="7" t="inlineStr">
        <is>
          <t>Sim</t>
        </is>
      </c>
      <c r="O748" s="7" t="inlineStr">
        <is>
          <t>Sim</t>
        </is>
      </c>
      <c r="P748" s="16" t="inlineStr">
        <is>
          <t>6 meses a 2 anos detenção</t>
        </is>
      </c>
    </row>
    <row r="749">
      <c r="A749" s="7" t="inlineStr">
        <is>
          <t>ECA</t>
        </is>
      </c>
      <c r="B749" s="7" t="inlineStr">
        <is>
          <t>Art. 237</t>
        </is>
      </c>
      <c r="C749" s="16" t="inlineStr">
        <is>
          <t>Subtrair criança ou adolescente ao poder de quem o tem sob sua guarda por ordem/decisão judicial</t>
        </is>
      </c>
      <c r="D749" s="7" t="n">
        <v>24</v>
      </c>
      <c r="E749" s="7" t="n">
        <v>72</v>
      </c>
      <c r="F749" s="7" t="inlineStr">
        <is>
          <t>Reclusão</t>
        </is>
      </c>
      <c r="G749" s="7" t="inlineStr">
        <is>
          <t>Pública Incondicionada</t>
        </is>
      </c>
      <c r="H749" s="7" t="inlineStr">
        <is>
          <t>Não</t>
        </is>
      </c>
      <c r="I749" s="7" t="inlineStr">
        <is>
          <t>Doloso</t>
        </is>
      </c>
      <c r="J749" s="7" t="inlineStr">
        <is>
          <t>Sim</t>
        </is>
      </c>
      <c r="K749" s="7" t="inlineStr">
        <is>
          <t>Não</t>
        </is>
      </c>
      <c r="L749" s="7" t="inlineStr">
        <is>
          <t>Não</t>
        </is>
      </c>
      <c r="M749" s="7" t="inlineStr">
        <is>
          <t>Sim</t>
        </is>
      </c>
      <c r="N749" s="7" t="inlineStr">
        <is>
          <t>Não</t>
        </is>
      </c>
      <c r="O749" s="7" t="inlineStr">
        <is>
          <t>Sim</t>
        </is>
      </c>
      <c r="P749" s="16" t="inlineStr">
        <is>
          <t>2-6 anos reclusão + multa</t>
        </is>
      </c>
    </row>
    <row r="750">
      <c r="A750" s="7" t="inlineStr">
        <is>
          <t>ECA</t>
        </is>
      </c>
      <c r="B750" s="7" t="inlineStr">
        <is>
          <t>Art. 238</t>
        </is>
      </c>
      <c r="C750" s="16" t="inlineStr">
        <is>
          <t>Prometer/efetivar entrega de filho/pupilo a terceiro, sem formalidades legais, mediante paga ou recompensa</t>
        </is>
      </c>
      <c r="D750" s="7" t="n">
        <v>12</v>
      </c>
      <c r="E750" s="7" t="n">
        <v>48</v>
      </c>
      <c r="F750" s="7" t="inlineStr">
        <is>
          <t>Reclusão</t>
        </is>
      </c>
      <c r="G750" s="7" t="inlineStr">
        <is>
          <t>Pública Incondicionada</t>
        </is>
      </c>
      <c r="H750" s="7" t="inlineStr">
        <is>
          <t>Não</t>
        </is>
      </c>
      <c r="I750" s="7" t="inlineStr">
        <is>
          <t>Doloso</t>
        </is>
      </c>
      <c r="J750" s="7" t="inlineStr">
        <is>
          <t>Sim</t>
        </is>
      </c>
      <c r="K750" s="7" t="inlineStr">
        <is>
          <t>Não</t>
        </is>
      </c>
      <c r="L750" s="7" t="inlineStr">
        <is>
          <t>Não</t>
        </is>
      </c>
      <c r="M750" s="7" t="inlineStr">
        <is>
          <t>Sim</t>
        </is>
      </c>
      <c r="N750" s="7" t="inlineStr">
        <is>
          <t>Sim</t>
        </is>
      </c>
      <c r="O750" s="7" t="inlineStr">
        <is>
          <t>Sim</t>
        </is>
      </c>
      <c r="P750" s="16" t="inlineStr">
        <is>
          <t>1-4 anos reclusão + multa. Venda de criança</t>
        </is>
      </c>
    </row>
    <row r="751">
      <c r="A751" s="7" t="inlineStr">
        <is>
          <t>ECA</t>
        </is>
      </c>
      <c r="B751" s="7" t="inlineStr">
        <is>
          <t>Art. 239</t>
        </is>
      </c>
      <c r="C751" s="16" t="inlineStr">
        <is>
          <t>Promover ou auxiliar o envio de criança/adolescente ao exterior em desacordo com a lei</t>
        </is>
      </c>
      <c r="D751" s="7" t="n">
        <v>48</v>
      </c>
      <c r="E751" s="7" t="n">
        <v>72</v>
      </c>
      <c r="F751" s="7" t="inlineStr">
        <is>
          <t>Reclusão</t>
        </is>
      </c>
      <c r="G751" s="7" t="inlineStr">
        <is>
          <t>Pública Incondicionada</t>
        </is>
      </c>
      <c r="H751" s="7" t="inlineStr">
        <is>
          <t>Não</t>
        </is>
      </c>
      <c r="I751" s="7" t="inlineStr">
        <is>
          <t>Doloso</t>
        </is>
      </c>
      <c r="J751" s="7" t="inlineStr">
        <is>
          <t>Sim</t>
        </is>
      </c>
      <c r="K751" s="7" t="inlineStr">
        <is>
          <t>Não</t>
        </is>
      </c>
      <c r="L751" s="7" t="inlineStr">
        <is>
          <t>Não</t>
        </is>
      </c>
      <c r="M751" s="7" t="inlineStr">
        <is>
          <t>Não</t>
        </is>
      </c>
      <c r="N751" s="7" t="inlineStr">
        <is>
          <t>Não</t>
        </is>
      </c>
      <c r="O751" s="7" t="inlineStr">
        <is>
          <t>Verificar</t>
        </is>
      </c>
      <c r="P751" s="16" t="inlineStr">
        <is>
          <t>4-6 anos reclusão + multa. §único: se com fito de lucro: aumento de 1/3</t>
        </is>
      </c>
    </row>
    <row r="752">
      <c r="A752" s="17" t="inlineStr">
        <is>
          <t>ECA</t>
        </is>
      </c>
      <c r="B752" s="17" t="inlineStr">
        <is>
          <t>Art. 240</t>
        </is>
      </c>
      <c r="C752" s="18" t="inlineStr">
        <is>
          <t>Produzir/reproduzir/dirigir/fotografar/filmar cena de sexo explícito ou pornográfica envolvendo criança/adolescente</t>
        </is>
      </c>
      <c r="D752" s="17" t="n">
        <v>48</v>
      </c>
      <c r="E752" s="17" t="n">
        <v>96</v>
      </c>
      <c r="F752" s="17" t="inlineStr">
        <is>
          <t>Reclusão</t>
        </is>
      </c>
      <c r="G752" s="17" t="inlineStr">
        <is>
          <t>Pública Incondicionada</t>
        </is>
      </c>
      <c r="H752" s="17" t="inlineStr">
        <is>
          <t>Sim</t>
        </is>
      </c>
      <c r="I752" s="17" t="inlineStr">
        <is>
          <t>Doloso</t>
        </is>
      </c>
      <c r="J752" s="17" t="inlineStr">
        <is>
          <t>Sim</t>
        </is>
      </c>
      <c r="K752" s="17" t="inlineStr">
        <is>
          <t>Não</t>
        </is>
      </c>
      <c r="L752" s="17" t="inlineStr">
        <is>
          <t>Não</t>
        </is>
      </c>
      <c r="M752" s="17" t="inlineStr">
        <is>
          <t>Não</t>
        </is>
      </c>
      <c r="N752" s="17" t="inlineStr">
        <is>
          <t>Não</t>
        </is>
      </c>
      <c r="O752" s="17" t="inlineStr">
        <is>
          <t>Verificar</t>
        </is>
      </c>
      <c r="P752" s="18" t="inlineStr">
        <is>
          <t>4-8 anos reclusão + multa. HEDIONDO. §1º: aumento de 1/3 se agente se prevalecer de relações de autoridade</t>
        </is>
      </c>
    </row>
    <row r="753">
      <c r="A753" s="7" t="inlineStr">
        <is>
          <t>Lei 8.137/90</t>
        </is>
      </c>
      <c r="B753" s="7" t="inlineStr">
        <is>
          <t>Art. 1º, I</t>
        </is>
      </c>
      <c r="C753" s="16" t="inlineStr">
        <is>
          <t>Suprimir/reduzir tributo — omitir informação ou prestar declaração falsa às autoridades fazendárias</t>
        </is>
      </c>
      <c r="D753" s="7" t="n">
        <v>24</v>
      </c>
      <c r="E753" s="7" t="n">
        <v>60</v>
      </c>
      <c r="F753" s="7" t="inlineStr">
        <is>
          <t>Reclusão</t>
        </is>
      </c>
      <c r="G753" s="7" t="inlineStr">
        <is>
          <t>Pública Incondicionada</t>
        </is>
      </c>
      <c r="H753" s="7" t="inlineStr">
        <is>
          <t>Não</t>
        </is>
      </c>
      <c r="I753" s="7" t="inlineStr">
        <is>
          <t>Doloso</t>
        </is>
      </c>
      <c r="J753" s="7" t="inlineStr">
        <is>
          <t>Sim</t>
        </is>
      </c>
      <c r="K753" s="7" t="inlineStr">
        <is>
          <t>Não</t>
        </is>
      </c>
      <c r="L753" s="7" t="inlineStr">
        <is>
          <t>Não</t>
        </is>
      </c>
      <c r="M753" s="7" t="inlineStr">
        <is>
          <t>Sim</t>
        </is>
      </c>
      <c r="N753" s="7" t="inlineStr">
        <is>
          <t>Não</t>
        </is>
      </c>
      <c r="O753" s="7" t="inlineStr">
        <is>
          <t>Sim</t>
        </is>
      </c>
      <c r="P753" s="16" t="inlineStr">
        <is>
          <t>2-5 anos reclusão + multa. Sonegação fiscal por declaração falsa</t>
        </is>
      </c>
    </row>
    <row r="754">
      <c r="A754" s="7" t="inlineStr">
        <is>
          <t>Lei 8.137/90</t>
        </is>
      </c>
      <c r="B754" s="7" t="inlineStr">
        <is>
          <t>Art. 1º, II</t>
        </is>
      </c>
      <c r="C754" s="16" t="inlineStr">
        <is>
          <t>Suprimir/reduzir tributo — fraudar a fiscalização tributária (inserir elemento inexato/omitir operação)</t>
        </is>
      </c>
      <c r="D754" s="7" t="n">
        <v>24</v>
      </c>
      <c r="E754" s="7" t="n">
        <v>60</v>
      </c>
      <c r="F754" s="7" t="inlineStr">
        <is>
          <t>Reclusão</t>
        </is>
      </c>
      <c r="G754" s="7" t="inlineStr">
        <is>
          <t>Pública Incondicionada</t>
        </is>
      </c>
      <c r="H754" s="7" t="inlineStr">
        <is>
          <t>Não</t>
        </is>
      </c>
      <c r="I754" s="7" t="inlineStr">
        <is>
          <t>Doloso</t>
        </is>
      </c>
      <c r="J754" s="7" t="inlineStr">
        <is>
          <t>Sim</t>
        </is>
      </c>
      <c r="K754" s="7" t="inlineStr">
        <is>
          <t>Não</t>
        </is>
      </c>
      <c r="L754" s="7" t="inlineStr">
        <is>
          <t>Não</t>
        </is>
      </c>
      <c r="M754" s="7" t="inlineStr">
        <is>
          <t>Sim</t>
        </is>
      </c>
      <c r="N754" s="7" t="inlineStr">
        <is>
          <t>Não</t>
        </is>
      </c>
      <c r="O754" s="7" t="inlineStr">
        <is>
          <t>Sim</t>
        </is>
      </c>
      <c r="P754" s="16" t="inlineStr">
        <is>
          <t>2-5 anos reclusão + multa</t>
        </is>
      </c>
    </row>
    <row r="755">
      <c r="A755" s="7" t="inlineStr">
        <is>
          <t>Lei 8.137/90</t>
        </is>
      </c>
      <c r="B755" s="7" t="inlineStr">
        <is>
          <t>Art. 1º, III</t>
        </is>
      </c>
      <c r="C755" s="16" t="inlineStr">
        <is>
          <t>Suprimir/reduzir tributo — falsificar/alterar nota fiscal, fatura, duplicata</t>
        </is>
      </c>
      <c r="D755" s="7" t="n">
        <v>24</v>
      </c>
      <c r="E755" s="7" t="n">
        <v>60</v>
      </c>
      <c r="F755" s="7" t="inlineStr">
        <is>
          <t>Reclusão</t>
        </is>
      </c>
      <c r="G755" s="7" t="inlineStr">
        <is>
          <t>Pública Incondicionada</t>
        </is>
      </c>
      <c r="H755" s="7" t="inlineStr">
        <is>
          <t>Não</t>
        </is>
      </c>
      <c r="I755" s="7" t="inlineStr">
        <is>
          <t>Doloso</t>
        </is>
      </c>
      <c r="J755" s="7" t="inlineStr">
        <is>
          <t>Sim</t>
        </is>
      </c>
      <c r="K755" s="7" t="inlineStr">
        <is>
          <t>Não</t>
        </is>
      </c>
      <c r="L755" s="7" t="inlineStr">
        <is>
          <t>Não</t>
        </is>
      </c>
      <c r="M755" s="7" t="inlineStr">
        <is>
          <t>Sim</t>
        </is>
      </c>
      <c r="N755" s="7" t="inlineStr">
        <is>
          <t>Não</t>
        </is>
      </c>
      <c r="O755" s="7" t="inlineStr">
        <is>
          <t>Sim</t>
        </is>
      </c>
      <c r="P755" s="16" t="inlineStr">
        <is>
          <t>2-5 anos reclusão + multa</t>
        </is>
      </c>
    </row>
    <row r="756">
      <c r="A756" s="7" t="inlineStr">
        <is>
          <t>Lei 8.137/90</t>
        </is>
      </c>
      <c r="B756" s="7" t="inlineStr">
        <is>
          <t>Art. 1º, IV</t>
        </is>
      </c>
      <c r="C756" s="16" t="inlineStr">
        <is>
          <t>Suprimir/reduzir tributo — elaborar/distribuir/fornecer/emitir/utilizar documento falso ou inexato</t>
        </is>
      </c>
      <c r="D756" s="7" t="n">
        <v>24</v>
      </c>
      <c r="E756" s="7" t="n">
        <v>60</v>
      </c>
      <c r="F756" s="7" t="inlineStr">
        <is>
          <t>Reclusão</t>
        </is>
      </c>
      <c r="G756" s="7" t="inlineStr">
        <is>
          <t>Pública Incondicionada</t>
        </is>
      </c>
      <c r="H756" s="7" t="inlineStr">
        <is>
          <t>Não</t>
        </is>
      </c>
      <c r="I756" s="7" t="inlineStr">
        <is>
          <t>Doloso</t>
        </is>
      </c>
      <c r="J756" s="7" t="inlineStr">
        <is>
          <t>Sim</t>
        </is>
      </c>
      <c r="K756" s="7" t="inlineStr">
        <is>
          <t>Não</t>
        </is>
      </c>
      <c r="L756" s="7" t="inlineStr">
        <is>
          <t>Não</t>
        </is>
      </c>
      <c r="M756" s="7" t="inlineStr">
        <is>
          <t>Sim</t>
        </is>
      </c>
      <c r="N756" s="7" t="inlineStr">
        <is>
          <t>Não</t>
        </is>
      </c>
      <c r="O756" s="7" t="inlineStr">
        <is>
          <t>Sim</t>
        </is>
      </c>
      <c r="P756" s="16" t="inlineStr">
        <is>
          <t>2-5 anos reclusão + multa</t>
        </is>
      </c>
    </row>
    <row r="757">
      <c r="A757" s="7" t="inlineStr">
        <is>
          <t>Lei 8.137/90</t>
        </is>
      </c>
      <c r="B757" s="7" t="inlineStr">
        <is>
          <t>Art. 1º, V</t>
        </is>
      </c>
      <c r="C757" s="16" t="inlineStr">
        <is>
          <t>Suprimir/reduzir tributo — negar/deixar de fornecer nota fiscal ou documento equivalente de venda ou prestação de serviço</t>
        </is>
      </c>
      <c r="D757" s="7" t="n">
        <v>24</v>
      </c>
      <c r="E757" s="7" t="n">
        <v>60</v>
      </c>
      <c r="F757" s="7" t="inlineStr">
        <is>
          <t>Reclusão</t>
        </is>
      </c>
      <c r="G757" s="7" t="inlineStr">
        <is>
          <t>Pública Incondicionada</t>
        </is>
      </c>
      <c r="H757" s="7" t="inlineStr">
        <is>
          <t>Não</t>
        </is>
      </c>
      <c r="I757" s="7" t="inlineStr">
        <is>
          <t>Doloso</t>
        </is>
      </c>
      <c r="J757" s="7" t="inlineStr">
        <is>
          <t>Sim</t>
        </is>
      </c>
      <c r="K757" s="7" t="inlineStr">
        <is>
          <t>Não</t>
        </is>
      </c>
      <c r="L757" s="7" t="inlineStr">
        <is>
          <t>Não</t>
        </is>
      </c>
      <c r="M757" s="7" t="inlineStr">
        <is>
          <t>Sim</t>
        </is>
      </c>
      <c r="N757" s="7" t="inlineStr">
        <is>
          <t>Não</t>
        </is>
      </c>
      <c r="O757" s="7" t="inlineStr">
        <is>
          <t>Sim</t>
        </is>
      </c>
      <c r="P757" s="16" t="inlineStr">
        <is>
          <t>2-5 anos reclusão + multa</t>
        </is>
      </c>
    </row>
    <row r="758">
      <c r="A758" s="7" t="inlineStr">
        <is>
          <t>Lei 8.137/90</t>
        </is>
      </c>
      <c r="B758" s="7" t="inlineStr">
        <is>
          <t>Art. 2º, I</t>
        </is>
      </c>
      <c r="C758" s="16" t="inlineStr">
        <is>
          <t>Fazer declaração falsa ou omitir declaração sobre rendas, bens ou fatos para eximir-se de tributo</t>
        </is>
      </c>
      <c r="D758" s="7" t="n">
        <v>6</v>
      </c>
      <c r="E758" s="7" t="n">
        <v>24</v>
      </c>
      <c r="F758" s="7" t="inlineStr">
        <is>
          <t>Detenção</t>
        </is>
      </c>
      <c r="G758" s="7" t="inlineStr">
        <is>
          <t>Pública Incondicionada</t>
        </is>
      </c>
      <c r="H758" s="7" t="inlineStr">
        <is>
          <t>Não</t>
        </is>
      </c>
      <c r="I758" s="7" t="inlineStr">
        <is>
          <t>Doloso</t>
        </is>
      </c>
      <c r="J758" s="7" t="inlineStr">
        <is>
          <t>Sim</t>
        </is>
      </c>
      <c r="K758" s="7" t="inlineStr">
        <is>
          <t>Não</t>
        </is>
      </c>
      <c r="L758" s="7" t="inlineStr">
        <is>
          <t>Não</t>
        </is>
      </c>
      <c r="M758" s="7" t="inlineStr">
        <is>
          <t>Sim</t>
        </is>
      </c>
      <c r="N758" s="7" t="inlineStr">
        <is>
          <t>Sim</t>
        </is>
      </c>
      <c r="O758" s="7" t="inlineStr">
        <is>
          <t>Sim</t>
        </is>
      </c>
      <c r="P758" s="16" t="inlineStr">
        <is>
          <t>6 meses a 2 anos detenção + multa</t>
        </is>
      </c>
    </row>
    <row r="759">
      <c r="A759" s="7" t="inlineStr">
        <is>
          <t>Lei 8.137/90</t>
        </is>
      </c>
      <c r="B759" s="7" t="inlineStr">
        <is>
          <t>Art. 2º, II</t>
        </is>
      </c>
      <c r="C759" s="16" t="inlineStr">
        <is>
          <t>Deixar de recolher no prazo legal tributo descontado ou cobrado na qualidade de sujeito passivo de obrigação tributária</t>
        </is>
      </c>
      <c r="D759" s="7" t="n">
        <v>6</v>
      </c>
      <c r="E759" s="7" t="n">
        <v>24</v>
      </c>
      <c r="F759" s="7" t="inlineStr">
        <is>
          <t>Detenção</t>
        </is>
      </c>
      <c r="G759" s="7" t="inlineStr">
        <is>
          <t>Pública Incondicionada</t>
        </is>
      </c>
      <c r="H759" s="7" t="inlineStr">
        <is>
          <t>Não</t>
        </is>
      </c>
      <c r="I759" s="7" t="inlineStr">
        <is>
          <t>Doloso</t>
        </is>
      </c>
      <c r="J759" s="7" t="inlineStr">
        <is>
          <t>Sim</t>
        </is>
      </c>
      <c r="K759" s="7" t="inlineStr">
        <is>
          <t>Não</t>
        </is>
      </c>
      <c r="L759" s="7" t="inlineStr">
        <is>
          <t>Não</t>
        </is>
      </c>
      <c r="M759" s="7" t="inlineStr">
        <is>
          <t>Sim</t>
        </is>
      </c>
      <c r="N759" s="7" t="inlineStr">
        <is>
          <t>Sim</t>
        </is>
      </c>
      <c r="O759" s="7" t="inlineStr">
        <is>
          <t>Sim</t>
        </is>
      </c>
      <c r="P759" s="16" t="inlineStr">
        <is>
          <t>6 meses a 2 anos detenção + multa. Apropriação indébita tributária</t>
        </is>
      </c>
    </row>
    <row r="760">
      <c r="A760" s="7" t="inlineStr">
        <is>
          <t>Lei 8.137/90</t>
        </is>
      </c>
      <c r="B760" s="7" t="inlineStr">
        <is>
          <t>Art. 3º, I</t>
        </is>
      </c>
      <c r="C760" s="16" t="inlineStr">
        <is>
          <t>Crime funcional tributário — extraviar livro oficial/processo fiscal/documento</t>
        </is>
      </c>
      <c r="D760" s="7" t="n">
        <v>36</v>
      </c>
      <c r="E760" s="7" t="n">
        <v>96</v>
      </c>
      <c r="F760" s="7" t="inlineStr">
        <is>
          <t>Reclusão</t>
        </is>
      </c>
      <c r="G760" s="7" t="inlineStr">
        <is>
          <t>Pública Incondicionada</t>
        </is>
      </c>
      <c r="H760" s="7" t="inlineStr">
        <is>
          <t>Não</t>
        </is>
      </c>
      <c r="I760" s="7" t="inlineStr">
        <is>
          <t>Doloso</t>
        </is>
      </c>
      <c r="J760" s="7" t="inlineStr">
        <is>
          <t>Sim</t>
        </is>
      </c>
      <c r="K760" s="7" t="inlineStr">
        <is>
          <t>Não</t>
        </is>
      </c>
      <c r="L760" s="7" t="inlineStr">
        <is>
          <t>Não</t>
        </is>
      </c>
      <c r="M760" s="7" t="inlineStr">
        <is>
          <t>Sim</t>
        </is>
      </c>
      <c r="N760" s="7" t="inlineStr">
        <is>
          <t>Não</t>
        </is>
      </c>
      <c r="O760" s="7" t="inlineStr">
        <is>
          <t>Verificar</t>
        </is>
      </c>
      <c r="P760" s="16" t="inlineStr">
        <is>
          <t>3-8 anos reclusão. Crime funcional (funcionário público)</t>
        </is>
      </c>
    </row>
    <row r="761">
      <c r="A761" s="7" t="inlineStr">
        <is>
          <t>Lei 8.137/90</t>
        </is>
      </c>
      <c r="B761" s="7" t="inlineStr">
        <is>
          <t>Art. 3º, II</t>
        </is>
      </c>
      <c r="C761" s="16" t="inlineStr">
        <is>
          <t>Crime funcional tributário — exigir/solicitar/receber vantagem indevida (corrupção tributária)</t>
        </is>
      </c>
      <c r="D761" s="7" t="n">
        <v>36</v>
      </c>
      <c r="E761" s="7" t="n">
        <v>96</v>
      </c>
      <c r="F761" s="7" t="inlineStr">
        <is>
          <t>Reclusão</t>
        </is>
      </c>
      <c r="G761" s="7" t="inlineStr">
        <is>
          <t>Pública Incondicionada</t>
        </is>
      </c>
      <c r="H761" s="7" t="inlineStr">
        <is>
          <t>Não</t>
        </is>
      </c>
      <c r="I761" s="7" t="inlineStr">
        <is>
          <t>Doloso</t>
        </is>
      </c>
      <c r="J761" s="7" t="inlineStr">
        <is>
          <t>Sim</t>
        </is>
      </c>
      <c r="K761" s="7" t="inlineStr">
        <is>
          <t>Não</t>
        </is>
      </c>
      <c r="L761" s="7" t="inlineStr">
        <is>
          <t>Não</t>
        </is>
      </c>
      <c r="M761" s="7" t="inlineStr">
        <is>
          <t>Sim</t>
        </is>
      </c>
      <c r="N761" s="7" t="inlineStr">
        <is>
          <t>Não</t>
        </is>
      </c>
      <c r="O761" s="7" t="inlineStr">
        <is>
          <t>Verificar</t>
        </is>
      </c>
      <c r="P761" s="16" t="inlineStr">
        <is>
          <t>3-8 anos reclusão. Corrupção passiva do servidor fazendário</t>
        </is>
      </c>
    </row>
    <row r="762">
      <c r="A762" s="7" t="inlineStr">
        <is>
          <t>Lei 8.137/90</t>
        </is>
      </c>
      <c r="B762" s="7" t="inlineStr">
        <is>
          <t>Art. 3º, III</t>
        </is>
      </c>
      <c r="C762" s="16" t="inlineStr">
        <is>
          <t>Crime funcional tributário — patrocinar interesse privado perante Administração Fazendária</t>
        </is>
      </c>
      <c r="D762" s="7" t="n">
        <v>12</v>
      </c>
      <c r="E762" s="7" t="n">
        <v>48</v>
      </c>
      <c r="F762" s="7" t="inlineStr">
        <is>
          <t>Reclusão</t>
        </is>
      </c>
      <c r="G762" s="7" t="inlineStr">
        <is>
          <t>Pública Incondicionada</t>
        </is>
      </c>
      <c r="H762" s="7" t="inlineStr">
        <is>
          <t>Não</t>
        </is>
      </c>
      <c r="I762" s="7" t="inlineStr">
        <is>
          <t>Doloso</t>
        </is>
      </c>
      <c r="J762" s="7" t="inlineStr">
        <is>
          <t>Sim</t>
        </is>
      </c>
      <c r="K762" s="7" t="inlineStr">
        <is>
          <t>Não</t>
        </is>
      </c>
      <c r="L762" s="7" t="inlineStr">
        <is>
          <t>Não</t>
        </is>
      </c>
      <c r="M762" s="7" t="inlineStr">
        <is>
          <t>Sim</t>
        </is>
      </c>
      <c r="N762" s="7" t="inlineStr">
        <is>
          <t>Sim</t>
        </is>
      </c>
      <c r="O762" s="7" t="inlineStr">
        <is>
          <t>Sim</t>
        </is>
      </c>
      <c r="P762" s="16" t="inlineStr">
        <is>
          <t>1-4 anos reclusão. Advocacia administrativa tributária</t>
        </is>
      </c>
    </row>
    <row r="763">
      <c r="A763" s="7" t="inlineStr">
        <is>
          <t>Lei 8.137/90</t>
        </is>
      </c>
      <c r="B763" s="7" t="inlineStr">
        <is>
          <t>Art. 7º, I</t>
        </is>
      </c>
      <c r="C763" s="16" t="inlineStr">
        <is>
          <t>Crime contra relações de consumo — favorecer/preferir comprador sem justa causa</t>
        </is>
      </c>
      <c r="D763" s="7" t="n">
        <v>24</v>
      </c>
      <c r="E763" s="7" t="n">
        <v>60</v>
      </c>
      <c r="F763" s="7" t="inlineStr">
        <is>
          <t>Detenção</t>
        </is>
      </c>
      <c r="G763" s="7" t="inlineStr">
        <is>
          <t>Pública Incondicionada</t>
        </is>
      </c>
      <c r="H763" s="7" t="inlineStr">
        <is>
          <t>Não</t>
        </is>
      </c>
      <c r="I763" s="7" t="inlineStr">
        <is>
          <t>Doloso</t>
        </is>
      </c>
      <c r="J763" s="7" t="inlineStr">
        <is>
          <t>Sim</t>
        </is>
      </c>
      <c r="K763" s="7" t="inlineStr">
        <is>
          <t>Não</t>
        </is>
      </c>
      <c r="L763" s="7" t="inlineStr">
        <is>
          <t>Não</t>
        </is>
      </c>
      <c r="M763" s="7" t="inlineStr">
        <is>
          <t>Sim</t>
        </is>
      </c>
      <c r="N763" s="7" t="inlineStr">
        <is>
          <t>Não</t>
        </is>
      </c>
      <c r="O763" s="7" t="inlineStr">
        <is>
          <t>Sim</t>
        </is>
      </c>
      <c r="P763" s="16" t="inlineStr">
        <is>
          <t>2-5 anos detenção + multa</t>
        </is>
      </c>
    </row>
    <row r="764">
      <c r="A764" s="7" t="inlineStr">
        <is>
          <t>Lei 8.137/90</t>
        </is>
      </c>
      <c r="B764" s="7" t="inlineStr">
        <is>
          <t>Art. 7º, II</t>
        </is>
      </c>
      <c r="C764" s="16" t="inlineStr">
        <is>
          <t>Crime contra relações de consumo — vender/expor mercadoria com peso/medida diferente do indicado</t>
        </is>
      </c>
      <c r="D764" s="7" t="n">
        <v>24</v>
      </c>
      <c r="E764" s="7" t="n">
        <v>60</v>
      </c>
      <c r="F764" s="7" t="inlineStr">
        <is>
          <t>Detenção</t>
        </is>
      </c>
      <c r="G764" s="7" t="inlineStr">
        <is>
          <t>Pública Incondicionada</t>
        </is>
      </c>
      <c r="H764" s="7" t="inlineStr">
        <is>
          <t>Não</t>
        </is>
      </c>
      <c r="I764" s="7" t="inlineStr">
        <is>
          <t>Doloso</t>
        </is>
      </c>
      <c r="J764" s="7" t="inlineStr">
        <is>
          <t>Sim</t>
        </is>
      </c>
      <c r="K764" s="7" t="inlineStr">
        <is>
          <t>Não</t>
        </is>
      </c>
      <c r="L764" s="7" t="inlineStr">
        <is>
          <t>Não</t>
        </is>
      </c>
      <c r="M764" s="7" t="inlineStr">
        <is>
          <t>Sim</t>
        </is>
      </c>
      <c r="N764" s="7" t="inlineStr">
        <is>
          <t>Não</t>
        </is>
      </c>
      <c r="O764" s="7" t="inlineStr">
        <is>
          <t>Sim</t>
        </is>
      </c>
      <c r="P764" s="16" t="inlineStr">
        <is>
          <t>2-5 anos detenção + multa</t>
        </is>
      </c>
    </row>
    <row r="765">
      <c r="A765" s="26" t="inlineStr">
        <is>
          <t>Lei 12.850/13</t>
        </is>
      </c>
      <c r="B765" s="26" t="inlineStr">
        <is>
          <t>Art. 2º, §2º</t>
        </is>
      </c>
      <c r="C765" s="27" t="inlineStr">
        <is>
          <t>Organização criminosa armada (com emprego de arma de fogo) — aumento de 1/2 a 2/3</t>
        </is>
      </c>
      <c r="D765" s="26" t="n">
        <v>36</v>
      </c>
      <c r="E765" s="26" t="n">
        <v>96</v>
      </c>
      <c r="F765" s="26" t="inlineStr">
        <is>
          <t>Reclusão</t>
        </is>
      </c>
      <c r="G765" s="26" t="inlineStr">
        <is>
          <t>Pública Incondicionada</t>
        </is>
      </c>
      <c r="H765" s="26" t="inlineStr">
        <is>
          <t>Não</t>
        </is>
      </c>
      <c r="I765" s="26" t="inlineStr">
        <is>
          <t>Doloso</t>
        </is>
      </c>
      <c r="J765" s="26" t="inlineStr">
        <is>
          <t>Não</t>
        </is>
      </c>
      <c r="K765" s="26" t="inlineStr">
        <is>
          <t>Sim</t>
        </is>
      </c>
      <c r="L765" s="26" t="inlineStr">
        <is>
          <t>Sim</t>
        </is>
      </c>
      <c r="M765" s="26" t="inlineStr">
        <is>
          <t>Não</t>
        </is>
      </c>
      <c r="N765" s="26" t="inlineStr">
        <is>
          <t>Não</t>
        </is>
      </c>
      <c r="O765" s="26" t="inlineStr">
        <is>
          <t>Verificar</t>
        </is>
      </c>
      <c r="P765" s="27" t="inlineStr">
        <is>
          <t>3-8 anos reclusão + multa. Aumento de 1/2 a 2/3</t>
        </is>
      </c>
    </row>
    <row r="766">
      <c r="A766" s="7" t="inlineStr">
        <is>
          <t>Lei 12.850/13</t>
        </is>
      </c>
      <c r="B766" s="7" t="inlineStr">
        <is>
          <t>Art. 2º, §3º</t>
        </is>
      </c>
      <c r="C766" s="16" t="inlineStr">
        <is>
          <t>Organização criminosa com participação de criança ou adolescente — aumento de 1/6 a 2/3</t>
        </is>
      </c>
      <c r="D766" s="7" t="n">
        <v>36</v>
      </c>
      <c r="E766" s="7" t="n">
        <v>96</v>
      </c>
      <c r="F766" s="7" t="inlineStr">
        <is>
          <t>Reclusão</t>
        </is>
      </c>
      <c r="G766" s="7" t="inlineStr">
        <is>
          <t>Pública Incondicionada</t>
        </is>
      </c>
      <c r="H766" s="7" t="inlineStr">
        <is>
          <t>Não</t>
        </is>
      </c>
      <c r="I766" s="7" t="inlineStr">
        <is>
          <t>Doloso</t>
        </is>
      </c>
      <c r="J766" s="7" t="inlineStr">
        <is>
          <t>Não</t>
        </is>
      </c>
      <c r="K766" s="7" t="inlineStr">
        <is>
          <t>Não</t>
        </is>
      </c>
      <c r="L766" s="7" t="inlineStr">
        <is>
          <t>Não</t>
        </is>
      </c>
      <c r="M766" s="7" t="inlineStr">
        <is>
          <t>Sim</t>
        </is>
      </c>
      <c r="N766" s="7" t="inlineStr">
        <is>
          <t>Não</t>
        </is>
      </c>
      <c r="O766" s="7" t="inlineStr">
        <is>
          <t>Verificar</t>
        </is>
      </c>
      <c r="P766" s="16" t="inlineStr">
        <is>
          <t>3-8 anos reclusão + multa. Aumento de 1/6 a 2/3</t>
        </is>
      </c>
    </row>
    <row r="767">
      <c r="A767" s="7" t="inlineStr">
        <is>
          <t>Lei 12.850/13</t>
        </is>
      </c>
      <c r="B767" s="7" t="inlineStr">
        <is>
          <t>Art. 2º, §4º-A</t>
        </is>
      </c>
      <c r="C767" s="16" t="inlineStr">
        <is>
          <t>Organização criminosa com participação de agente público — aumento de 1/6 a 2/3</t>
        </is>
      </c>
      <c r="D767" s="7" t="n">
        <v>36</v>
      </c>
      <c r="E767" s="7" t="n">
        <v>96</v>
      </c>
      <c r="F767" s="7" t="inlineStr">
        <is>
          <t>Reclusão</t>
        </is>
      </c>
      <c r="G767" s="7" t="inlineStr">
        <is>
          <t>Pública Incondicionada</t>
        </is>
      </c>
      <c r="H767" s="7" t="inlineStr">
        <is>
          <t>Não</t>
        </is>
      </c>
      <c r="I767" s="7" t="inlineStr">
        <is>
          <t>Doloso</t>
        </is>
      </c>
      <c r="J767" s="7" t="inlineStr">
        <is>
          <t>Não</t>
        </is>
      </c>
      <c r="K767" s="7" t="inlineStr">
        <is>
          <t>Não</t>
        </is>
      </c>
      <c r="L767" s="7" t="inlineStr">
        <is>
          <t>Não</t>
        </is>
      </c>
      <c r="M767" s="7" t="inlineStr">
        <is>
          <t>Sim</t>
        </is>
      </c>
      <c r="N767" s="7" t="inlineStr">
        <is>
          <t>Não</t>
        </is>
      </c>
      <c r="O767" s="7" t="inlineStr">
        <is>
          <t>Verificar</t>
        </is>
      </c>
      <c r="P767" s="16" t="inlineStr">
        <is>
          <t>3-8 anos reclusão + multa. Aumento de 1/6 a 2/3</t>
        </is>
      </c>
    </row>
    <row r="768">
      <c r="A768" s="7" t="inlineStr">
        <is>
          <t>Lei 12.850/13</t>
        </is>
      </c>
      <c r="B768" s="7" t="inlineStr">
        <is>
          <t>Art. 18</t>
        </is>
      </c>
      <c r="C768" s="16" t="inlineStr">
        <is>
          <t>Revelar identidade de colaborador/delator/vítima/testemunha protegida</t>
        </is>
      </c>
      <c r="D768" s="7" t="n">
        <v>12</v>
      </c>
      <c r="E768" s="7" t="n">
        <v>36</v>
      </c>
      <c r="F768" s="7" t="inlineStr">
        <is>
          <t>Reclusão</t>
        </is>
      </c>
      <c r="G768" s="7" t="inlineStr">
        <is>
          <t>Pública Incondicionada</t>
        </is>
      </c>
      <c r="H768" s="7" t="inlineStr">
        <is>
          <t>Não</t>
        </is>
      </c>
      <c r="I768" s="7" t="inlineStr">
        <is>
          <t>Doloso</t>
        </is>
      </c>
      <c r="J768" s="7" t="inlineStr">
        <is>
          <t>Sim</t>
        </is>
      </c>
      <c r="K768" s="7" t="inlineStr">
        <is>
          <t>Não</t>
        </is>
      </c>
      <c r="L768" s="7" t="inlineStr">
        <is>
          <t>Não</t>
        </is>
      </c>
      <c r="M768" s="7" t="inlineStr">
        <is>
          <t>Sim</t>
        </is>
      </c>
      <c r="N768" s="7" t="inlineStr">
        <is>
          <t>Sim</t>
        </is>
      </c>
      <c r="O768" s="7" t="inlineStr">
        <is>
          <t>Sim</t>
        </is>
      </c>
      <c r="P768" s="16" t="inlineStr">
        <is>
          <t>1-3 anos reclusão + multa</t>
        </is>
      </c>
    </row>
    <row r="769">
      <c r="A769" s="7" t="inlineStr">
        <is>
          <t>Lei 12.850/13</t>
        </is>
      </c>
      <c r="B769" s="7" t="inlineStr">
        <is>
          <t>Art. 19</t>
        </is>
      </c>
      <c r="C769" s="16" t="inlineStr">
        <is>
          <t>Imputar falsamente investigação/processo a pessoa não envolvida em colaboração premiada</t>
        </is>
      </c>
      <c r="D769" s="7" t="n">
        <v>12</v>
      </c>
      <c r="E769" s="7" t="n">
        <v>48</v>
      </c>
      <c r="F769" s="7" t="inlineStr">
        <is>
          <t>Reclusão</t>
        </is>
      </c>
      <c r="G769" s="7" t="inlineStr">
        <is>
          <t>Pública Incondicionada</t>
        </is>
      </c>
      <c r="H769" s="7" t="inlineStr">
        <is>
          <t>Não</t>
        </is>
      </c>
      <c r="I769" s="7" t="inlineStr">
        <is>
          <t>Doloso</t>
        </is>
      </c>
      <c r="J769" s="7" t="inlineStr">
        <is>
          <t>Sim</t>
        </is>
      </c>
      <c r="K769" s="7" t="inlineStr">
        <is>
          <t>Não</t>
        </is>
      </c>
      <c r="L769" s="7" t="inlineStr">
        <is>
          <t>Não</t>
        </is>
      </c>
      <c r="M769" s="7" t="inlineStr">
        <is>
          <t>Sim</t>
        </is>
      </c>
      <c r="N769" s="7" t="inlineStr">
        <is>
          <t>Sim</t>
        </is>
      </c>
      <c r="O769" s="7" t="inlineStr">
        <is>
          <t>Sim</t>
        </is>
      </c>
      <c r="P769" s="16" t="inlineStr">
        <is>
          <t>1-4 anos reclusão + multa</t>
        </is>
      </c>
    </row>
    <row r="770">
      <c r="A770" s="17" t="inlineStr">
        <is>
          <t>Lei 11.343/06</t>
        </is>
      </c>
      <c r="B770" s="17" t="inlineStr">
        <is>
          <t>Art. 33, §1º, I</t>
        </is>
      </c>
      <c r="C770" s="18" t="inlineStr">
        <is>
          <t>Importar/exportar/remeter/produzir/fabricar/preparar drogas sem autorização ou em desacordo com determinação legal</t>
        </is>
      </c>
      <c r="D770" s="17" t="n">
        <v>60</v>
      </c>
      <c r="E770" s="17" t="n">
        <v>180</v>
      </c>
      <c r="F770" s="17" t="inlineStr">
        <is>
          <t>Reclusão</t>
        </is>
      </c>
      <c r="G770" s="17" t="inlineStr">
        <is>
          <t>Pública Incondicionada</t>
        </is>
      </c>
      <c r="H770" s="17" t="inlineStr">
        <is>
          <t>Sim</t>
        </is>
      </c>
      <c r="I770" s="17" t="inlineStr">
        <is>
          <t>Doloso</t>
        </is>
      </c>
      <c r="J770" s="17" t="inlineStr">
        <is>
          <t>Sim</t>
        </is>
      </c>
      <c r="K770" s="17" t="inlineStr">
        <is>
          <t>Não</t>
        </is>
      </c>
      <c r="L770" s="17" t="inlineStr">
        <is>
          <t>Não</t>
        </is>
      </c>
      <c r="M770" s="17" t="inlineStr">
        <is>
          <t>Não</t>
        </is>
      </c>
      <c r="N770" s="17" t="inlineStr">
        <is>
          <t>Não</t>
        </is>
      </c>
      <c r="O770" s="17" t="inlineStr">
        <is>
          <t>Verificar</t>
        </is>
      </c>
      <c r="P770" s="18" t="inlineStr">
        <is>
          <t>5-15 anos reclusão + multa. Hediondo (equiparado). Matéria-prima, insumo ou produto químico</t>
        </is>
      </c>
    </row>
    <row r="771">
      <c r="A771" s="17" t="inlineStr">
        <is>
          <t>Lei 11.343/06</t>
        </is>
      </c>
      <c r="B771" s="17" t="inlineStr">
        <is>
          <t>Art. 33, §1º, II</t>
        </is>
      </c>
      <c r="C771" s="18" t="inlineStr">
        <is>
          <t>Semear/cultivar/colher plantas para preparação de drogas</t>
        </is>
      </c>
      <c r="D771" s="17" t="n">
        <v>60</v>
      </c>
      <c r="E771" s="17" t="n">
        <v>180</v>
      </c>
      <c r="F771" s="17" t="inlineStr">
        <is>
          <t>Reclusão</t>
        </is>
      </c>
      <c r="G771" s="17" t="inlineStr">
        <is>
          <t>Pública Incondicionada</t>
        </is>
      </c>
      <c r="H771" s="17" t="inlineStr">
        <is>
          <t>Sim</t>
        </is>
      </c>
      <c r="I771" s="17" t="inlineStr">
        <is>
          <t>Doloso</t>
        </is>
      </c>
      <c r="J771" s="17" t="inlineStr">
        <is>
          <t>Sim</t>
        </is>
      </c>
      <c r="K771" s="17" t="inlineStr">
        <is>
          <t>Não</t>
        </is>
      </c>
      <c r="L771" s="17" t="inlineStr">
        <is>
          <t>Não</t>
        </is>
      </c>
      <c r="M771" s="17" t="inlineStr">
        <is>
          <t>Não</t>
        </is>
      </c>
      <c r="N771" s="17" t="inlineStr">
        <is>
          <t>Não</t>
        </is>
      </c>
      <c r="O771" s="17" t="inlineStr">
        <is>
          <t>Verificar</t>
        </is>
      </c>
      <c r="P771" s="18" t="inlineStr">
        <is>
          <t>5-15 anos reclusão + multa. Hediondo (equiparado)</t>
        </is>
      </c>
    </row>
    <row r="772">
      <c r="A772" s="17" t="inlineStr">
        <is>
          <t>Lei 11.343/06</t>
        </is>
      </c>
      <c r="B772" s="17" t="inlineStr">
        <is>
          <t>Art. 33, §1º, III</t>
        </is>
      </c>
      <c r="C772" s="18" t="inlineStr">
        <is>
          <t>Utilizar local de que tenha a propriedade/administração para tráfico de drogas</t>
        </is>
      </c>
      <c r="D772" s="17" t="n">
        <v>60</v>
      </c>
      <c r="E772" s="17" t="n">
        <v>180</v>
      </c>
      <c r="F772" s="17" t="inlineStr">
        <is>
          <t>Reclusão</t>
        </is>
      </c>
      <c r="G772" s="17" t="inlineStr">
        <is>
          <t>Pública Incondicionada</t>
        </is>
      </c>
      <c r="H772" s="17" t="inlineStr">
        <is>
          <t>Sim</t>
        </is>
      </c>
      <c r="I772" s="17" t="inlineStr">
        <is>
          <t>Doloso</t>
        </is>
      </c>
      <c r="J772" s="17" t="inlineStr">
        <is>
          <t>Sim</t>
        </is>
      </c>
      <c r="K772" s="17" t="inlineStr">
        <is>
          <t>Não</t>
        </is>
      </c>
      <c r="L772" s="17" t="inlineStr">
        <is>
          <t>Não</t>
        </is>
      </c>
      <c r="M772" s="17" t="inlineStr">
        <is>
          <t>Não</t>
        </is>
      </c>
      <c r="N772" s="17" t="inlineStr">
        <is>
          <t>Não</t>
        </is>
      </c>
      <c r="O772" s="17" t="inlineStr">
        <is>
          <t>Verificar</t>
        </is>
      </c>
      <c r="P772" s="18" t="inlineStr">
        <is>
          <t>5-15 anos reclusão + multa. Hediondo (equiparado). Proprietário que cede o local sabendo da atividade</t>
        </is>
      </c>
    </row>
    <row r="773">
      <c r="A773" s="17" t="inlineStr">
        <is>
          <t>Lei 11.343/06</t>
        </is>
      </c>
      <c r="B773" s="17" t="inlineStr">
        <is>
          <t>Art. 36</t>
        </is>
      </c>
      <c r="C773" s="18" t="inlineStr">
        <is>
          <t>Financiar ou custear o tráfico de drogas</t>
        </is>
      </c>
      <c r="D773" s="17" t="n">
        <v>96</v>
      </c>
      <c r="E773" s="17" t="n">
        <v>240</v>
      </c>
      <c r="F773" s="17" t="inlineStr">
        <is>
          <t>Reclusão</t>
        </is>
      </c>
      <c r="G773" s="17" t="inlineStr">
        <is>
          <t>Pública Incondicionada</t>
        </is>
      </c>
      <c r="H773" s="17" t="inlineStr">
        <is>
          <t>Sim</t>
        </is>
      </c>
      <c r="I773" s="17" t="inlineStr">
        <is>
          <t>Doloso</t>
        </is>
      </c>
      <c r="J773" s="17" t="inlineStr">
        <is>
          <t>Sim</t>
        </is>
      </c>
      <c r="K773" s="17" t="inlineStr">
        <is>
          <t>Não</t>
        </is>
      </c>
      <c r="L773" s="17" t="inlineStr">
        <is>
          <t>Não</t>
        </is>
      </c>
      <c r="M773" s="17" t="inlineStr">
        <is>
          <t>Não</t>
        </is>
      </c>
      <c r="N773" s="17" t="inlineStr">
        <is>
          <t>Não</t>
        </is>
      </c>
      <c r="O773" s="17" t="inlineStr">
        <is>
          <t>Verificar</t>
        </is>
      </c>
      <c r="P773" s="18" t="inlineStr">
        <is>
          <t>8-20 anos reclusão + multa. HEDIONDO (equiparado). Figura do financiador do tráfico</t>
        </is>
      </c>
    </row>
    <row r="774">
      <c r="A774" s="7" t="inlineStr">
        <is>
          <t>Lei 11.343/06</t>
        </is>
      </c>
      <c r="B774" s="7" t="inlineStr">
        <is>
          <t>Art. 37</t>
        </is>
      </c>
      <c r="C774" s="16" t="inlineStr">
        <is>
          <t>Colaborar como informante com grupo/organização/associação destinada ao tráfico de drogas</t>
        </is>
      </c>
      <c r="D774" s="7" t="n">
        <v>24</v>
      </c>
      <c r="E774" s="7" t="n">
        <v>72</v>
      </c>
      <c r="F774" s="7" t="inlineStr">
        <is>
          <t>Reclusão</t>
        </is>
      </c>
      <c r="G774" s="7" t="inlineStr">
        <is>
          <t>Pública Incondicionada</t>
        </is>
      </c>
      <c r="H774" s="7" t="inlineStr">
        <is>
          <t>Não</t>
        </is>
      </c>
      <c r="I774" s="7" t="inlineStr">
        <is>
          <t>Doloso</t>
        </is>
      </c>
      <c r="J774" s="7" t="inlineStr">
        <is>
          <t>Sim</t>
        </is>
      </c>
      <c r="K774" s="7" t="inlineStr">
        <is>
          <t>Não</t>
        </is>
      </c>
      <c r="L774" s="7" t="inlineStr">
        <is>
          <t>Não</t>
        </is>
      </c>
      <c r="M774" s="7" t="inlineStr">
        <is>
          <t>Sim</t>
        </is>
      </c>
      <c r="N774" s="7" t="inlineStr">
        <is>
          <t>Não</t>
        </is>
      </c>
      <c r="O774" s="7" t="inlineStr">
        <is>
          <t>Sim</t>
        </is>
      </c>
      <c r="P774" s="16" t="inlineStr">
        <is>
          <t>2-6 anos reclusão + multa. Informante do tráfico</t>
        </is>
      </c>
    </row>
    <row r="775">
      <c r="A775" s="7" t="inlineStr">
        <is>
          <t>Lei 11.343/06</t>
        </is>
      </c>
      <c r="B775" s="7" t="inlineStr">
        <is>
          <t>Art. 38</t>
        </is>
      </c>
      <c r="C775" s="16" t="inlineStr">
        <is>
          <t>Prescrever ou ministrar drogas culposamente (culpa do profissional de saúde)</t>
        </is>
      </c>
      <c r="D775" s="7" t="n">
        <v>6</v>
      </c>
      <c r="E775" s="7" t="n">
        <v>24</v>
      </c>
      <c r="F775" s="7" t="inlineStr">
        <is>
          <t>Detenção</t>
        </is>
      </c>
      <c r="G775" s="7" t="inlineStr">
        <is>
          <t>Pública Incondicionada</t>
        </is>
      </c>
      <c r="H775" s="7" t="inlineStr">
        <is>
          <t>Não</t>
        </is>
      </c>
      <c r="I775" s="7" t="inlineStr">
        <is>
          <t>Culposo</t>
        </is>
      </c>
      <c r="J775" s="7" t="inlineStr">
        <is>
          <t>Não</t>
        </is>
      </c>
      <c r="K775" s="7" t="inlineStr">
        <is>
          <t>Não</t>
        </is>
      </c>
      <c r="L775" s="7" t="inlineStr">
        <is>
          <t>Não</t>
        </is>
      </c>
      <c r="M775" s="7" t="inlineStr">
        <is>
          <t>Sim</t>
        </is>
      </c>
      <c r="N775" s="7" t="inlineStr">
        <is>
          <t>Sim</t>
        </is>
      </c>
      <c r="O775" s="7" t="inlineStr">
        <is>
          <t>Sim</t>
        </is>
      </c>
      <c r="P775" s="16" t="inlineStr">
        <is>
          <t>6 meses a 2 anos detenção + multa. Médico/dentista/farmacêutico que prescreve em desacordo com a lei culposamente</t>
        </is>
      </c>
    </row>
    <row r="776">
      <c r="A776" s="7" t="inlineStr">
        <is>
          <t>Lei 11.343/06</t>
        </is>
      </c>
      <c r="B776" s="7" t="inlineStr">
        <is>
          <t>Art. 39</t>
        </is>
      </c>
      <c r="C776" s="16" t="inlineStr">
        <is>
          <t>Conduzir embarcação ou aeronave após consumo de drogas, expondo risco a terceiros</t>
        </is>
      </c>
      <c r="D776" s="7" t="n">
        <v>6</v>
      </c>
      <c r="E776" s="7" t="n">
        <v>36</v>
      </c>
      <c r="F776" s="7" t="inlineStr">
        <is>
          <t>Detenção</t>
        </is>
      </c>
      <c r="G776" s="7" t="inlineStr">
        <is>
          <t>Pública Incondicionada</t>
        </is>
      </c>
      <c r="H776" s="7" t="inlineStr">
        <is>
          <t>Não</t>
        </is>
      </c>
      <c r="I776" s="7" t="inlineStr">
        <is>
          <t>Doloso</t>
        </is>
      </c>
      <c r="J776" s="7" t="inlineStr">
        <is>
          <t>Sim</t>
        </is>
      </c>
      <c r="K776" s="7" t="inlineStr">
        <is>
          <t>Não</t>
        </is>
      </c>
      <c r="L776" s="7" t="inlineStr">
        <is>
          <t>Não</t>
        </is>
      </c>
      <c r="M776" s="7" t="inlineStr">
        <is>
          <t>Sim</t>
        </is>
      </c>
      <c r="N776" s="7" t="inlineStr">
        <is>
          <t>Sim</t>
        </is>
      </c>
      <c r="O776" s="7" t="inlineStr">
        <is>
          <t>Sim</t>
        </is>
      </c>
      <c r="P776" s="16" t="inlineStr">
        <is>
          <t>6 meses a 3 anos detenção + multa + suspensão de habilitação</t>
        </is>
      </c>
    </row>
    <row r="777">
      <c r="A777" s="26" t="inlineStr">
        <is>
          <t>CPM (DL 1.001/69)</t>
        </is>
      </c>
      <c r="B777" s="26" t="inlineStr">
        <is>
          <t>Art. 136</t>
        </is>
      </c>
      <c r="C777" s="27" t="inlineStr">
        <is>
          <t>Hostilidade contra país estrangeiro (militar que pratica ato de hostilidade contra nação estrangeira, expondo Brasil a perigo de guerra)</t>
        </is>
      </c>
      <c r="D777" s="26" t="n">
        <v>72</v>
      </c>
      <c r="E777" s="26" t="n">
        <v>180</v>
      </c>
      <c r="F777" s="26" t="inlineStr">
        <is>
          <t>Reclusão</t>
        </is>
      </c>
      <c r="G777" s="26" t="inlineStr">
        <is>
          <t>Pública Incondicionada</t>
        </is>
      </c>
      <c r="H777" s="26" t="inlineStr">
        <is>
          <t>Não</t>
        </is>
      </c>
      <c r="I777" s="26" t="inlineStr">
        <is>
          <t>Doloso</t>
        </is>
      </c>
      <c r="J777" s="26" t="inlineStr">
        <is>
          <t>Sim</t>
        </is>
      </c>
      <c r="K777" s="26" t="inlineStr">
        <is>
          <t>Sim</t>
        </is>
      </c>
      <c r="L777" s="26" t="inlineStr">
        <is>
          <t>Não</t>
        </is>
      </c>
      <c r="M777" s="26" t="inlineStr">
        <is>
          <t>Não</t>
        </is>
      </c>
      <c r="N777" s="26" t="inlineStr">
        <is>
          <t>Não</t>
        </is>
      </c>
      <c r="O777" s="26" t="inlineStr">
        <is>
          <t>Verificar</t>
        </is>
      </c>
      <c r="P777" s="27" t="inlineStr">
        <is>
          <t>6-15 anos reclusão militar</t>
        </is>
      </c>
    </row>
    <row r="778">
      <c r="A778" s="7" t="inlineStr">
        <is>
          <t>CPM (DL 1.001/69)</t>
        </is>
      </c>
      <c r="B778" s="7" t="inlineStr">
        <is>
          <t>Art. 138</t>
        </is>
      </c>
      <c r="C778" s="16" t="inlineStr">
        <is>
          <t>Espionagem militar (obter/revelar informação militar sigilosa)</t>
        </is>
      </c>
      <c r="D778" s="7" t="n">
        <v>48</v>
      </c>
      <c r="E778" s="7" t="n">
        <v>240</v>
      </c>
      <c r="F778" s="7" t="inlineStr">
        <is>
          <t>Reclusão</t>
        </is>
      </c>
      <c r="G778" s="7" t="inlineStr">
        <is>
          <t>Pública Incondicionada</t>
        </is>
      </c>
      <c r="H778" s="7" t="inlineStr">
        <is>
          <t>Não</t>
        </is>
      </c>
      <c r="I778" s="7" t="inlineStr">
        <is>
          <t>Doloso</t>
        </is>
      </c>
      <c r="J778" s="7" t="inlineStr">
        <is>
          <t>Sim</t>
        </is>
      </c>
      <c r="K778" s="7" t="inlineStr">
        <is>
          <t>Não</t>
        </is>
      </c>
      <c r="L778" s="7" t="inlineStr">
        <is>
          <t>Não</t>
        </is>
      </c>
      <c r="M778" s="7" t="inlineStr">
        <is>
          <t>Não</t>
        </is>
      </c>
      <c r="N778" s="7" t="inlineStr">
        <is>
          <t>Não</t>
        </is>
      </c>
      <c r="O778" s="7" t="inlineStr">
        <is>
          <t>Verificar</t>
        </is>
      </c>
      <c r="P778" s="16" t="inlineStr">
        <is>
          <t>4-20 anos reclusão militar. Em tempo de guerra: 12-30 anos ou morte (Art. 375)</t>
        </is>
      </c>
    </row>
    <row r="779">
      <c r="A779" s="26" t="inlineStr">
        <is>
          <t>CPM (DL 1.001/69)</t>
        </is>
      </c>
      <c r="B779" s="26" t="inlineStr">
        <is>
          <t>Art. 141</t>
        </is>
      </c>
      <c r="C779" s="27" t="inlineStr">
        <is>
          <t>Traição militar (tomar armas contra o Brasil ou prestar serviço nas forças armadas inimigas)</t>
        </is>
      </c>
      <c r="D779" s="26" t="n">
        <v>180</v>
      </c>
      <c r="E779" s="26" t="n">
        <v>360</v>
      </c>
      <c r="F779" s="26" t="inlineStr">
        <is>
          <t>Reclusão</t>
        </is>
      </c>
      <c r="G779" s="26" t="inlineStr">
        <is>
          <t>Pública Incondicionada</t>
        </is>
      </c>
      <c r="H779" s="26" t="inlineStr">
        <is>
          <t>Não</t>
        </is>
      </c>
      <c r="I779" s="26" t="inlineStr">
        <is>
          <t>Doloso</t>
        </is>
      </c>
      <c r="J779" s="26" t="inlineStr">
        <is>
          <t>Sim</t>
        </is>
      </c>
      <c r="K779" s="26" t="inlineStr">
        <is>
          <t>Sim</t>
        </is>
      </c>
      <c r="L779" s="26" t="inlineStr">
        <is>
          <t>Não</t>
        </is>
      </c>
      <c r="M779" s="26" t="inlineStr">
        <is>
          <t>Não</t>
        </is>
      </c>
      <c r="N779" s="26" t="inlineStr">
        <is>
          <t>Não</t>
        </is>
      </c>
      <c r="O779" s="26" t="inlineStr">
        <is>
          <t>Verificar</t>
        </is>
      </c>
      <c r="P779" s="27" t="inlineStr">
        <is>
          <t>15-30 anos reclusão militar. Em tempo de guerra: morte. Crime militar próprio</t>
        </is>
      </c>
    </row>
    <row r="780">
      <c r="A780" s="7" t="inlineStr">
        <is>
          <t>CPM (DL 1.001/69)</t>
        </is>
      </c>
      <c r="B780" s="7" t="inlineStr">
        <is>
          <t>Art. 142</t>
        </is>
      </c>
      <c r="C780" s="16" t="inlineStr">
        <is>
          <t>Covardia (subtrair-se ao combate ou abandonar o posto, rendição sem esgotamento de recursos)</t>
        </is>
      </c>
      <c r="D780" s="7" t="n">
        <v>24</v>
      </c>
      <c r="E780" s="7" t="n">
        <v>96</v>
      </c>
      <c r="F780" s="7" t="inlineStr">
        <is>
          <t>Reclusão</t>
        </is>
      </c>
      <c r="G780" s="7" t="inlineStr">
        <is>
          <t>Pública Incondicionada</t>
        </is>
      </c>
      <c r="H780" s="7" t="inlineStr">
        <is>
          <t>Não</t>
        </is>
      </c>
      <c r="I780" s="7" t="inlineStr">
        <is>
          <t>Doloso</t>
        </is>
      </c>
      <c r="J780" s="7" t="inlineStr">
        <is>
          <t>Sim</t>
        </is>
      </c>
      <c r="K780" s="7" t="inlineStr">
        <is>
          <t>Não</t>
        </is>
      </c>
      <c r="L780" s="7" t="inlineStr">
        <is>
          <t>Não</t>
        </is>
      </c>
      <c r="M780" s="7" t="inlineStr">
        <is>
          <t>Sim</t>
        </is>
      </c>
      <c r="N780" s="7" t="inlineStr">
        <is>
          <t>Não</t>
        </is>
      </c>
      <c r="O780" s="7" t="inlineStr">
        <is>
          <t>Sim</t>
        </is>
      </c>
      <c r="P780" s="16" t="inlineStr">
        <is>
          <t>2-8 anos reclusão militar. Crime militar próprio</t>
        </is>
      </c>
    </row>
    <row r="781">
      <c r="A781" s="26" t="inlineStr">
        <is>
          <t>CPM (DL 1.001/69)</t>
        </is>
      </c>
      <c r="B781" s="26" t="inlineStr">
        <is>
          <t>Art. 149</t>
        </is>
      </c>
      <c r="C781" s="27" t="inlineStr">
        <is>
          <t>Motim (agir de modo a subverter a ordem ou a disciplina militar, em grupo de 4+ militares)</t>
        </is>
      </c>
      <c r="D781" s="26" t="n">
        <v>48</v>
      </c>
      <c r="E781" s="26" t="n">
        <v>96</v>
      </c>
      <c r="F781" s="26" t="inlineStr">
        <is>
          <t>Reclusão</t>
        </is>
      </c>
      <c r="G781" s="26" t="inlineStr">
        <is>
          <t>Pública Incondicionada</t>
        </is>
      </c>
      <c r="H781" s="26" t="inlineStr">
        <is>
          <t>Não</t>
        </is>
      </c>
      <c r="I781" s="26" t="inlineStr">
        <is>
          <t>Doloso</t>
        </is>
      </c>
      <c r="J781" s="26" t="inlineStr">
        <is>
          <t>Sim</t>
        </is>
      </c>
      <c r="K781" s="26" t="inlineStr">
        <is>
          <t>Sim</t>
        </is>
      </c>
      <c r="L781" s="26" t="inlineStr">
        <is>
          <t>Sim</t>
        </is>
      </c>
      <c r="M781" s="26" t="inlineStr">
        <is>
          <t>Não</t>
        </is>
      </c>
      <c r="N781" s="26" t="inlineStr">
        <is>
          <t>Não</t>
        </is>
      </c>
      <c r="O781" s="26" t="inlineStr">
        <is>
          <t>Verificar</t>
        </is>
      </c>
      <c r="P781" s="27" t="inlineStr">
        <is>
          <t>4-8 anos reclusão militar. Crime militar próprio. §único: cabeça +1/3</t>
        </is>
      </c>
    </row>
    <row r="782">
      <c r="A782" s="26" t="inlineStr">
        <is>
          <t>CPM (DL 1.001/69)</t>
        </is>
      </c>
      <c r="B782" s="26" t="inlineStr">
        <is>
          <t>Art. 150</t>
        </is>
      </c>
      <c r="C782" s="27" t="inlineStr">
        <is>
          <t>Revolta (motim armado — 4+ militares com armas agindo para subverter a disciplina)</t>
        </is>
      </c>
      <c r="D782" s="26" t="n">
        <v>72</v>
      </c>
      <c r="E782" s="26" t="n">
        <v>120</v>
      </c>
      <c r="F782" s="26" t="inlineStr">
        <is>
          <t>Reclusão</t>
        </is>
      </c>
      <c r="G782" s="26" t="inlineStr">
        <is>
          <t>Pública Incondicionada</t>
        </is>
      </c>
      <c r="H782" s="26" t="inlineStr">
        <is>
          <t>Não</t>
        </is>
      </c>
      <c r="I782" s="26" t="inlineStr">
        <is>
          <t>Doloso</t>
        </is>
      </c>
      <c r="J782" s="26" t="inlineStr">
        <is>
          <t>Sim</t>
        </is>
      </c>
      <c r="K782" s="26" t="inlineStr">
        <is>
          <t>Sim</t>
        </is>
      </c>
      <c r="L782" s="26" t="inlineStr">
        <is>
          <t>Sim</t>
        </is>
      </c>
      <c r="M782" s="26" t="inlineStr">
        <is>
          <t>Não</t>
        </is>
      </c>
      <c r="N782" s="26" t="inlineStr">
        <is>
          <t>Não</t>
        </is>
      </c>
      <c r="O782" s="26" t="inlineStr">
        <is>
          <t>Verificar</t>
        </is>
      </c>
      <c r="P782" s="27" t="inlineStr">
        <is>
          <t>6-10 anos reclusão militar. Modalidade armada do motim</t>
        </is>
      </c>
    </row>
    <row r="783">
      <c r="A783" s="7" t="inlineStr">
        <is>
          <t>CPM (DL 1.001/69)</t>
        </is>
      </c>
      <c r="B783" s="7" t="inlineStr">
        <is>
          <t>Art. 152</t>
        </is>
      </c>
      <c r="C783" s="16" t="inlineStr">
        <is>
          <t>Conspiração (concertar-se 2+ militares para prática de motim)</t>
        </is>
      </c>
      <c r="D783" s="7" t="n">
        <v>12</v>
      </c>
      <c r="E783" s="7" t="n">
        <v>36</v>
      </c>
      <c r="F783" s="7" t="inlineStr">
        <is>
          <t>Reclusão</t>
        </is>
      </c>
      <c r="G783" s="7" t="inlineStr">
        <is>
          <t>Pública Incondicionada</t>
        </is>
      </c>
      <c r="H783" s="7" t="inlineStr">
        <is>
          <t>Não</t>
        </is>
      </c>
      <c r="I783" s="7" t="inlineStr">
        <is>
          <t>Doloso</t>
        </is>
      </c>
      <c r="J783" s="7" t="inlineStr">
        <is>
          <t>Sim</t>
        </is>
      </c>
      <c r="K783" s="7" t="inlineStr">
        <is>
          <t>Não</t>
        </is>
      </c>
      <c r="L783" s="7" t="inlineStr">
        <is>
          <t>Não</t>
        </is>
      </c>
      <c r="M783" s="7" t="inlineStr">
        <is>
          <t>Sim</t>
        </is>
      </c>
      <c r="N783" s="7" t="inlineStr">
        <is>
          <t>Sim</t>
        </is>
      </c>
      <c r="O783" s="7" t="inlineStr">
        <is>
          <t>Sim</t>
        </is>
      </c>
      <c r="P783" s="16" t="inlineStr">
        <is>
          <t>1-3 anos reclusão militar</t>
        </is>
      </c>
    </row>
    <row r="784">
      <c r="A784" s="26" t="inlineStr">
        <is>
          <t>CPM (DL 1.001/69)</t>
        </is>
      </c>
      <c r="B784" s="26" t="inlineStr">
        <is>
          <t>Art. 157</t>
        </is>
      </c>
      <c r="C784" s="27" t="inlineStr">
        <is>
          <t>Violência contra superior hierárquico</t>
        </is>
      </c>
      <c r="D784" s="26" t="n">
        <v>36</v>
      </c>
      <c r="E784" s="26" t="n">
        <v>96</v>
      </c>
      <c r="F784" s="26" t="inlineStr">
        <is>
          <t>Reclusão</t>
        </is>
      </c>
      <c r="G784" s="26" t="inlineStr">
        <is>
          <t>Pública Incondicionada</t>
        </is>
      </c>
      <c r="H784" s="26" t="inlineStr">
        <is>
          <t>Não</t>
        </is>
      </c>
      <c r="I784" s="26" t="inlineStr">
        <is>
          <t>Doloso</t>
        </is>
      </c>
      <c r="J784" s="26" t="inlineStr">
        <is>
          <t>Sim</t>
        </is>
      </c>
      <c r="K784" s="26" t="inlineStr">
        <is>
          <t>Sim</t>
        </is>
      </c>
      <c r="L784" s="26" t="inlineStr">
        <is>
          <t>Não</t>
        </is>
      </c>
      <c r="M784" s="26" t="inlineStr">
        <is>
          <t>Não</t>
        </is>
      </c>
      <c r="N784" s="26" t="inlineStr">
        <is>
          <t>Não</t>
        </is>
      </c>
      <c r="O784" s="26" t="inlineStr">
        <is>
          <t>Verificar</t>
        </is>
      </c>
      <c r="P784" s="27" t="inlineStr">
        <is>
          <t>3-8 anos reclusão militar. Se resultar lesão grave: 4-12; se morte: 12-30 anos</t>
        </is>
      </c>
    </row>
    <row r="785">
      <c r="A785" s="7" t="inlineStr">
        <is>
          <t>CPM (DL 1.001/69)</t>
        </is>
      </c>
      <c r="B785" s="7" t="inlineStr">
        <is>
          <t>Art. 160</t>
        </is>
      </c>
      <c r="C785" s="16" t="inlineStr">
        <is>
          <t>Desrespeito a superior hierárquico</t>
        </is>
      </c>
      <c r="D785" s="7" t="n">
        <v>1</v>
      </c>
      <c r="E785" s="7" t="n">
        <v>6</v>
      </c>
      <c r="F785" s="7" t="inlineStr">
        <is>
          <t>Detenção</t>
        </is>
      </c>
      <c r="G785" s="7" t="inlineStr">
        <is>
          <t>Pública Incondicionada</t>
        </is>
      </c>
      <c r="H785" s="7" t="inlineStr">
        <is>
          <t>Não</t>
        </is>
      </c>
      <c r="I785" s="7" t="inlineStr">
        <is>
          <t>Doloso</t>
        </is>
      </c>
      <c r="J785" s="7" t="inlineStr">
        <is>
          <t>Sim</t>
        </is>
      </c>
      <c r="K785" s="7" t="inlineStr">
        <is>
          <t>Não</t>
        </is>
      </c>
      <c r="L785" s="7" t="inlineStr">
        <is>
          <t>Não</t>
        </is>
      </c>
      <c r="M785" s="7" t="inlineStr">
        <is>
          <t>Sim</t>
        </is>
      </c>
      <c r="N785" s="7" t="inlineStr">
        <is>
          <t>Sim</t>
        </is>
      </c>
      <c r="O785" s="7" t="inlineStr">
        <is>
          <t>Sim</t>
        </is>
      </c>
      <c r="P785" s="16" t="inlineStr">
        <is>
          <t>1-6 meses detenção militar</t>
        </is>
      </c>
    </row>
    <row r="786">
      <c r="A786" s="7" t="inlineStr">
        <is>
          <t>CPM (DL 1.001/69)</t>
        </is>
      </c>
      <c r="B786" s="7" t="inlineStr">
        <is>
          <t>Art. 163</t>
        </is>
      </c>
      <c r="C786" s="16" t="inlineStr">
        <is>
          <t>Recusa de obediência (recusar obedecer a ordem de superior)</t>
        </is>
      </c>
      <c r="D786" s="7" t="n">
        <v>12</v>
      </c>
      <c r="E786" s="7" t="n">
        <v>24</v>
      </c>
      <c r="F786" s="7" t="inlineStr">
        <is>
          <t>Detenção</t>
        </is>
      </c>
      <c r="G786" s="7" t="inlineStr">
        <is>
          <t>Pública Incondicionada</t>
        </is>
      </c>
      <c r="H786" s="7" t="inlineStr">
        <is>
          <t>Não</t>
        </is>
      </c>
      <c r="I786" s="7" t="inlineStr">
        <is>
          <t>Doloso</t>
        </is>
      </c>
      <c r="J786" s="7" t="inlineStr">
        <is>
          <t>Sim</t>
        </is>
      </c>
      <c r="K786" s="7" t="inlineStr">
        <is>
          <t>Não</t>
        </is>
      </c>
      <c r="L786" s="7" t="inlineStr">
        <is>
          <t>Não</t>
        </is>
      </c>
      <c r="M786" s="7" t="inlineStr">
        <is>
          <t>Sim</t>
        </is>
      </c>
      <c r="N786" s="7" t="inlineStr">
        <is>
          <t>Sim</t>
        </is>
      </c>
      <c r="O786" s="7" t="inlineStr">
        <is>
          <t>Sim</t>
        </is>
      </c>
      <c r="P786" s="16" t="inlineStr">
        <is>
          <t>1-2 anos detenção militar</t>
        </is>
      </c>
    </row>
    <row r="787">
      <c r="A787" s="7" t="inlineStr">
        <is>
          <t>CPM (DL 1.001/69)</t>
        </is>
      </c>
      <c r="B787" s="7" t="inlineStr">
        <is>
          <t>Art. 164</t>
        </is>
      </c>
      <c r="C787" s="16" t="inlineStr">
        <is>
          <t>Oposição à ordem de sentinela</t>
        </is>
      </c>
      <c r="D787" s="7" t="n">
        <v>12</v>
      </c>
      <c r="E787" s="7" t="n">
        <v>24</v>
      </c>
      <c r="F787" s="7" t="inlineStr">
        <is>
          <t>Detenção</t>
        </is>
      </c>
      <c r="G787" s="7" t="inlineStr">
        <is>
          <t>Pública Incondicionada</t>
        </is>
      </c>
      <c r="H787" s="7" t="inlineStr">
        <is>
          <t>Não</t>
        </is>
      </c>
      <c r="I787" s="7" t="inlineStr">
        <is>
          <t>Doloso</t>
        </is>
      </c>
      <c r="J787" s="7" t="inlineStr">
        <is>
          <t>Sim</t>
        </is>
      </c>
      <c r="K787" s="7" t="inlineStr">
        <is>
          <t>Não</t>
        </is>
      </c>
      <c r="L787" s="7" t="inlineStr">
        <is>
          <t>Não</t>
        </is>
      </c>
      <c r="M787" s="7" t="inlineStr">
        <is>
          <t>Sim</t>
        </is>
      </c>
      <c r="N787" s="7" t="inlineStr">
        <is>
          <t>Sim</t>
        </is>
      </c>
      <c r="O787" s="7" t="inlineStr">
        <is>
          <t>Sim</t>
        </is>
      </c>
      <c r="P787" s="16" t="inlineStr">
        <is>
          <t>1-2 anos detenção militar</t>
        </is>
      </c>
    </row>
    <row r="788">
      <c r="A788" s="7" t="inlineStr">
        <is>
          <t>CPM (DL 1.001/69)</t>
        </is>
      </c>
      <c r="B788" s="7" t="inlineStr">
        <is>
          <t>Art. 166</t>
        </is>
      </c>
      <c r="C788" s="16" t="inlineStr">
        <is>
          <t>Publicação/crítica indevida (militar que publica ato/documento oficial sem autorização ou faz crítica a superior em público)</t>
        </is>
      </c>
      <c r="D788" s="7" t="n">
        <v>2</v>
      </c>
      <c r="E788" s="7" t="n">
        <v>6</v>
      </c>
      <c r="F788" s="7" t="inlineStr">
        <is>
          <t>Detenção</t>
        </is>
      </c>
      <c r="G788" s="7" t="inlineStr">
        <is>
          <t>Pública Incondicionada</t>
        </is>
      </c>
      <c r="H788" s="7" t="inlineStr">
        <is>
          <t>Não</t>
        </is>
      </c>
      <c r="I788" s="7" t="inlineStr">
        <is>
          <t>Doloso</t>
        </is>
      </c>
      <c r="J788" s="7" t="inlineStr">
        <is>
          <t>Sim</t>
        </is>
      </c>
      <c r="K788" s="7" t="inlineStr">
        <is>
          <t>Não</t>
        </is>
      </c>
      <c r="L788" s="7" t="inlineStr">
        <is>
          <t>Não</t>
        </is>
      </c>
      <c r="M788" s="7" t="inlineStr">
        <is>
          <t>Sim</t>
        </is>
      </c>
      <c r="N788" s="7" t="inlineStr">
        <is>
          <t>Sim</t>
        </is>
      </c>
      <c r="O788" s="7" t="inlineStr">
        <is>
          <t>Sim</t>
        </is>
      </c>
      <c r="P788" s="16" t="inlineStr">
        <is>
          <t>2-6 meses detenção militar</t>
        </is>
      </c>
    </row>
    <row r="789">
      <c r="A789" s="7" t="inlineStr">
        <is>
          <t>CPM (DL 1.001/69)</t>
        </is>
      </c>
      <c r="B789" s="7" t="inlineStr">
        <is>
          <t>Art. 187</t>
        </is>
      </c>
      <c r="C789" s="16" t="inlineStr">
        <is>
          <t>Deserção (ausentar-se, sem autorização, do corpo/unidade/formatura/manobra por mais de 8 dias)</t>
        </is>
      </c>
      <c r="D789" s="7" t="n">
        <v>6</v>
      </c>
      <c r="E789" s="7" t="n">
        <v>24</v>
      </c>
      <c r="F789" s="7" t="inlineStr">
        <is>
          <t>Detenção</t>
        </is>
      </c>
      <c r="G789" s="7" t="inlineStr">
        <is>
          <t>Pública Incondicionada</t>
        </is>
      </c>
      <c r="H789" s="7" t="inlineStr">
        <is>
          <t>Não</t>
        </is>
      </c>
      <c r="I789" s="7" t="inlineStr">
        <is>
          <t>Doloso</t>
        </is>
      </c>
      <c r="J789" s="7" t="inlineStr">
        <is>
          <t>Sim</t>
        </is>
      </c>
      <c r="K789" s="7" t="inlineStr">
        <is>
          <t>Não</t>
        </is>
      </c>
      <c r="L789" s="7" t="inlineStr">
        <is>
          <t>Não</t>
        </is>
      </c>
      <c r="M789" s="7" t="inlineStr">
        <is>
          <t>Sim</t>
        </is>
      </c>
      <c r="N789" s="7" t="inlineStr">
        <is>
          <t>Sim</t>
        </is>
      </c>
      <c r="O789" s="7" t="inlineStr">
        <is>
          <t>Sim</t>
        </is>
      </c>
      <c r="P789" s="16" t="inlineStr">
        <is>
          <t>6 meses a 2 anos detenção militar. Crime militar próprio. Crime permanente</t>
        </is>
      </c>
    </row>
    <row r="790">
      <c r="A790" s="7" t="inlineStr">
        <is>
          <t>CPM (DL 1.001/69)</t>
        </is>
      </c>
      <c r="B790" s="7" t="inlineStr">
        <is>
          <t>Art. 190</t>
        </is>
      </c>
      <c r="C790" s="16" t="inlineStr">
        <is>
          <t>Deserção em tempo de guerra</t>
        </is>
      </c>
      <c r="D790" s="7" t="n">
        <v>36</v>
      </c>
      <c r="E790" s="7" t="n">
        <v>96</v>
      </c>
      <c r="F790" s="7" t="inlineStr">
        <is>
          <t>Reclusão</t>
        </is>
      </c>
      <c r="G790" s="7" t="inlineStr">
        <is>
          <t>Pública Incondicionada</t>
        </is>
      </c>
      <c r="H790" s="7" t="inlineStr">
        <is>
          <t>Não</t>
        </is>
      </c>
      <c r="I790" s="7" t="inlineStr">
        <is>
          <t>Doloso</t>
        </is>
      </c>
      <c r="J790" s="7" t="inlineStr">
        <is>
          <t>Sim</t>
        </is>
      </c>
      <c r="K790" s="7" t="inlineStr">
        <is>
          <t>Não</t>
        </is>
      </c>
      <c r="L790" s="7" t="inlineStr">
        <is>
          <t>Não</t>
        </is>
      </c>
      <c r="M790" s="7" t="inlineStr">
        <is>
          <t>Sim</t>
        </is>
      </c>
      <c r="N790" s="7" t="inlineStr">
        <is>
          <t>Não</t>
        </is>
      </c>
      <c r="O790" s="7" t="inlineStr">
        <is>
          <t>Verificar</t>
        </is>
      </c>
      <c r="P790" s="16" t="inlineStr">
        <is>
          <t>3-8 anos reclusão militar. Se deserção para o exterior: 4-12 anos</t>
        </is>
      </c>
    </row>
    <row r="791">
      <c r="A791" s="7" t="inlineStr">
        <is>
          <t>CPM (DL 1.001/69)</t>
        </is>
      </c>
      <c r="B791" s="7" t="inlineStr">
        <is>
          <t>Art. 195</t>
        </is>
      </c>
      <c r="C791" s="16" t="inlineStr">
        <is>
          <t>Abandono de posto (abandonar o posto/lugar de serviço sem autorização)</t>
        </is>
      </c>
      <c r="D791" s="7" t="n">
        <v>3</v>
      </c>
      <c r="E791" s="7" t="n">
        <v>12</v>
      </c>
      <c r="F791" s="7" t="inlineStr">
        <is>
          <t>Detenção</t>
        </is>
      </c>
      <c r="G791" s="7" t="inlineStr">
        <is>
          <t>Pública Incondicionada</t>
        </is>
      </c>
      <c r="H791" s="7" t="inlineStr">
        <is>
          <t>Não</t>
        </is>
      </c>
      <c r="I791" s="7" t="inlineStr">
        <is>
          <t>Doloso</t>
        </is>
      </c>
      <c r="J791" s="7" t="inlineStr">
        <is>
          <t>Sim</t>
        </is>
      </c>
      <c r="K791" s="7" t="inlineStr">
        <is>
          <t>Não</t>
        </is>
      </c>
      <c r="L791" s="7" t="inlineStr">
        <is>
          <t>Não</t>
        </is>
      </c>
      <c r="M791" s="7" t="inlineStr">
        <is>
          <t>Sim</t>
        </is>
      </c>
      <c r="N791" s="7" t="inlineStr">
        <is>
          <t>Sim</t>
        </is>
      </c>
      <c r="O791" s="7" t="inlineStr">
        <is>
          <t>Sim</t>
        </is>
      </c>
      <c r="P791" s="16" t="inlineStr">
        <is>
          <t>3 meses a 1 ano detenção militar</t>
        </is>
      </c>
    </row>
    <row r="792">
      <c r="A792" s="7" t="inlineStr">
        <is>
          <t>CPM (DL 1.001/69)</t>
        </is>
      </c>
      <c r="B792" s="7" t="inlineStr">
        <is>
          <t>Art. 196</t>
        </is>
      </c>
      <c r="C792" s="16" t="inlineStr">
        <is>
          <t>Embriaguez em serviço (apresentar-se em serviço em estado de embriaguez ou embriagar-se durante o serviço)</t>
        </is>
      </c>
      <c r="D792" s="7" t="n">
        <v>3</v>
      </c>
      <c r="E792" s="7" t="n">
        <v>6</v>
      </c>
      <c r="F792" s="7" t="inlineStr">
        <is>
          <t>Detenção</t>
        </is>
      </c>
      <c r="G792" s="7" t="inlineStr">
        <is>
          <t>Pública Incondicionada</t>
        </is>
      </c>
      <c r="H792" s="7" t="inlineStr">
        <is>
          <t>Não</t>
        </is>
      </c>
      <c r="I792" s="7" t="inlineStr">
        <is>
          <t>Doloso</t>
        </is>
      </c>
      <c r="J792" s="7" t="inlineStr">
        <is>
          <t>Não</t>
        </is>
      </c>
      <c r="K792" s="7" t="inlineStr">
        <is>
          <t>Não</t>
        </is>
      </c>
      <c r="L792" s="7" t="inlineStr">
        <is>
          <t>Não</t>
        </is>
      </c>
      <c r="M792" s="7" t="inlineStr">
        <is>
          <t>Sim</t>
        </is>
      </c>
      <c r="N792" s="7" t="inlineStr">
        <is>
          <t>Sim</t>
        </is>
      </c>
      <c r="O792" s="7" t="inlineStr">
        <is>
          <t>Sim</t>
        </is>
      </c>
      <c r="P792" s="16" t="inlineStr">
        <is>
          <t>3-6 meses detenção militar</t>
        </is>
      </c>
    </row>
    <row r="793">
      <c r="A793" s="7" t="inlineStr">
        <is>
          <t>CPM (DL 1.001/69)</t>
        </is>
      </c>
      <c r="B793" s="7" t="inlineStr">
        <is>
          <t>Art. 198</t>
        </is>
      </c>
      <c r="C793" s="16" t="inlineStr">
        <is>
          <t>Dormir em serviço (adormecer no posto/serviço)</t>
        </is>
      </c>
      <c r="D793" s="7" t="n">
        <v>3</v>
      </c>
      <c r="E793" s="7" t="n">
        <v>6</v>
      </c>
      <c r="F793" s="7" t="inlineStr">
        <is>
          <t>Detenção</t>
        </is>
      </c>
      <c r="G793" s="7" t="inlineStr">
        <is>
          <t>Pública Incondicionada</t>
        </is>
      </c>
      <c r="H793" s="7" t="inlineStr">
        <is>
          <t>Não</t>
        </is>
      </c>
      <c r="I793" s="7" t="inlineStr">
        <is>
          <t>Culposo</t>
        </is>
      </c>
      <c r="J793" s="7" t="inlineStr">
        <is>
          <t>Não</t>
        </is>
      </c>
      <c r="K793" s="7" t="inlineStr">
        <is>
          <t>Não</t>
        </is>
      </c>
      <c r="L793" s="7" t="inlineStr">
        <is>
          <t>Não</t>
        </is>
      </c>
      <c r="M793" s="7" t="inlineStr">
        <is>
          <t>Sim</t>
        </is>
      </c>
      <c r="N793" s="7" t="inlineStr">
        <is>
          <t>Sim</t>
        </is>
      </c>
      <c r="O793" s="7" t="inlineStr">
        <is>
          <t>Sim</t>
        </is>
      </c>
      <c r="P793" s="16" t="inlineStr">
        <is>
          <t>3-6 meses detenção militar</t>
        </is>
      </c>
    </row>
    <row r="794">
      <c r="A794" s="26" t="inlineStr">
        <is>
          <t>CPM (DL 1.001/69)</t>
        </is>
      </c>
      <c r="B794" s="26" t="inlineStr">
        <is>
          <t>Art. 205</t>
        </is>
      </c>
      <c r="C794" s="27" t="inlineStr">
        <is>
          <t>Homicídio militar simples</t>
        </is>
      </c>
      <c r="D794" s="26" t="n">
        <v>72</v>
      </c>
      <c r="E794" s="26" t="n">
        <v>240</v>
      </c>
      <c r="F794" s="26" t="inlineStr">
        <is>
          <t>Reclusão</t>
        </is>
      </c>
      <c r="G794" s="26" t="inlineStr">
        <is>
          <t>Pública Incondicionada</t>
        </is>
      </c>
      <c r="H794" s="26" t="inlineStr">
        <is>
          <t>Não</t>
        </is>
      </c>
      <c r="I794" s="26" t="inlineStr">
        <is>
          <t>Doloso</t>
        </is>
      </c>
      <c r="J794" s="26" t="inlineStr">
        <is>
          <t>Sim</t>
        </is>
      </c>
      <c r="K794" s="26" t="inlineStr">
        <is>
          <t>Sim</t>
        </is>
      </c>
      <c r="L794" s="26" t="inlineStr">
        <is>
          <t>Não</t>
        </is>
      </c>
      <c r="M794" s="26" t="inlineStr">
        <is>
          <t>Não</t>
        </is>
      </c>
      <c r="N794" s="26" t="inlineStr">
        <is>
          <t>Não</t>
        </is>
      </c>
      <c r="O794" s="26" t="inlineStr">
        <is>
          <t>Verificar</t>
        </is>
      </c>
      <c r="P794" s="27" t="inlineStr">
        <is>
          <t>6-20 anos reclusão militar. Matar alguém em contexto de serviço militar</t>
        </is>
      </c>
    </row>
    <row r="795">
      <c r="A795" s="17" t="inlineStr">
        <is>
          <t>CPM (DL 1.001/69)</t>
        </is>
      </c>
      <c r="B795" s="17" t="inlineStr">
        <is>
          <t>Art. 205, §1º</t>
        </is>
      </c>
      <c r="C795" s="18" t="inlineStr">
        <is>
          <t>Homicídio militar qualificado (motivo fútil/torpe, emprego de veneno/fogo/explosivo/traição)</t>
        </is>
      </c>
      <c r="D795" s="17" t="n">
        <v>144</v>
      </c>
      <c r="E795" s="17" t="n">
        <v>360</v>
      </c>
      <c r="F795" s="17" t="inlineStr">
        <is>
          <t>Reclusão</t>
        </is>
      </c>
      <c r="G795" s="17" t="inlineStr">
        <is>
          <t>Pública Incondicionada</t>
        </is>
      </c>
      <c r="H795" s="17" t="inlineStr">
        <is>
          <t>Sim</t>
        </is>
      </c>
      <c r="I795" s="17" t="inlineStr">
        <is>
          <t>Doloso</t>
        </is>
      </c>
      <c r="J795" s="17" t="inlineStr">
        <is>
          <t>Sim</t>
        </is>
      </c>
      <c r="K795" s="17" t="inlineStr">
        <is>
          <t>Sim</t>
        </is>
      </c>
      <c r="L795" s="17" t="inlineStr">
        <is>
          <t>Não</t>
        </is>
      </c>
      <c r="M795" s="17" t="inlineStr">
        <is>
          <t>Não</t>
        </is>
      </c>
      <c r="N795" s="17" t="inlineStr">
        <is>
          <t>Não</t>
        </is>
      </c>
      <c r="O795" s="17" t="inlineStr">
        <is>
          <t>Verificar</t>
        </is>
      </c>
      <c r="P795" s="18" t="inlineStr">
        <is>
          <t>12-30 anos reclusão militar. HEDIONDO</t>
        </is>
      </c>
    </row>
    <row r="796">
      <c r="A796" s="26" t="inlineStr">
        <is>
          <t>CPM (DL 1.001/69)</t>
        </is>
      </c>
      <c r="B796" s="26" t="inlineStr">
        <is>
          <t>Art. 205, §2º</t>
        </is>
      </c>
      <c r="C796" s="27" t="inlineStr">
        <is>
          <t>Homicídio militar privilegiado (relevante valor social/moral ou violenta emoção)</t>
        </is>
      </c>
      <c r="D796" s="26" t="n">
        <v>12</v>
      </c>
      <c r="E796" s="26" t="n">
        <v>72</v>
      </c>
      <c r="F796" s="26" t="inlineStr">
        <is>
          <t>Reclusão</t>
        </is>
      </c>
      <c r="G796" s="26" t="inlineStr">
        <is>
          <t>Pública Incondicionada</t>
        </is>
      </c>
      <c r="H796" s="26" t="inlineStr">
        <is>
          <t>Não</t>
        </is>
      </c>
      <c r="I796" s="26" t="inlineStr">
        <is>
          <t>Doloso</t>
        </is>
      </c>
      <c r="J796" s="26" t="inlineStr">
        <is>
          <t>Sim</t>
        </is>
      </c>
      <c r="K796" s="26" t="inlineStr">
        <is>
          <t>Sim</t>
        </is>
      </c>
      <c r="L796" s="26" t="inlineStr">
        <is>
          <t>Não</t>
        </is>
      </c>
      <c r="M796" s="26" t="inlineStr">
        <is>
          <t>Não</t>
        </is>
      </c>
      <c r="N796" s="26" t="inlineStr">
        <is>
          <t>Sim</t>
        </is>
      </c>
      <c r="O796" s="26" t="inlineStr">
        <is>
          <t>Sim</t>
        </is>
      </c>
      <c r="P796" s="27" t="inlineStr">
        <is>
          <t>1-6 anos reclusão militar</t>
        </is>
      </c>
    </row>
    <row r="797">
      <c r="A797" s="26" t="inlineStr">
        <is>
          <t>CPM (DL 1.001/69)</t>
        </is>
      </c>
      <c r="B797" s="26" t="inlineStr">
        <is>
          <t>Art. 206</t>
        </is>
      </c>
      <c r="C797" s="27" t="inlineStr">
        <is>
          <t>Homicídio culposo militar</t>
        </is>
      </c>
      <c r="D797" s="26" t="n">
        <v>12</v>
      </c>
      <c r="E797" s="26" t="n">
        <v>48</v>
      </c>
      <c r="F797" s="26" t="inlineStr">
        <is>
          <t>Detenção</t>
        </is>
      </c>
      <c r="G797" s="26" t="inlineStr">
        <is>
          <t>Pública Incondicionada</t>
        </is>
      </c>
      <c r="H797" s="26" t="inlineStr">
        <is>
          <t>Não</t>
        </is>
      </c>
      <c r="I797" s="26" t="inlineStr">
        <is>
          <t>Culposo</t>
        </is>
      </c>
      <c r="J797" s="26" t="inlineStr">
        <is>
          <t>Não</t>
        </is>
      </c>
      <c r="K797" s="26" t="inlineStr">
        <is>
          <t>Sim</t>
        </is>
      </c>
      <c r="L797" s="26" t="inlineStr">
        <is>
          <t>Não</t>
        </is>
      </c>
      <c r="M797" s="26" t="inlineStr">
        <is>
          <t>Não</t>
        </is>
      </c>
      <c r="N797" s="26" t="inlineStr">
        <is>
          <t>Sim</t>
        </is>
      </c>
      <c r="O797" s="26" t="inlineStr">
        <is>
          <t>Sim</t>
        </is>
      </c>
      <c r="P797" s="27" t="inlineStr">
        <is>
          <t>1-4 anos detenção militar</t>
        </is>
      </c>
    </row>
    <row r="798">
      <c r="A798" s="17" t="inlineStr">
        <is>
          <t>CPM (DL 1.001/69)</t>
        </is>
      </c>
      <c r="B798" s="17" t="inlineStr">
        <is>
          <t>Art. 207</t>
        </is>
      </c>
      <c r="C798" s="18" t="inlineStr">
        <is>
          <t>Genocídio militar (destruir total ou parcialmente grupo nacional/étnico/racial/religioso)</t>
        </is>
      </c>
      <c r="D798" s="17" t="n">
        <v>180</v>
      </c>
      <c r="E798" s="17" t="n">
        <v>360</v>
      </c>
      <c r="F798" s="17" t="inlineStr">
        <is>
          <t>Reclusão</t>
        </is>
      </c>
      <c r="G798" s="17" t="inlineStr">
        <is>
          <t>Pública Incondicionada</t>
        </is>
      </c>
      <c r="H798" s="17" t="inlineStr">
        <is>
          <t>Sim</t>
        </is>
      </c>
      <c r="I798" s="17" t="inlineStr">
        <is>
          <t>Doloso</t>
        </is>
      </c>
      <c r="J798" s="17" t="inlineStr">
        <is>
          <t>Sim</t>
        </is>
      </c>
      <c r="K798" s="17" t="inlineStr">
        <is>
          <t>Sim</t>
        </is>
      </c>
      <c r="L798" s="17" t="inlineStr">
        <is>
          <t>Não</t>
        </is>
      </c>
      <c r="M798" s="17" t="inlineStr">
        <is>
          <t>Não</t>
        </is>
      </c>
      <c r="N798" s="17" t="inlineStr">
        <is>
          <t>Não</t>
        </is>
      </c>
      <c r="O798" s="17" t="inlineStr">
        <is>
          <t>Verificar</t>
        </is>
      </c>
      <c r="P798" s="18" t="inlineStr">
        <is>
          <t>15-30 anos reclusão militar. HEDIONDO</t>
        </is>
      </c>
    </row>
    <row r="799">
      <c r="A799" s="26" t="inlineStr">
        <is>
          <t>CPM (DL 1.001/69)</t>
        </is>
      </c>
      <c r="B799" s="26" t="inlineStr">
        <is>
          <t>Art. 209</t>
        </is>
      </c>
      <c r="C799" s="27" t="inlineStr">
        <is>
          <t>Lesão corporal militar leve</t>
        </is>
      </c>
      <c r="D799" s="26" t="n">
        <v>3</v>
      </c>
      <c r="E799" s="26" t="n">
        <v>12</v>
      </c>
      <c r="F799" s="26" t="inlineStr">
        <is>
          <t>Detenção</t>
        </is>
      </c>
      <c r="G799" s="26" t="inlineStr">
        <is>
          <t>Pública Incondicionada</t>
        </is>
      </c>
      <c r="H799" s="26" t="inlineStr">
        <is>
          <t>Não</t>
        </is>
      </c>
      <c r="I799" s="26" t="inlineStr">
        <is>
          <t>Doloso</t>
        </is>
      </c>
      <c r="J799" s="26" t="inlineStr">
        <is>
          <t>Sim</t>
        </is>
      </c>
      <c r="K799" s="26" t="inlineStr">
        <is>
          <t>Sim</t>
        </is>
      </c>
      <c r="L799" s="26" t="inlineStr">
        <is>
          <t>Não</t>
        </is>
      </c>
      <c r="M799" s="26" t="inlineStr">
        <is>
          <t>Não</t>
        </is>
      </c>
      <c r="N799" s="26" t="inlineStr">
        <is>
          <t>Sim</t>
        </is>
      </c>
      <c r="O799" s="26" t="inlineStr">
        <is>
          <t>Sim</t>
        </is>
      </c>
      <c r="P799" s="27" t="inlineStr">
        <is>
          <t>3 meses a 1 ano detenção militar</t>
        </is>
      </c>
    </row>
    <row r="800">
      <c r="A800" s="26" t="inlineStr">
        <is>
          <t>CPM (DL 1.001/69)</t>
        </is>
      </c>
      <c r="B800" s="26" t="inlineStr">
        <is>
          <t>Art. 209, §1º</t>
        </is>
      </c>
      <c r="C800" s="27" t="inlineStr">
        <is>
          <t>Lesão corporal militar grave (incapacidade/perigo de vida/debilidade/aceleração de parto)</t>
        </is>
      </c>
      <c r="D800" s="26" t="n">
        <v>12</v>
      </c>
      <c r="E800" s="26" t="n">
        <v>60</v>
      </c>
      <c r="F800" s="26" t="inlineStr">
        <is>
          <t>Reclusão</t>
        </is>
      </c>
      <c r="G800" s="26" t="inlineStr">
        <is>
          <t>Pública Incondicionada</t>
        </is>
      </c>
      <c r="H800" s="26" t="inlineStr">
        <is>
          <t>Não</t>
        </is>
      </c>
      <c r="I800" s="26" t="inlineStr">
        <is>
          <t>Doloso</t>
        </is>
      </c>
      <c r="J800" s="26" t="inlineStr">
        <is>
          <t>Sim</t>
        </is>
      </c>
      <c r="K800" s="26" t="inlineStr">
        <is>
          <t>Sim</t>
        </is>
      </c>
      <c r="L800" s="26" t="inlineStr">
        <is>
          <t>Não</t>
        </is>
      </c>
      <c r="M800" s="26" t="inlineStr">
        <is>
          <t>Não</t>
        </is>
      </c>
      <c r="N800" s="26" t="inlineStr">
        <is>
          <t>Sim</t>
        </is>
      </c>
      <c r="O800" s="26" t="inlineStr">
        <is>
          <t>Sim</t>
        </is>
      </c>
      <c r="P800" s="27" t="inlineStr">
        <is>
          <t>1-5 anos reclusão militar</t>
        </is>
      </c>
    </row>
    <row r="801">
      <c r="A801" s="26" t="inlineStr">
        <is>
          <t>CPM (DL 1.001/69)</t>
        </is>
      </c>
      <c r="B801" s="26" t="inlineStr">
        <is>
          <t>Art. 209, §2º</t>
        </is>
      </c>
      <c r="C801" s="27" t="inlineStr">
        <is>
          <t>Lesão corporal militar gravíssima (incapacidade permanente/enfermidade incurável/perda de membro/deformidade/aborto)</t>
        </is>
      </c>
      <c r="D801" s="26" t="n">
        <v>24</v>
      </c>
      <c r="E801" s="26" t="n">
        <v>96</v>
      </c>
      <c r="F801" s="26" t="inlineStr">
        <is>
          <t>Reclusão</t>
        </is>
      </c>
      <c r="G801" s="26" t="inlineStr">
        <is>
          <t>Pública Incondicionada</t>
        </is>
      </c>
      <c r="H801" s="26" t="inlineStr">
        <is>
          <t>Não</t>
        </is>
      </c>
      <c r="I801" s="26" t="inlineStr">
        <is>
          <t>Doloso</t>
        </is>
      </c>
      <c r="J801" s="26" t="inlineStr">
        <is>
          <t>Sim</t>
        </is>
      </c>
      <c r="K801" s="26" t="inlineStr">
        <is>
          <t>Sim</t>
        </is>
      </c>
      <c r="L801" s="26" t="inlineStr">
        <is>
          <t>Não</t>
        </is>
      </c>
      <c r="M801" s="26" t="inlineStr">
        <is>
          <t>Não</t>
        </is>
      </c>
      <c r="N801" s="26" t="inlineStr">
        <is>
          <t>Não</t>
        </is>
      </c>
      <c r="O801" s="26" t="inlineStr">
        <is>
          <t>Sim</t>
        </is>
      </c>
      <c r="P801" s="27" t="inlineStr">
        <is>
          <t>2-8 anos reclusão militar</t>
        </is>
      </c>
    </row>
    <row r="802">
      <c r="A802" s="7" t="inlineStr">
        <is>
          <t>CPM (DL 1.001/69)</t>
        </is>
      </c>
      <c r="B802" s="7" t="inlineStr">
        <is>
          <t>Art. 240</t>
        </is>
      </c>
      <c r="C802" s="16" t="inlineStr">
        <is>
          <t>Furto militar simples (subtrair coisa alheia móvel para si ou para outrem)</t>
        </is>
      </c>
      <c r="D802" s="7" t="n">
        <v>12</v>
      </c>
      <c r="E802" s="7" t="n">
        <v>72</v>
      </c>
      <c r="F802" s="7" t="inlineStr">
        <is>
          <t>Reclusão</t>
        </is>
      </c>
      <c r="G802" s="7" t="inlineStr">
        <is>
          <t>Pública Incondicionada</t>
        </is>
      </c>
      <c r="H802" s="7" t="inlineStr">
        <is>
          <t>Não</t>
        </is>
      </c>
      <c r="I802" s="7" t="inlineStr">
        <is>
          <t>Doloso</t>
        </is>
      </c>
      <c r="J802" s="7" t="inlineStr">
        <is>
          <t>Sim</t>
        </is>
      </c>
      <c r="K802" s="7" t="inlineStr">
        <is>
          <t>Não</t>
        </is>
      </c>
      <c r="L802" s="7" t="inlineStr">
        <is>
          <t>Não</t>
        </is>
      </c>
      <c r="M802" s="7" t="inlineStr">
        <is>
          <t>Sim</t>
        </is>
      </c>
      <c r="N802" s="7" t="inlineStr">
        <is>
          <t>Sim</t>
        </is>
      </c>
      <c r="O802" s="7" t="inlineStr">
        <is>
          <t>Sim</t>
        </is>
      </c>
      <c r="P802" s="16" t="inlineStr">
        <is>
          <t>1-6 anos reclusão militar</t>
        </is>
      </c>
    </row>
    <row r="803">
      <c r="A803" s="26" t="inlineStr">
        <is>
          <t>CPM (DL 1.001/69)</t>
        </is>
      </c>
      <c r="B803" s="26" t="inlineStr">
        <is>
          <t>Art. 241</t>
        </is>
      </c>
      <c r="C803" s="27" t="inlineStr">
        <is>
          <t>Roubo militar simples (subtrair coisa alheia mediante violência ou grave ameaça)</t>
        </is>
      </c>
      <c r="D803" s="26" t="n">
        <v>48</v>
      </c>
      <c r="E803" s="26" t="n">
        <v>180</v>
      </c>
      <c r="F803" s="26" t="inlineStr">
        <is>
          <t>Reclusão</t>
        </is>
      </c>
      <c r="G803" s="26" t="inlineStr">
        <is>
          <t>Pública Incondicionada</t>
        </is>
      </c>
      <c r="H803" s="26" t="inlineStr">
        <is>
          <t>Não</t>
        </is>
      </c>
      <c r="I803" s="26" t="inlineStr">
        <is>
          <t>Doloso</t>
        </is>
      </c>
      <c r="J803" s="26" t="inlineStr">
        <is>
          <t>Sim</t>
        </is>
      </c>
      <c r="K803" s="26" t="inlineStr">
        <is>
          <t>Sim</t>
        </is>
      </c>
      <c r="L803" s="26" t="inlineStr">
        <is>
          <t>Sim</t>
        </is>
      </c>
      <c r="M803" s="26" t="inlineStr">
        <is>
          <t>Não</t>
        </is>
      </c>
      <c r="N803" s="26" t="inlineStr">
        <is>
          <t>Não</t>
        </is>
      </c>
      <c r="O803" s="26" t="inlineStr">
        <is>
          <t>Verificar</t>
        </is>
      </c>
      <c r="P803" s="27" t="inlineStr">
        <is>
          <t>4-15 anos reclusão militar</t>
        </is>
      </c>
    </row>
    <row r="804">
      <c r="A804" s="7" t="inlineStr">
        <is>
          <t>CPM (DL 1.001/69)</t>
        </is>
      </c>
      <c r="B804" s="7" t="inlineStr">
        <is>
          <t>Art. 248</t>
        </is>
      </c>
      <c r="C804" s="16" t="inlineStr">
        <is>
          <t>Estelionato militar (obter vantagem ilícita mediante fraude, artifício ou ardil)</t>
        </is>
      </c>
      <c r="D804" s="7" t="n">
        <v>12</v>
      </c>
      <c r="E804" s="7" t="n">
        <v>84</v>
      </c>
      <c r="F804" s="7" t="inlineStr">
        <is>
          <t>Reclusão</t>
        </is>
      </c>
      <c r="G804" s="7" t="inlineStr">
        <is>
          <t>Pública Incondicionada</t>
        </is>
      </c>
      <c r="H804" s="7" t="inlineStr">
        <is>
          <t>Não</t>
        </is>
      </c>
      <c r="I804" s="7" t="inlineStr">
        <is>
          <t>Doloso</t>
        </is>
      </c>
      <c r="J804" s="7" t="inlineStr">
        <is>
          <t>Sim</t>
        </is>
      </c>
      <c r="K804" s="7" t="inlineStr">
        <is>
          <t>Não</t>
        </is>
      </c>
      <c r="L804" s="7" t="inlineStr">
        <is>
          <t>Não</t>
        </is>
      </c>
      <c r="M804" s="7" t="inlineStr">
        <is>
          <t>Sim</t>
        </is>
      </c>
      <c r="N804" s="7" t="inlineStr">
        <is>
          <t>Sim</t>
        </is>
      </c>
      <c r="O804" s="7" t="inlineStr">
        <is>
          <t>Sim</t>
        </is>
      </c>
      <c r="P804" s="16" t="inlineStr">
        <is>
          <t>1-7 anos reclusão militar + multa</t>
        </is>
      </c>
    </row>
    <row r="805">
      <c r="A805" s="7" t="inlineStr">
        <is>
          <t>CPM (DL 1.001/69)</t>
        </is>
      </c>
      <c r="B805" s="7" t="inlineStr">
        <is>
          <t>Art. 250</t>
        </is>
      </c>
      <c r="C805" s="16" t="inlineStr">
        <is>
          <t>Apropriação indébita militar</t>
        </is>
      </c>
      <c r="D805" s="7" t="n">
        <v>12</v>
      </c>
      <c r="E805" s="7" t="n">
        <v>36</v>
      </c>
      <c r="F805" s="7" t="inlineStr">
        <is>
          <t>Reclusão</t>
        </is>
      </c>
      <c r="G805" s="7" t="inlineStr">
        <is>
          <t>Pública Incondicionada</t>
        </is>
      </c>
      <c r="H805" s="7" t="inlineStr">
        <is>
          <t>Não</t>
        </is>
      </c>
      <c r="I805" s="7" t="inlineStr">
        <is>
          <t>Doloso</t>
        </is>
      </c>
      <c r="J805" s="7" t="inlineStr">
        <is>
          <t>Sim</t>
        </is>
      </c>
      <c r="K805" s="7" t="inlineStr">
        <is>
          <t>Não</t>
        </is>
      </c>
      <c r="L805" s="7" t="inlineStr">
        <is>
          <t>Não</t>
        </is>
      </c>
      <c r="M805" s="7" t="inlineStr">
        <is>
          <t>Sim</t>
        </is>
      </c>
      <c r="N805" s="7" t="inlineStr">
        <is>
          <t>Sim</t>
        </is>
      </c>
      <c r="O805" s="7" t="inlineStr">
        <is>
          <t>Sim</t>
        </is>
      </c>
      <c r="P805" s="16" t="inlineStr">
        <is>
          <t>1-3 anos reclusão militar</t>
        </is>
      </c>
    </row>
    <row r="806">
      <c r="A806" s="7" t="inlineStr">
        <is>
          <t>CPM (DL 1.001/69)</t>
        </is>
      </c>
      <c r="B806" s="7" t="inlineStr">
        <is>
          <t>Art. 251</t>
        </is>
      </c>
      <c r="C806" s="16" t="inlineStr">
        <is>
          <t>Estelionato e abuso de incapaz militar (subtrair/danificar coisa de incapaz)</t>
        </is>
      </c>
      <c r="D806" s="7" t="n">
        <v>12</v>
      </c>
      <c r="E806" s="7" t="n">
        <v>48</v>
      </c>
      <c r="F806" s="7" t="inlineStr">
        <is>
          <t>Reclusão</t>
        </is>
      </c>
      <c r="G806" s="7" t="inlineStr">
        <is>
          <t>Pública Incondicionada</t>
        </is>
      </c>
      <c r="H806" s="7" t="inlineStr">
        <is>
          <t>Não</t>
        </is>
      </c>
      <c r="I806" s="7" t="inlineStr">
        <is>
          <t>Doloso</t>
        </is>
      </c>
      <c r="J806" s="7" t="inlineStr">
        <is>
          <t>Sim</t>
        </is>
      </c>
      <c r="K806" s="7" t="inlineStr">
        <is>
          <t>Não</t>
        </is>
      </c>
      <c r="L806" s="7" t="inlineStr">
        <is>
          <t>Não</t>
        </is>
      </c>
      <c r="M806" s="7" t="inlineStr">
        <is>
          <t>Sim</t>
        </is>
      </c>
      <c r="N806" s="7" t="inlineStr">
        <is>
          <t>Sim</t>
        </is>
      </c>
      <c r="O806" s="7" t="inlineStr">
        <is>
          <t>Sim</t>
        </is>
      </c>
      <c r="P806" s="16" t="inlineStr">
        <is>
          <t>1-4 anos reclusão militar</t>
        </is>
      </c>
    </row>
    <row r="807">
      <c r="A807" s="26" t="inlineStr">
        <is>
          <t>CPM (DL 1.001/69)</t>
        </is>
      </c>
      <c r="B807" s="26" t="inlineStr">
        <is>
          <t>Art. 253</t>
        </is>
      </c>
      <c r="C807" s="27" t="inlineStr">
        <is>
          <t>Dano militar simples (destruir/inutilizar/deteriorar coisa alheia)</t>
        </is>
      </c>
      <c r="D807" s="26" t="n">
        <v>6</v>
      </c>
      <c r="E807" s="26" t="n">
        <v>36</v>
      </c>
      <c r="F807" s="26" t="inlineStr">
        <is>
          <t>Detenção</t>
        </is>
      </c>
      <c r="G807" s="26" t="inlineStr">
        <is>
          <t>Pública Incondicionada</t>
        </is>
      </c>
      <c r="H807" s="26" t="inlineStr">
        <is>
          <t>Não</t>
        </is>
      </c>
      <c r="I807" s="26" t="inlineStr">
        <is>
          <t>Doloso</t>
        </is>
      </c>
      <c r="J807" s="26" t="inlineStr">
        <is>
          <t>Sim</t>
        </is>
      </c>
      <c r="K807" s="26" t="inlineStr">
        <is>
          <t>Sim</t>
        </is>
      </c>
      <c r="L807" s="26" t="inlineStr">
        <is>
          <t>Não</t>
        </is>
      </c>
      <c r="M807" s="26" t="inlineStr">
        <is>
          <t>Não</t>
        </is>
      </c>
      <c r="N807" s="26" t="inlineStr">
        <is>
          <t>Sim</t>
        </is>
      </c>
      <c r="O807" s="26" t="inlineStr">
        <is>
          <t>Sim</t>
        </is>
      </c>
      <c r="P807" s="27" t="inlineStr">
        <is>
          <t>6 meses a 3 anos detenção militar</t>
        </is>
      </c>
    </row>
    <row r="808">
      <c r="A808" s="7" t="inlineStr">
        <is>
          <t>CPM (DL 1.001/69)</t>
        </is>
      </c>
      <c r="B808" s="7" t="inlineStr">
        <is>
          <t>Art. 262</t>
        </is>
      </c>
      <c r="C808" s="16" t="inlineStr">
        <is>
          <t>Peculato militar (apropriação de dinheiro/valor público pelo militar)</t>
        </is>
      </c>
      <c r="D808" s="7" t="n">
        <v>36</v>
      </c>
      <c r="E808" s="7" t="n">
        <v>180</v>
      </c>
      <c r="F808" s="7" t="inlineStr">
        <is>
          <t>Reclusão</t>
        </is>
      </c>
      <c r="G808" s="7" t="inlineStr">
        <is>
          <t>Pública Incondicionada</t>
        </is>
      </c>
      <c r="H808" s="7" t="inlineStr">
        <is>
          <t>Não</t>
        </is>
      </c>
      <c r="I808" s="7" t="inlineStr">
        <is>
          <t>Doloso</t>
        </is>
      </c>
      <c r="J808" s="7" t="inlineStr">
        <is>
          <t>Sim</t>
        </is>
      </c>
      <c r="K808" s="7" t="inlineStr">
        <is>
          <t>Não</t>
        </is>
      </c>
      <c r="L808" s="7" t="inlineStr">
        <is>
          <t>Não</t>
        </is>
      </c>
      <c r="M808" s="7" t="inlineStr">
        <is>
          <t>Sim</t>
        </is>
      </c>
      <c r="N808" s="7" t="inlineStr">
        <is>
          <t>Não</t>
        </is>
      </c>
      <c r="O808" s="7" t="inlineStr">
        <is>
          <t>Verificar</t>
        </is>
      </c>
      <c r="P808" s="16" t="inlineStr">
        <is>
          <t>3-15 anos reclusão militar</t>
        </is>
      </c>
    </row>
    <row r="809">
      <c r="A809" s="7" t="inlineStr">
        <is>
          <t>CPM (DL 1.001/69)</t>
        </is>
      </c>
      <c r="B809" s="7" t="inlineStr">
        <is>
          <t>Art. 290</t>
        </is>
      </c>
      <c r="C809" s="16" t="inlineStr">
        <is>
          <t>Tráfico, posse ou uso de drogas em lugar sujeito à administração militar</t>
        </is>
      </c>
      <c r="D809" s="7" t="n">
        <v>12</v>
      </c>
      <c r="E809" s="7" t="n">
        <v>60</v>
      </c>
      <c r="F809" s="7" t="inlineStr">
        <is>
          <t>Reclusão</t>
        </is>
      </c>
      <c r="G809" s="7" t="inlineStr">
        <is>
          <t>Pública Incondicionada</t>
        </is>
      </c>
      <c r="H809" s="7" t="inlineStr">
        <is>
          <t>Não</t>
        </is>
      </c>
      <c r="I809" s="7" t="inlineStr">
        <is>
          <t>Doloso</t>
        </is>
      </c>
      <c r="J809" s="7" t="inlineStr">
        <is>
          <t>Sim</t>
        </is>
      </c>
      <c r="K809" s="7" t="inlineStr">
        <is>
          <t>Não</t>
        </is>
      </c>
      <c r="L809" s="7" t="inlineStr">
        <is>
          <t>Não</t>
        </is>
      </c>
      <c r="M809" s="7" t="inlineStr">
        <is>
          <t>Sim</t>
        </is>
      </c>
      <c r="N809" s="7" t="inlineStr">
        <is>
          <t>Sim</t>
        </is>
      </c>
      <c r="O809" s="7" t="inlineStr">
        <is>
          <t>Sim</t>
        </is>
      </c>
      <c r="P809" s="16" t="inlineStr">
        <is>
          <t>1-5 anos reclusão militar. §único: se posse para uso próprio: 6 meses a 2 anos detenção</t>
        </is>
      </c>
    </row>
    <row r="810">
      <c r="A810" s="7" t="inlineStr">
        <is>
          <t>CPM (DL 1.001/69)</t>
        </is>
      </c>
      <c r="B810" s="7" t="inlineStr">
        <is>
          <t>Art. 291</t>
        </is>
      </c>
      <c r="C810" s="16" t="inlineStr">
        <is>
          <t>Embriaguez habitual ou em serviço (CPM)</t>
        </is>
      </c>
      <c r="D810" s="7" t="n">
        <v>3</v>
      </c>
      <c r="E810" s="7" t="n">
        <v>12</v>
      </c>
      <c r="F810" s="7" t="inlineStr">
        <is>
          <t>Detenção</t>
        </is>
      </c>
      <c r="G810" s="7" t="inlineStr">
        <is>
          <t>Pública Incondicionada</t>
        </is>
      </c>
      <c r="H810" s="7" t="inlineStr">
        <is>
          <t>Não</t>
        </is>
      </c>
      <c r="I810" s="7" t="inlineStr">
        <is>
          <t>Doloso</t>
        </is>
      </c>
      <c r="J810" s="7" t="inlineStr">
        <is>
          <t>Não</t>
        </is>
      </c>
      <c r="K810" s="7" t="inlineStr">
        <is>
          <t>Não</t>
        </is>
      </c>
      <c r="L810" s="7" t="inlineStr">
        <is>
          <t>Não</t>
        </is>
      </c>
      <c r="M810" s="7" t="inlineStr">
        <is>
          <t>Sim</t>
        </is>
      </c>
      <c r="N810" s="7" t="inlineStr">
        <is>
          <t>Sim</t>
        </is>
      </c>
      <c r="O810" s="7" t="inlineStr">
        <is>
          <t>Sim</t>
        </is>
      </c>
      <c r="P810" s="16" t="inlineStr">
        <is>
          <t>3 meses a 1 ano detenção militar</t>
        </is>
      </c>
    </row>
    <row r="811">
      <c r="A811" s="7" t="inlineStr">
        <is>
          <t>CPM (DL 1.001/69)</t>
        </is>
      </c>
      <c r="B811" s="7" t="inlineStr">
        <is>
          <t>Art. 298</t>
        </is>
      </c>
      <c r="C811" s="16" t="inlineStr">
        <is>
          <t>Falsidade ideológica militar (inserir declaração falsa em documento militar)</t>
        </is>
      </c>
      <c r="D811" s="7" t="n">
        <v>12</v>
      </c>
      <c r="E811" s="7" t="n">
        <v>36</v>
      </c>
      <c r="F811" s="7" t="inlineStr">
        <is>
          <t>Reclusão</t>
        </is>
      </c>
      <c r="G811" s="7" t="inlineStr">
        <is>
          <t>Pública Incondicionada</t>
        </is>
      </c>
      <c r="H811" s="7" t="inlineStr">
        <is>
          <t>Não</t>
        </is>
      </c>
      <c r="I811" s="7" t="inlineStr">
        <is>
          <t>Doloso</t>
        </is>
      </c>
      <c r="J811" s="7" t="inlineStr">
        <is>
          <t>Sim</t>
        </is>
      </c>
      <c r="K811" s="7" t="inlineStr">
        <is>
          <t>Não</t>
        </is>
      </c>
      <c r="L811" s="7" t="inlineStr">
        <is>
          <t>Não</t>
        </is>
      </c>
      <c r="M811" s="7" t="inlineStr">
        <is>
          <t>Sim</t>
        </is>
      </c>
      <c r="N811" s="7" t="inlineStr">
        <is>
          <t>Sim</t>
        </is>
      </c>
      <c r="O811" s="7" t="inlineStr">
        <is>
          <t>Sim</t>
        </is>
      </c>
      <c r="P811" s="16" t="inlineStr">
        <is>
          <t>1-3 anos reclusão militar</t>
        </is>
      </c>
    </row>
    <row r="812">
      <c r="A812" s="7" t="inlineStr">
        <is>
          <t>CPM (DL 1.001/69)</t>
        </is>
      </c>
      <c r="B812" s="7" t="inlineStr">
        <is>
          <t>Art. 299</t>
        </is>
      </c>
      <c r="C812" s="16" t="inlineStr">
        <is>
          <t>Uso de documento falso militar</t>
        </is>
      </c>
      <c r="D812" s="7" t="n">
        <v>12</v>
      </c>
      <c r="E812" s="7" t="n">
        <v>36</v>
      </c>
      <c r="F812" s="7" t="inlineStr">
        <is>
          <t>Reclusão</t>
        </is>
      </c>
      <c r="G812" s="7" t="inlineStr">
        <is>
          <t>Pública Incondicionada</t>
        </is>
      </c>
      <c r="H812" s="7" t="inlineStr">
        <is>
          <t>Não</t>
        </is>
      </c>
      <c r="I812" s="7" t="inlineStr">
        <is>
          <t>Doloso</t>
        </is>
      </c>
      <c r="J812" s="7" t="inlineStr">
        <is>
          <t>Sim</t>
        </is>
      </c>
      <c r="K812" s="7" t="inlineStr">
        <is>
          <t>Não</t>
        </is>
      </c>
      <c r="L812" s="7" t="inlineStr">
        <is>
          <t>Não</t>
        </is>
      </c>
      <c r="M812" s="7" t="inlineStr">
        <is>
          <t>Sim</t>
        </is>
      </c>
      <c r="N812" s="7" t="inlineStr">
        <is>
          <t>Sim</t>
        </is>
      </c>
      <c r="O812" s="7" t="inlineStr">
        <is>
          <t>Sim</t>
        </is>
      </c>
      <c r="P812" s="16" t="inlineStr">
        <is>
          <t>1-3 anos reclusão militar</t>
        </is>
      </c>
    </row>
    <row r="813">
      <c r="A813" s="7" t="inlineStr">
        <is>
          <t>CPM (DL 1.001/69)</t>
        </is>
      </c>
      <c r="B813" s="7" t="inlineStr">
        <is>
          <t>Art. 302</t>
        </is>
      </c>
      <c r="C813" s="16" t="inlineStr">
        <is>
          <t>Corrupção passiva militar (solicitar/receber vantagem indevida)</t>
        </is>
      </c>
      <c r="D813" s="7" t="n">
        <v>24</v>
      </c>
      <c r="E813" s="7" t="n">
        <v>96</v>
      </c>
      <c r="F813" s="7" t="inlineStr">
        <is>
          <t>Reclusão</t>
        </is>
      </c>
      <c r="G813" s="7" t="inlineStr">
        <is>
          <t>Pública Incondicionada</t>
        </is>
      </c>
      <c r="H813" s="7" t="inlineStr">
        <is>
          <t>Não</t>
        </is>
      </c>
      <c r="I813" s="7" t="inlineStr">
        <is>
          <t>Doloso</t>
        </is>
      </c>
      <c r="J813" s="7" t="inlineStr">
        <is>
          <t>Sim</t>
        </is>
      </c>
      <c r="K813" s="7" t="inlineStr">
        <is>
          <t>Não</t>
        </is>
      </c>
      <c r="L813" s="7" t="inlineStr">
        <is>
          <t>Não</t>
        </is>
      </c>
      <c r="M813" s="7" t="inlineStr">
        <is>
          <t>Sim</t>
        </is>
      </c>
      <c r="N813" s="7" t="inlineStr">
        <is>
          <t>Não</t>
        </is>
      </c>
      <c r="O813" s="7" t="inlineStr">
        <is>
          <t>Sim</t>
        </is>
      </c>
      <c r="P813" s="16" t="inlineStr">
        <is>
          <t>2-8 anos reclusão militar</t>
        </is>
      </c>
    </row>
    <row r="814">
      <c r="A814" s="7" t="inlineStr">
        <is>
          <t>CPM (DL 1.001/69)</t>
        </is>
      </c>
      <c r="B814" s="7" t="inlineStr">
        <is>
          <t>Art. 309</t>
        </is>
      </c>
      <c r="C814" s="16" t="inlineStr">
        <is>
          <t>Prevaricação militar (retardar/deixar de praticar/praticar contra expressa disposição de lei ato de ofício para satisfazer interesse pessoal)</t>
        </is>
      </c>
      <c r="D814" s="7" t="n">
        <v>3</v>
      </c>
      <c r="E814" s="7" t="n">
        <v>12</v>
      </c>
      <c r="F814" s="7" t="inlineStr">
        <is>
          <t>Detenção</t>
        </is>
      </c>
      <c r="G814" s="7" t="inlineStr">
        <is>
          <t>Pública Incondicionada</t>
        </is>
      </c>
      <c r="H814" s="7" t="inlineStr">
        <is>
          <t>Não</t>
        </is>
      </c>
      <c r="I814" s="7" t="inlineStr">
        <is>
          <t>Doloso</t>
        </is>
      </c>
      <c r="J814" s="7" t="inlineStr">
        <is>
          <t>Sim</t>
        </is>
      </c>
      <c r="K814" s="7" t="inlineStr">
        <is>
          <t>Não</t>
        </is>
      </c>
      <c r="L814" s="7" t="inlineStr">
        <is>
          <t>Não</t>
        </is>
      </c>
      <c r="M814" s="7" t="inlineStr">
        <is>
          <t>Sim</t>
        </is>
      </c>
      <c r="N814" s="7" t="inlineStr">
        <is>
          <t>Sim</t>
        </is>
      </c>
      <c r="O814" s="7" t="inlineStr">
        <is>
          <t>Sim</t>
        </is>
      </c>
      <c r="P814" s="16" t="inlineStr">
        <is>
          <t>3 meses a 1 ano detenção militar</t>
        </is>
      </c>
    </row>
    <row r="815">
      <c r="A815" s="7" t="inlineStr">
        <is>
          <t>CPM (DL 1.001/69)</t>
        </is>
      </c>
      <c r="B815" s="7" t="inlineStr">
        <is>
          <t>Art. 311</t>
        </is>
      </c>
      <c r="C815" s="16" t="inlineStr">
        <is>
          <t>Desacato a superior militar</t>
        </is>
      </c>
      <c r="D815" s="7" t="n">
        <v>3</v>
      </c>
      <c r="E815" s="7" t="n">
        <v>12</v>
      </c>
      <c r="F815" s="7" t="inlineStr">
        <is>
          <t>Detenção</t>
        </is>
      </c>
      <c r="G815" s="7" t="inlineStr">
        <is>
          <t>Pública Incondicionada</t>
        </is>
      </c>
      <c r="H815" s="7" t="inlineStr">
        <is>
          <t>Não</t>
        </is>
      </c>
      <c r="I815" s="7" t="inlineStr">
        <is>
          <t>Doloso</t>
        </is>
      </c>
      <c r="J815" s="7" t="inlineStr">
        <is>
          <t>Sim</t>
        </is>
      </c>
      <c r="K815" s="7" t="inlineStr">
        <is>
          <t>Não</t>
        </is>
      </c>
      <c r="L815" s="7" t="inlineStr">
        <is>
          <t>Não</t>
        </is>
      </c>
      <c r="M815" s="7" t="inlineStr">
        <is>
          <t>Sim</t>
        </is>
      </c>
      <c r="N815" s="7" t="inlineStr">
        <is>
          <t>Sim</t>
        </is>
      </c>
      <c r="O815" s="7" t="inlineStr">
        <is>
          <t>Sim</t>
        </is>
      </c>
      <c r="P815" s="16" t="inlineStr">
        <is>
          <t>3 meses a 1 ano detenção militar</t>
        </is>
      </c>
    </row>
    <row r="816">
      <c r="A816" s="7" t="inlineStr">
        <is>
          <t>CPM (DL 1.001/69)</t>
        </is>
      </c>
      <c r="B816" s="7" t="inlineStr">
        <is>
          <t>Art. 312</t>
        </is>
      </c>
      <c r="C816" s="16" t="inlineStr">
        <is>
          <t>Desobediência militar (desobedecer a ordem legal de autoridade militar)</t>
        </is>
      </c>
      <c r="D816" s="7" t="n">
        <v>1</v>
      </c>
      <c r="E816" s="7" t="n">
        <v>6</v>
      </c>
      <c r="F816" s="7" t="inlineStr">
        <is>
          <t>Detenção</t>
        </is>
      </c>
      <c r="G816" s="7" t="inlineStr">
        <is>
          <t>Pública Incondicionada</t>
        </is>
      </c>
      <c r="H816" s="7" t="inlineStr">
        <is>
          <t>Não</t>
        </is>
      </c>
      <c r="I816" s="7" t="inlineStr">
        <is>
          <t>Doloso</t>
        </is>
      </c>
      <c r="J816" s="7" t="inlineStr">
        <is>
          <t>Sim</t>
        </is>
      </c>
      <c r="K816" s="7" t="inlineStr">
        <is>
          <t>Não</t>
        </is>
      </c>
      <c r="L816" s="7" t="inlineStr">
        <is>
          <t>Não</t>
        </is>
      </c>
      <c r="M816" s="7" t="inlineStr">
        <is>
          <t>Sim</t>
        </is>
      </c>
      <c r="N816" s="7" t="inlineStr">
        <is>
          <t>Sim</t>
        </is>
      </c>
      <c r="O816" s="7" t="inlineStr">
        <is>
          <t>Sim</t>
        </is>
      </c>
      <c r="P816" s="16" t="inlineStr">
        <is>
          <t>15 dias a 6 meses detenção militar</t>
        </is>
      </c>
    </row>
    <row r="817">
      <c r="A817" s="17" t="inlineStr">
        <is>
          <t>CPM (DL 1.001/69)</t>
        </is>
      </c>
      <c r="B817" s="17" t="inlineStr">
        <is>
          <t>Art. 232</t>
        </is>
      </c>
      <c r="C817" s="18" t="inlineStr">
        <is>
          <t>Estupro militar (constranger mediante violência/grave ameaça a conjunção carnal ou ato libidinoso)</t>
        </is>
      </c>
      <c r="D817" s="17" t="n">
        <v>72</v>
      </c>
      <c r="E817" s="17" t="n">
        <v>120</v>
      </c>
      <c r="F817" s="17" t="inlineStr">
        <is>
          <t>Reclusão</t>
        </is>
      </c>
      <c r="G817" s="17" t="inlineStr">
        <is>
          <t>Pública Incondicionada</t>
        </is>
      </c>
      <c r="H817" s="17" t="inlineStr">
        <is>
          <t>Sim</t>
        </is>
      </c>
      <c r="I817" s="17" t="inlineStr">
        <is>
          <t>Doloso</t>
        </is>
      </c>
      <c r="J817" s="17" t="inlineStr">
        <is>
          <t>Sim</t>
        </is>
      </c>
      <c r="K817" s="17" t="inlineStr">
        <is>
          <t>Sim</t>
        </is>
      </c>
      <c r="L817" s="17" t="inlineStr">
        <is>
          <t>Sim</t>
        </is>
      </c>
      <c r="M817" s="17" t="inlineStr">
        <is>
          <t>Não</t>
        </is>
      </c>
      <c r="N817" s="17" t="inlineStr">
        <is>
          <t>Não</t>
        </is>
      </c>
      <c r="O817" s="17" t="inlineStr">
        <is>
          <t>Verificar</t>
        </is>
      </c>
      <c r="P817" s="18" t="inlineStr">
        <is>
          <t>6-10 anos reclusão militar. HEDIONDO. Lei 14.688/23 atualizou crimes sexuais no CPM</t>
        </is>
      </c>
    </row>
    <row r="818">
      <c r="A818" s="7" t="inlineStr">
        <is>
          <t>CPM (DL 1.001/69)</t>
        </is>
      </c>
      <c r="B818" s="7" t="inlineStr">
        <is>
          <t>Art. 183</t>
        </is>
      </c>
      <c r="C818" s="16" t="inlineStr">
        <is>
          <t>Insubmissão (deixar de apresentar-se para incorporação dentro do prazo no serviço militar obrigatório)</t>
        </is>
      </c>
      <c r="D818" s="7" t="n">
        <v>3</v>
      </c>
      <c r="E818" s="7" t="n">
        <v>12</v>
      </c>
      <c r="F818" s="7" t="inlineStr">
        <is>
          <t>Detenção</t>
        </is>
      </c>
      <c r="G818" s="7" t="inlineStr">
        <is>
          <t>Pública Incondicionada</t>
        </is>
      </c>
      <c r="H818" s="7" t="inlineStr">
        <is>
          <t>Não</t>
        </is>
      </c>
      <c r="I818" s="7" t="inlineStr">
        <is>
          <t>Doloso</t>
        </is>
      </c>
      <c r="J818" s="7" t="inlineStr">
        <is>
          <t>Sim</t>
        </is>
      </c>
      <c r="K818" s="7" t="inlineStr">
        <is>
          <t>Não</t>
        </is>
      </c>
      <c r="L818" s="7" t="inlineStr">
        <is>
          <t>Não</t>
        </is>
      </c>
      <c r="M818" s="7" t="inlineStr">
        <is>
          <t>Sim</t>
        </is>
      </c>
      <c r="N818" s="7" t="inlineStr">
        <is>
          <t>Sim</t>
        </is>
      </c>
      <c r="O818" s="7" t="inlineStr">
        <is>
          <t>Sim</t>
        </is>
      </c>
      <c r="P818" s="16" t="inlineStr">
        <is>
          <t>3 meses a 1 ano detenção militar. Crime militar próprio de civil convocado</t>
        </is>
      </c>
    </row>
    <row r="819">
      <c r="A819" s="26" t="inlineStr">
        <is>
          <t>CPM (DL 1.001/69)</t>
        </is>
      </c>
      <c r="B819" s="26" t="inlineStr">
        <is>
          <t>Art. 355</t>
        </is>
      </c>
      <c r="C819" s="27" t="inlineStr">
        <is>
          <t>Traição em tempo de guerra (prestar auxílio ao inimigo)</t>
        </is>
      </c>
      <c r="D819" s="26" t="n">
        <v>180</v>
      </c>
      <c r="E819" s="26" t="n">
        <v>360</v>
      </c>
      <c r="F819" s="26" t="inlineStr">
        <is>
          <t>Reclusão</t>
        </is>
      </c>
      <c r="G819" s="26" t="inlineStr">
        <is>
          <t>Pública Incondicionada</t>
        </is>
      </c>
      <c r="H819" s="26" t="inlineStr">
        <is>
          <t>Não</t>
        </is>
      </c>
      <c r="I819" s="26" t="inlineStr">
        <is>
          <t>Doloso</t>
        </is>
      </c>
      <c r="J819" s="26" t="inlineStr">
        <is>
          <t>Sim</t>
        </is>
      </c>
      <c r="K819" s="26" t="inlineStr">
        <is>
          <t>Sim</t>
        </is>
      </c>
      <c r="L819" s="26" t="inlineStr">
        <is>
          <t>Não</t>
        </is>
      </c>
      <c r="M819" s="26" t="inlineStr">
        <is>
          <t>Não</t>
        </is>
      </c>
      <c r="N819" s="26" t="inlineStr">
        <is>
          <t>Não</t>
        </is>
      </c>
      <c r="O819" s="26" t="inlineStr">
        <is>
          <t>Verificar</t>
        </is>
      </c>
      <c r="P819" s="27" t="inlineStr">
        <is>
          <t>15-30 anos reclusão militar. Pode ser pena de morte em tempo de guerra (Art. 56 CPM)</t>
        </is>
      </c>
    </row>
    <row r="820">
      <c r="A820" s="7" t="inlineStr">
        <is>
          <t>CPM (DL 1.001/69)</t>
        </is>
      </c>
      <c r="B820" s="7" t="inlineStr">
        <is>
          <t>Art. 356</t>
        </is>
      </c>
      <c r="C820" s="16" t="inlineStr">
        <is>
          <t>Favor ao inimigo (militar que facilita ação do inimigo/enfraquece resistência das forças nacionais)</t>
        </is>
      </c>
      <c r="D820" s="7" t="n">
        <v>48</v>
      </c>
      <c r="E820" s="7" t="n">
        <v>120</v>
      </c>
      <c r="F820" s="7" t="inlineStr">
        <is>
          <t>Reclusão</t>
        </is>
      </c>
      <c r="G820" s="7" t="inlineStr">
        <is>
          <t>Pública Incondicionada</t>
        </is>
      </c>
      <c r="H820" s="7" t="inlineStr">
        <is>
          <t>Não</t>
        </is>
      </c>
      <c r="I820" s="7" t="inlineStr">
        <is>
          <t>Doloso</t>
        </is>
      </c>
      <c r="J820" s="7" t="inlineStr">
        <is>
          <t>Sim</t>
        </is>
      </c>
      <c r="K820" s="7" t="inlineStr">
        <is>
          <t>Não</t>
        </is>
      </c>
      <c r="L820" s="7" t="inlineStr">
        <is>
          <t>Não</t>
        </is>
      </c>
      <c r="M820" s="7" t="inlineStr">
        <is>
          <t>Não</t>
        </is>
      </c>
      <c r="N820" s="7" t="inlineStr">
        <is>
          <t>Não</t>
        </is>
      </c>
      <c r="O820" s="7" t="inlineStr">
        <is>
          <t>Verificar</t>
        </is>
      </c>
      <c r="P820" s="16" t="inlineStr">
        <is>
          <t>4-10 anos reclusão militar. Em tempo de guerra</t>
        </is>
      </c>
    </row>
    <row r="821">
      <c r="A821" s="7" t="inlineStr">
        <is>
          <t>CPM (DL 1.001/69)</t>
        </is>
      </c>
      <c r="B821" s="7" t="inlineStr">
        <is>
          <t>Art. 364</t>
        </is>
      </c>
      <c r="C821" s="16" t="inlineStr">
        <is>
          <t>Abandono de posto em tempo de guerra</t>
        </is>
      </c>
      <c r="D821" s="7" t="n">
        <v>36</v>
      </c>
      <c r="E821" s="7" t="n">
        <v>96</v>
      </c>
      <c r="F821" s="7" t="inlineStr">
        <is>
          <t>Reclusão</t>
        </is>
      </c>
      <c r="G821" s="7" t="inlineStr">
        <is>
          <t>Pública Incondicionada</t>
        </is>
      </c>
      <c r="H821" s="7" t="inlineStr">
        <is>
          <t>Não</t>
        </is>
      </c>
      <c r="I821" s="7" t="inlineStr">
        <is>
          <t>Doloso</t>
        </is>
      </c>
      <c r="J821" s="7" t="inlineStr">
        <is>
          <t>Sim</t>
        </is>
      </c>
      <c r="K821" s="7" t="inlineStr">
        <is>
          <t>Não</t>
        </is>
      </c>
      <c r="L821" s="7" t="inlineStr">
        <is>
          <t>Não</t>
        </is>
      </c>
      <c r="M821" s="7" t="inlineStr">
        <is>
          <t>Sim</t>
        </is>
      </c>
      <c r="N821" s="7" t="inlineStr">
        <is>
          <t>Não</t>
        </is>
      </c>
      <c r="O821" s="7" t="inlineStr">
        <is>
          <t>Verificar</t>
        </is>
      </c>
      <c r="P821" s="16" t="inlineStr">
        <is>
          <t>3-8 anos reclusão militar</t>
        </is>
      </c>
    </row>
    <row r="822">
      <c r="A822" s="7" t="inlineStr">
        <is>
          <t>CPM (DL 1.001/69)</t>
        </is>
      </c>
      <c r="B822" s="7" t="inlineStr">
        <is>
          <t>Art. 365</t>
        </is>
      </c>
      <c r="C822" s="16" t="inlineStr">
        <is>
          <t>Covardia em tempo de guerra (subtrair-se ao perigo/abandonar posição)</t>
        </is>
      </c>
      <c r="D822" s="7" t="n">
        <v>24</v>
      </c>
      <c r="E822" s="7" t="n">
        <v>72</v>
      </c>
      <c r="F822" s="7" t="inlineStr">
        <is>
          <t>Reclusão</t>
        </is>
      </c>
      <c r="G822" s="7" t="inlineStr">
        <is>
          <t>Pública Incondicionada</t>
        </is>
      </c>
      <c r="H822" s="7" t="inlineStr">
        <is>
          <t>Não</t>
        </is>
      </c>
      <c r="I822" s="7" t="inlineStr">
        <is>
          <t>Doloso</t>
        </is>
      </c>
      <c r="J822" s="7" t="inlineStr">
        <is>
          <t>Sim</t>
        </is>
      </c>
      <c r="K822" s="7" t="inlineStr">
        <is>
          <t>Não</t>
        </is>
      </c>
      <c r="L822" s="7" t="inlineStr">
        <is>
          <t>Não</t>
        </is>
      </c>
      <c r="M822" s="7" t="inlineStr">
        <is>
          <t>Sim</t>
        </is>
      </c>
      <c r="N822" s="7" t="inlineStr">
        <is>
          <t>Não</t>
        </is>
      </c>
      <c r="O822" s="7" t="inlineStr">
        <is>
          <t>Sim</t>
        </is>
      </c>
      <c r="P822" s="16" t="inlineStr">
        <is>
          <t>2-6 anos reclusão militar. Se em presença do inimigo: 4-12 anos</t>
        </is>
      </c>
    </row>
    <row r="823">
      <c r="A823" s="26" t="inlineStr">
        <is>
          <t>CPM (DL 1.001/69)</t>
        </is>
      </c>
      <c r="B823" s="26" t="inlineStr">
        <is>
          <t>Art. 378</t>
        </is>
      </c>
      <c r="C823" s="27" t="inlineStr">
        <is>
          <t>Violação de trégua ou armistício</t>
        </is>
      </c>
      <c r="D823" s="26" t="n">
        <v>36</v>
      </c>
      <c r="E823" s="26" t="n">
        <v>96</v>
      </c>
      <c r="F823" s="26" t="inlineStr">
        <is>
          <t>Reclusão</t>
        </is>
      </c>
      <c r="G823" s="26" t="inlineStr">
        <is>
          <t>Pública Incondicionada</t>
        </is>
      </c>
      <c r="H823" s="26" t="inlineStr">
        <is>
          <t>Não</t>
        </is>
      </c>
      <c r="I823" s="26" t="inlineStr">
        <is>
          <t>Doloso</t>
        </is>
      </c>
      <c r="J823" s="26" t="inlineStr">
        <is>
          <t>Sim</t>
        </is>
      </c>
      <c r="K823" s="26" t="inlineStr">
        <is>
          <t>Sim</t>
        </is>
      </c>
      <c r="L823" s="26" t="inlineStr">
        <is>
          <t>Não</t>
        </is>
      </c>
      <c r="M823" s="26" t="inlineStr">
        <is>
          <t>Não</t>
        </is>
      </c>
      <c r="N823" s="26" t="inlineStr">
        <is>
          <t>Não</t>
        </is>
      </c>
      <c r="O823" s="26" t="inlineStr">
        <is>
          <t>Verificar</t>
        </is>
      </c>
      <c r="P823" s="27" t="inlineStr">
        <is>
          <t>3-8 anos reclusão militar</t>
        </is>
      </c>
    </row>
    <row r="824">
      <c r="A824" s="26" t="inlineStr">
        <is>
          <t>CPM (DL 1.001/69)</t>
        </is>
      </c>
      <c r="B824" s="26" t="inlineStr">
        <is>
          <t>Art. 383</t>
        </is>
      </c>
      <c r="C824" s="27" t="inlineStr">
        <is>
          <t>Violência contra prisioneiro de guerra (praticar ato de violência contra prisioneiro)</t>
        </is>
      </c>
      <c r="D824" s="26" t="n">
        <v>12</v>
      </c>
      <c r="E824" s="26" t="n">
        <v>48</v>
      </c>
      <c r="F824" s="26" t="inlineStr">
        <is>
          <t>Reclusão</t>
        </is>
      </c>
      <c r="G824" s="26" t="inlineStr">
        <is>
          <t>Pública Incondicionada</t>
        </is>
      </c>
      <c r="H824" s="26" t="inlineStr">
        <is>
          <t>Não</t>
        </is>
      </c>
      <c r="I824" s="26" t="inlineStr">
        <is>
          <t>Doloso</t>
        </is>
      </c>
      <c r="J824" s="26" t="inlineStr">
        <is>
          <t>Sim</t>
        </is>
      </c>
      <c r="K824" s="26" t="inlineStr">
        <is>
          <t>Sim</t>
        </is>
      </c>
      <c r="L824" s="26" t="inlineStr">
        <is>
          <t>Não</t>
        </is>
      </c>
      <c r="M824" s="26" t="inlineStr">
        <is>
          <t>Não</t>
        </is>
      </c>
      <c r="N824" s="26" t="inlineStr">
        <is>
          <t>Sim</t>
        </is>
      </c>
      <c r="O824" s="26" t="inlineStr">
        <is>
          <t>Sim</t>
        </is>
      </c>
      <c r="P824" s="27" t="inlineStr">
        <is>
          <t>1-4 anos reclusão militar. Violação do direito internacional humanitário</t>
        </is>
      </c>
    </row>
    <row r="825">
      <c r="A825" s="26" t="inlineStr">
        <is>
          <t>CPM (DL 1.001/69)</t>
        </is>
      </c>
      <c r="B825" s="26" t="inlineStr">
        <is>
          <t>Art. 385</t>
        </is>
      </c>
      <c r="C825" s="27" t="inlineStr">
        <is>
          <t>Saque/pilhagem (saquear/pilhar zona sob ocupação militar)</t>
        </is>
      </c>
      <c r="D825" s="26" t="n">
        <v>48</v>
      </c>
      <c r="E825" s="26" t="n">
        <v>120</v>
      </c>
      <c r="F825" s="26" t="inlineStr">
        <is>
          <t>Reclusão</t>
        </is>
      </c>
      <c r="G825" s="26" t="inlineStr">
        <is>
          <t>Pública Incondicionada</t>
        </is>
      </c>
      <c r="H825" s="26" t="inlineStr">
        <is>
          <t>Não</t>
        </is>
      </c>
      <c r="I825" s="26" t="inlineStr">
        <is>
          <t>Doloso</t>
        </is>
      </c>
      <c r="J825" s="26" t="inlineStr">
        <is>
          <t>Sim</t>
        </is>
      </c>
      <c r="K825" s="26" t="inlineStr">
        <is>
          <t>Sim</t>
        </is>
      </c>
      <c r="L825" s="26" t="inlineStr">
        <is>
          <t>Não</t>
        </is>
      </c>
      <c r="M825" s="26" t="inlineStr">
        <is>
          <t>Não</t>
        </is>
      </c>
      <c r="N825" s="26" t="inlineStr">
        <is>
          <t>Não</t>
        </is>
      </c>
      <c r="O825" s="26" t="inlineStr">
        <is>
          <t>Verificar</t>
        </is>
      </c>
      <c r="P825" s="27" t="inlineStr">
        <is>
          <t>4-10 anos reclusão militar. Crime de guerra</t>
        </is>
      </c>
    </row>
    <row r="826">
      <c r="A826" s="17" t="inlineStr">
        <is>
          <t>CP</t>
        </is>
      </c>
      <c r="B826" s="17" t="inlineStr">
        <is>
          <t>Art. 121, §2º, I</t>
        </is>
      </c>
      <c r="C826" s="18" t="inlineStr">
        <is>
          <t>Homicídio qualificado por motivo torpe</t>
        </is>
      </c>
      <c r="D826" s="17" t="n">
        <v>144</v>
      </c>
      <c r="E826" s="17" t="n">
        <v>360</v>
      </c>
      <c r="F826" s="17" t="inlineStr">
        <is>
          <t>Reclusão</t>
        </is>
      </c>
      <c r="G826" s="17" t="inlineStr">
        <is>
          <t>Pública Incondicionada</t>
        </is>
      </c>
      <c r="H826" s="17" t="inlineStr">
        <is>
          <t>Sim</t>
        </is>
      </c>
      <c r="I826" s="17" t="inlineStr">
        <is>
          <t>Doloso</t>
        </is>
      </c>
      <c r="J826" s="17" t="inlineStr">
        <is>
          <t>Sim</t>
        </is>
      </c>
      <c r="K826" s="17" t="inlineStr">
        <is>
          <t>Sim</t>
        </is>
      </c>
      <c r="L826" s="17" t="inlineStr">
        <is>
          <t>Não</t>
        </is>
      </c>
      <c r="M826" s="17" t="inlineStr">
        <is>
          <t>Não</t>
        </is>
      </c>
      <c r="N826" s="17" t="inlineStr">
        <is>
          <t>Não</t>
        </is>
      </c>
      <c r="O826" s="17" t="inlineStr">
        <is>
          <t>Verificar</t>
        </is>
      </c>
      <c r="P826" s="18" t="inlineStr">
        <is>
          <t>12-30 anos reclusão. HEDIONDO. Motivo torpe: repugnante, vil (ex: herança, vingança)</t>
        </is>
      </c>
    </row>
    <row r="827">
      <c r="A827" s="17" t="inlineStr">
        <is>
          <t>CP</t>
        </is>
      </c>
      <c r="B827" s="17" t="inlineStr">
        <is>
          <t>Art. 121, §2º, II</t>
        </is>
      </c>
      <c r="C827" s="18" t="inlineStr">
        <is>
          <t>Homicídio qualificado por motivo fútil</t>
        </is>
      </c>
      <c r="D827" s="17" t="n">
        <v>144</v>
      </c>
      <c r="E827" s="17" t="n">
        <v>360</v>
      </c>
      <c r="F827" s="17" t="inlineStr">
        <is>
          <t>Reclusão</t>
        </is>
      </c>
      <c r="G827" s="17" t="inlineStr">
        <is>
          <t>Pública Incondicionada</t>
        </is>
      </c>
      <c r="H827" s="17" t="inlineStr">
        <is>
          <t>Sim</t>
        </is>
      </c>
      <c r="I827" s="17" t="inlineStr">
        <is>
          <t>Doloso</t>
        </is>
      </c>
      <c r="J827" s="17" t="inlineStr">
        <is>
          <t>Sim</t>
        </is>
      </c>
      <c r="K827" s="17" t="inlineStr">
        <is>
          <t>Sim</t>
        </is>
      </c>
      <c r="L827" s="17" t="inlineStr">
        <is>
          <t>Não</t>
        </is>
      </c>
      <c r="M827" s="17" t="inlineStr">
        <is>
          <t>Não</t>
        </is>
      </c>
      <c r="N827" s="17" t="inlineStr">
        <is>
          <t>Não</t>
        </is>
      </c>
      <c r="O827" s="17" t="inlineStr">
        <is>
          <t>Verificar</t>
        </is>
      </c>
      <c r="P827" s="18" t="inlineStr">
        <is>
          <t>12-30 anos reclusão. HEDIONDO. Motivo fútil: desproporcional ao crime</t>
        </is>
      </c>
    </row>
    <row r="828">
      <c r="A828" s="17" t="inlineStr">
        <is>
          <t>CP</t>
        </is>
      </c>
      <c r="B828" s="17" t="inlineStr">
        <is>
          <t>Art. 121, §2º, III</t>
        </is>
      </c>
      <c r="C828" s="18" t="inlineStr">
        <is>
          <t>Homicídio qualificado com emprego de veneno, fogo, explosivo, asfixia, tortura ou outro meio insidioso ou cruel</t>
        </is>
      </c>
      <c r="D828" s="17" t="n">
        <v>144</v>
      </c>
      <c r="E828" s="17" t="n">
        <v>360</v>
      </c>
      <c r="F828" s="17" t="inlineStr">
        <is>
          <t>Reclusão</t>
        </is>
      </c>
      <c r="G828" s="17" t="inlineStr">
        <is>
          <t>Pública Incondicionada</t>
        </is>
      </c>
      <c r="H828" s="17" t="inlineStr">
        <is>
          <t>Sim</t>
        </is>
      </c>
      <c r="I828" s="17" t="inlineStr">
        <is>
          <t>Doloso</t>
        </is>
      </c>
      <c r="J828" s="17" t="inlineStr">
        <is>
          <t>Sim</t>
        </is>
      </c>
      <c r="K828" s="17" t="inlineStr">
        <is>
          <t>Sim</t>
        </is>
      </c>
      <c r="L828" s="17" t="inlineStr">
        <is>
          <t>Não</t>
        </is>
      </c>
      <c r="M828" s="17" t="inlineStr">
        <is>
          <t>Não</t>
        </is>
      </c>
      <c r="N828" s="17" t="inlineStr">
        <is>
          <t>Não</t>
        </is>
      </c>
      <c r="O828" s="17" t="inlineStr">
        <is>
          <t>Verificar</t>
        </is>
      </c>
      <c r="P828" s="18" t="inlineStr">
        <is>
          <t>12-30 anos reclusão. HEDIONDO. Meio cruel ou insidioso</t>
        </is>
      </c>
    </row>
    <row r="829">
      <c r="A829" s="17" t="inlineStr">
        <is>
          <t>CP</t>
        </is>
      </c>
      <c r="B829" s="17" t="inlineStr">
        <is>
          <t>Art. 121, §2º, IV</t>
        </is>
      </c>
      <c r="C829" s="18" t="inlineStr">
        <is>
          <t>Homicídio qualificado à traição, emboscada, dissimulação ou outro recurso que dificulte a defesa da vítima</t>
        </is>
      </c>
      <c r="D829" s="17" t="n">
        <v>144</v>
      </c>
      <c r="E829" s="17" t="n">
        <v>360</v>
      </c>
      <c r="F829" s="17" t="inlineStr">
        <is>
          <t>Reclusão</t>
        </is>
      </c>
      <c r="G829" s="17" t="inlineStr">
        <is>
          <t>Pública Incondicionada</t>
        </is>
      </c>
      <c r="H829" s="17" t="inlineStr">
        <is>
          <t>Sim</t>
        </is>
      </c>
      <c r="I829" s="17" t="inlineStr">
        <is>
          <t>Doloso</t>
        </is>
      </c>
      <c r="J829" s="17" t="inlineStr">
        <is>
          <t>Sim</t>
        </is>
      </c>
      <c r="K829" s="17" t="inlineStr">
        <is>
          <t>Sim</t>
        </is>
      </c>
      <c r="L829" s="17" t="inlineStr">
        <is>
          <t>Não</t>
        </is>
      </c>
      <c r="M829" s="17" t="inlineStr">
        <is>
          <t>Não</t>
        </is>
      </c>
      <c r="N829" s="17" t="inlineStr">
        <is>
          <t>Não</t>
        </is>
      </c>
      <c r="O829" s="17" t="inlineStr">
        <is>
          <t>Verificar</t>
        </is>
      </c>
      <c r="P829" s="18" t="inlineStr">
        <is>
          <t>12-30 anos reclusão. HEDIONDO</t>
        </is>
      </c>
    </row>
    <row r="830">
      <c r="A830" s="17" t="inlineStr">
        <is>
          <t>CP</t>
        </is>
      </c>
      <c r="B830" s="17" t="inlineStr">
        <is>
          <t>Art. 121, §2º, V</t>
        </is>
      </c>
      <c r="C830" s="18" t="inlineStr">
        <is>
          <t>Homicídio qualificado para assegurar execução/ocultação/impunidade/vantagem de outro crime (conexão)</t>
        </is>
      </c>
      <c r="D830" s="17" t="n">
        <v>144</v>
      </c>
      <c r="E830" s="17" t="n">
        <v>360</v>
      </c>
      <c r="F830" s="17" t="inlineStr">
        <is>
          <t>Reclusão</t>
        </is>
      </c>
      <c r="G830" s="17" t="inlineStr">
        <is>
          <t>Pública Incondicionada</t>
        </is>
      </c>
      <c r="H830" s="17" t="inlineStr">
        <is>
          <t>Sim</t>
        </is>
      </c>
      <c r="I830" s="17" t="inlineStr">
        <is>
          <t>Doloso</t>
        </is>
      </c>
      <c r="J830" s="17" t="inlineStr">
        <is>
          <t>Sim</t>
        </is>
      </c>
      <c r="K830" s="17" t="inlineStr">
        <is>
          <t>Sim</t>
        </is>
      </c>
      <c r="L830" s="17" t="inlineStr">
        <is>
          <t>Não</t>
        </is>
      </c>
      <c r="M830" s="17" t="inlineStr">
        <is>
          <t>Não</t>
        </is>
      </c>
      <c r="N830" s="17" t="inlineStr">
        <is>
          <t>Não</t>
        </is>
      </c>
      <c r="O830" s="17" t="inlineStr">
        <is>
          <t>Verificar</t>
        </is>
      </c>
      <c r="P830" s="18" t="inlineStr">
        <is>
          <t>12-30 anos reclusão. HEDIONDO. Conexão teleológica ou consequencial</t>
        </is>
      </c>
    </row>
    <row r="831">
      <c r="A831" s="17" t="inlineStr">
        <is>
          <t>CP</t>
        </is>
      </c>
      <c r="B831" s="17" t="inlineStr">
        <is>
          <t>Art. 121, §2º, VII</t>
        </is>
      </c>
      <c r="C831" s="18" t="inlineStr">
        <is>
          <t>Homicídio qualificado contra agente de segurança pública ou seus familiares (no exercício da função ou em razão dela)</t>
        </is>
      </c>
      <c r="D831" s="17" t="n">
        <v>144</v>
      </c>
      <c r="E831" s="17" t="n">
        <v>360</v>
      </c>
      <c r="F831" s="17" t="inlineStr">
        <is>
          <t>Reclusão</t>
        </is>
      </c>
      <c r="G831" s="17" t="inlineStr">
        <is>
          <t>Pública Incondicionada</t>
        </is>
      </c>
      <c r="H831" s="17" t="inlineStr">
        <is>
          <t>Sim</t>
        </is>
      </c>
      <c r="I831" s="17" t="inlineStr">
        <is>
          <t>Doloso</t>
        </is>
      </c>
      <c r="J831" s="17" t="inlineStr">
        <is>
          <t>Sim</t>
        </is>
      </c>
      <c r="K831" s="17" t="inlineStr">
        <is>
          <t>Sim</t>
        </is>
      </c>
      <c r="L831" s="17" t="inlineStr">
        <is>
          <t>Não</t>
        </is>
      </c>
      <c r="M831" s="17" t="inlineStr">
        <is>
          <t>Não</t>
        </is>
      </c>
      <c r="N831" s="17" t="inlineStr">
        <is>
          <t>Não</t>
        </is>
      </c>
      <c r="O831" s="17" t="inlineStr">
        <is>
          <t>Verificar</t>
        </is>
      </c>
      <c r="P831" s="18" t="inlineStr">
        <is>
          <t>12-30 anos reclusão. HEDIONDO. Lei 13.142/15</t>
        </is>
      </c>
    </row>
    <row r="832">
      <c r="A832" s="17" t="inlineStr">
        <is>
          <t>CP</t>
        </is>
      </c>
      <c r="B832" s="17" t="inlineStr">
        <is>
          <t>Art. 121, §2º, VIII</t>
        </is>
      </c>
      <c r="C832" s="18" t="inlineStr">
        <is>
          <t>Homicídio qualificado com emprego de arma de fogo de uso restrito ou proibido</t>
        </is>
      </c>
      <c r="D832" s="17" t="n">
        <v>144</v>
      </c>
      <c r="E832" s="17" t="n">
        <v>360</v>
      </c>
      <c r="F832" s="17" t="inlineStr">
        <is>
          <t>Reclusão</t>
        </is>
      </c>
      <c r="G832" s="17" t="inlineStr">
        <is>
          <t>Pública Incondicionada</t>
        </is>
      </c>
      <c r="H832" s="17" t="inlineStr">
        <is>
          <t>Sim</t>
        </is>
      </c>
      <c r="I832" s="17" t="inlineStr">
        <is>
          <t>Doloso</t>
        </is>
      </c>
      <c r="J832" s="17" t="inlineStr">
        <is>
          <t>Sim</t>
        </is>
      </c>
      <c r="K832" s="17" t="inlineStr">
        <is>
          <t>Sim</t>
        </is>
      </c>
      <c r="L832" s="17" t="inlineStr">
        <is>
          <t>Não</t>
        </is>
      </c>
      <c r="M832" s="17" t="inlineStr">
        <is>
          <t>Não</t>
        </is>
      </c>
      <c r="N832" s="17" t="inlineStr">
        <is>
          <t>Não</t>
        </is>
      </c>
      <c r="O832" s="17" t="inlineStr">
        <is>
          <t>Verificar</t>
        </is>
      </c>
      <c r="P832" s="18" t="inlineStr">
        <is>
          <t>12-30 anos reclusão. HEDIONDO. Lei 13.964/19 (Pacote Anticrime)</t>
        </is>
      </c>
    </row>
    <row r="833">
      <c r="A833" s="17" t="inlineStr">
        <is>
          <t>CP</t>
        </is>
      </c>
      <c r="B833" s="17" t="inlineStr">
        <is>
          <t>Art. 121, §2º, IX</t>
        </is>
      </c>
      <c r="C833" s="18" t="inlineStr">
        <is>
          <t>Homicídio qualificado contra menor de 14 anos</t>
        </is>
      </c>
      <c r="D833" s="17" t="n">
        <v>144</v>
      </c>
      <c r="E833" s="17" t="n">
        <v>360</v>
      </c>
      <c r="F833" s="17" t="inlineStr">
        <is>
          <t>Reclusão</t>
        </is>
      </c>
      <c r="G833" s="17" t="inlineStr">
        <is>
          <t>Pública Incondicionada</t>
        </is>
      </c>
      <c r="H833" s="17" t="inlineStr">
        <is>
          <t>Sim</t>
        </is>
      </c>
      <c r="I833" s="17" t="inlineStr">
        <is>
          <t>Doloso</t>
        </is>
      </c>
      <c r="J833" s="17" t="inlineStr">
        <is>
          <t>Sim</t>
        </is>
      </c>
      <c r="K833" s="17" t="inlineStr">
        <is>
          <t>Sim</t>
        </is>
      </c>
      <c r="L833" s="17" t="inlineStr">
        <is>
          <t>Não</t>
        </is>
      </c>
      <c r="M833" s="17" t="inlineStr">
        <is>
          <t>Não</t>
        </is>
      </c>
      <c r="N833" s="17" t="inlineStr">
        <is>
          <t>Não</t>
        </is>
      </c>
      <c r="O833" s="17" t="inlineStr">
        <is>
          <t>Verificar</t>
        </is>
      </c>
      <c r="P833" s="18" t="inlineStr">
        <is>
          <t>12-30 anos reclusão. HEDIONDO. Lei 14.344/22 (Lei Henry Borel)</t>
        </is>
      </c>
    </row>
    <row r="834">
      <c r="A834" s="17" t="inlineStr">
        <is>
          <t>CP</t>
        </is>
      </c>
      <c r="B834" s="17" t="inlineStr">
        <is>
          <t>Art. 121, §2º-A</t>
        </is>
      </c>
      <c r="C834" s="18" t="inlineStr">
        <is>
          <t>Homicídio qualificado contra pessoa com deficiência ou doença que acarrete condição limitante</t>
        </is>
      </c>
      <c r="D834" s="17" t="n">
        <v>144</v>
      </c>
      <c r="E834" s="17" t="n">
        <v>360</v>
      </c>
      <c r="F834" s="17" t="inlineStr">
        <is>
          <t>Reclusão</t>
        </is>
      </c>
      <c r="G834" s="17" t="inlineStr">
        <is>
          <t>Pública Incondicionada</t>
        </is>
      </c>
      <c r="H834" s="17" t="inlineStr">
        <is>
          <t>Sim</t>
        </is>
      </c>
      <c r="I834" s="17" t="inlineStr">
        <is>
          <t>Doloso</t>
        </is>
      </c>
      <c r="J834" s="17" t="inlineStr">
        <is>
          <t>Sim</t>
        </is>
      </c>
      <c r="K834" s="17" t="inlineStr">
        <is>
          <t>Sim</t>
        </is>
      </c>
      <c r="L834" s="17" t="inlineStr">
        <is>
          <t>Não</t>
        </is>
      </c>
      <c r="M834" s="17" t="inlineStr">
        <is>
          <t>Não</t>
        </is>
      </c>
      <c r="N834" s="17" t="inlineStr">
        <is>
          <t>Não</t>
        </is>
      </c>
      <c r="O834" s="17" t="inlineStr">
        <is>
          <t>Verificar</t>
        </is>
      </c>
      <c r="P834" s="18" t="inlineStr">
        <is>
          <t>12-30 anos reclusão. HEDIONDO. Lei 14.717/23</t>
        </is>
      </c>
    </row>
    <row r="835">
      <c r="A835" s="26" t="inlineStr">
        <is>
          <t>CP</t>
        </is>
      </c>
      <c r="B835" s="26" t="inlineStr">
        <is>
          <t>Art. 121, §3º</t>
        </is>
      </c>
      <c r="C835" s="27" t="inlineStr">
        <is>
          <t>Homicídio culposo</t>
        </is>
      </c>
      <c r="D835" s="26" t="n">
        <v>12</v>
      </c>
      <c r="E835" s="26" t="n">
        <v>36</v>
      </c>
      <c r="F835" s="26" t="inlineStr">
        <is>
          <t>Detenção</t>
        </is>
      </c>
      <c r="G835" s="26" t="inlineStr">
        <is>
          <t>Pública Incondicionada</t>
        </is>
      </c>
      <c r="H835" s="26" t="inlineStr">
        <is>
          <t>Não</t>
        </is>
      </c>
      <c r="I835" s="26" t="inlineStr">
        <is>
          <t>Culposo</t>
        </is>
      </c>
      <c r="J835" s="26" t="inlineStr">
        <is>
          <t>Não</t>
        </is>
      </c>
      <c r="K835" s="26" t="inlineStr">
        <is>
          <t>Sim</t>
        </is>
      </c>
      <c r="L835" s="26" t="inlineStr">
        <is>
          <t>Não</t>
        </is>
      </c>
      <c r="M835" s="26" t="inlineStr">
        <is>
          <t>Não</t>
        </is>
      </c>
      <c r="N835" s="26" t="inlineStr">
        <is>
          <t>Sim</t>
        </is>
      </c>
      <c r="O835" s="26" t="inlineStr">
        <is>
          <t>Sim</t>
        </is>
      </c>
      <c r="P835" s="27" t="inlineStr">
        <is>
          <t>1-3 anos detenção. Crime culposo. §4º: aumento de 1/3 se resulta de inobservância de regra técnica de profissão/arte/ofício</t>
        </is>
      </c>
    </row>
    <row r="836">
      <c r="A836" s="26" t="inlineStr">
        <is>
          <t>CP</t>
        </is>
      </c>
      <c r="B836" s="26" t="inlineStr">
        <is>
          <t>Art. 121, §4º</t>
        </is>
      </c>
      <c r="C836" s="27" t="inlineStr">
        <is>
          <t>Homicídio culposo com aumento — inobservância de regra técnica de profissão/arte/ofício</t>
        </is>
      </c>
      <c r="D836" s="26" t="n">
        <v>12</v>
      </c>
      <c r="E836" s="26" t="n">
        <v>36</v>
      </c>
      <c r="F836" s="26" t="inlineStr">
        <is>
          <t>Detenção</t>
        </is>
      </c>
      <c r="G836" s="26" t="inlineStr">
        <is>
          <t>Pública Incondicionada</t>
        </is>
      </c>
      <c r="H836" s="26" t="inlineStr">
        <is>
          <t>Não</t>
        </is>
      </c>
      <c r="I836" s="26" t="inlineStr">
        <is>
          <t>Culposo</t>
        </is>
      </c>
      <c r="J836" s="26" t="inlineStr">
        <is>
          <t>Não</t>
        </is>
      </c>
      <c r="K836" s="26" t="inlineStr">
        <is>
          <t>Sim</t>
        </is>
      </c>
      <c r="L836" s="26" t="inlineStr">
        <is>
          <t>Não</t>
        </is>
      </c>
      <c r="M836" s="26" t="inlineStr">
        <is>
          <t>Não</t>
        </is>
      </c>
      <c r="N836" s="26" t="inlineStr">
        <is>
          <t>Sim</t>
        </is>
      </c>
      <c r="O836" s="26" t="inlineStr">
        <is>
          <t>Sim</t>
        </is>
      </c>
      <c r="P836" s="27" t="inlineStr">
        <is>
          <t>1-3 anos detenção + aumento de 1/3. Se omissão de socorro: aumento de 1/3 a 1/2</t>
        </is>
      </c>
    </row>
    <row r="837">
      <c r="A837" s="17" t="inlineStr">
        <is>
          <t>CP</t>
        </is>
      </c>
      <c r="B837" s="17" t="inlineStr">
        <is>
          <t>Art. 159, §1º</t>
        </is>
      </c>
      <c r="C837" s="18" t="inlineStr">
        <is>
          <t>Extorsão mediante sequestro — se dura mais de 24 horas, vítima menor de 18/maior de 60, ou cometido por bando</t>
        </is>
      </c>
      <c r="D837" s="17" t="n">
        <v>144</v>
      </c>
      <c r="E837" s="17" t="n">
        <v>240</v>
      </c>
      <c r="F837" s="17" t="inlineStr">
        <is>
          <t>Reclusão</t>
        </is>
      </c>
      <c r="G837" s="17" t="inlineStr">
        <is>
          <t>Pública Incondicionada</t>
        </is>
      </c>
      <c r="H837" s="17" t="inlineStr">
        <is>
          <t>Sim</t>
        </is>
      </c>
      <c r="I837" s="17" t="inlineStr">
        <is>
          <t>Doloso</t>
        </is>
      </c>
      <c r="J837" s="17" t="inlineStr">
        <is>
          <t>Sim</t>
        </is>
      </c>
      <c r="K837" s="17" t="inlineStr">
        <is>
          <t>Sim</t>
        </is>
      </c>
      <c r="L837" s="17" t="inlineStr">
        <is>
          <t>Sim</t>
        </is>
      </c>
      <c r="M837" s="17" t="inlineStr">
        <is>
          <t>Não</t>
        </is>
      </c>
      <c r="N837" s="17" t="inlineStr">
        <is>
          <t>Não</t>
        </is>
      </c>
      <c r="O837" s="17" t="inlineStr">
        <is>
          <t>Verificar</t>
        </is>
      </c>
      <c r="P837" s="18" t="inlineStr">
        <is>
          <t>12-20 anos reclusão. HEDIONDO</t>
        </is>
      </c>
    </row>
    <row r="838">
      <c r="A838" s="17" t="inlineStr">
        <is>
          <t>CP</t>
        </is>
      </c>
      <c r="B838" s="17" t="inlineStr">
        <is>
          <t>Art. 159, §2º</t>
        </is>
      </c>
      <c r="C838" s="18" t="inlineStr">
        <is>
          <t>Extorsão mediante sequestro com resultado lesão corporal grave</t>
        </is>
      </c>
      <c r="D838" s="17" t="n">
        <v>192</v>
      </c>
      <c r="E838" s="17" t="n">
        <v>288</v>
      </c>
      <c r="F838" s="17" t="inlineStr">
        <is>
          <t>Reclusão</t>
        </is>
      </c>
      <c r="G838" s="17" t="inlineStr">
        <is>
          <t>Pública Incondicionada</t>
        </is>
      </c>
      <c r="H838" s="17" t="inlineStr">
        <is>
          <t>Sim</t>
        </is>
      </c>
      <c r="I838" s="17" t="inlineStr">
        <is>
          <t>Preterdoloso</t>
        </is>
      </c>
      <c r="J838" s="17" t="inlineStr">
        <is>
          <t>Não</t>
        </is>
      </c>
      <c r="K838" s="17" t="inlineStr">
        <is>
          <t>Sim</t>
        </is>
      </c>
      <c r="L838" s="17" t="inlineStr">
        <is>
          <t>Sim</t>
        </is>
      </c>
      <c r="M838" s="17" t="inlineStr">
        <is>
          <t>Não</t>
        </is>
      </c>
      <c r="N838" s="17" t="inlineStr">
        <is>
          <t>Não</t>
        </is>
      </c>
      <c r="O838" s="17" t="inlineStr">
        <is>
          <t>Verificar</t>
        </is>
      </c>
      <c r="P838" s="18" t="inlineStr">
        <is>
          <t>16-24 anos reclusão. HEDIONDO. Resultado qualificador preterdoloso</t>
        </is>
      </c>
    </row>
    <row r="839">
      <c r="A839" s="17" t="inlineStr">
        <is>
          <t>CP</t>
        </is>
      </c>
      <c r="B839" s="17" t="inlineStr">
        <is>
          <t>Art. 159, §3º</t>
        </is>
      </c>
      <c r="C839" s="18" t="inlineStr">
        <is>
          <t>Extorsão mediante sequestro com resultado morte</t>
        </is>
      </c>
      <c r="D839" s="17" t="n">
        <v>288</v>
      </c>
      <c r="E839" s="17" t="n">
        <v>360</v>
      </c>
      <c r="F839" s="17" t="inlineStr">
        <is>
          <t>Reclusão</t>
        </is>
      </c>
      <c r="G839" s="17" t="inlineStr">
        <is>
          <t>Pública Incondicionada</t>
        </is>
      </c>
      <c r="H839" s="17" t="inlineStr">
        <is>
          <t>Sim</t>
        </is>
      </c>
      <c r="I839" s="17" t="inlineStr">
        <is>
          <t>Preterdoloso</t>
        </is>
      </c>
      <c r="J839" s="17" t="inlineStr">
        <is>
          <t>Não</t>
        </is>
      </c>
      <c r="K839" s="17" t="inlineStr">
        <is>
          <t>Sim</t>
        </is>
      </c>
      <c r="L839" s="17" t="inlineStr">
        <is>
          <t>Sim</t>
        </is>
      </c>
      <c r="M839" s="17" t="inlineStr">
        <is>
          <t>Não</t>
        </is>
      </c>
      <c r="N839" s="17" t="inlineStr">
        <is>
          <t>Não</t>
        </is>
      </c>
      <c r="O839" s="17" t="inlineStr">
        <is>
          <t>Verificar</t>
        </is>
      </c>
      <c r="P839" s="18" t="inlineStr">
        <is>
          <t>24-30 anos reclusão. HEDIONDO. Crime preterdoloso. Pena mais alta do CP</t>
        </is>
      </c>
    </row>
    <row r="840">
      <c r="A840" s="26" t="inlineStr">
        <is>
          <t>CP</t>
        </is>
      </c>
      <c r="B840" s="26" t="inlineStr">
        <is>
          <t>Art. 250, §1º, I</t>
        </is>
      </c>
      <c r="C840" s="27" t="inlineStr">
        <is>
          <t>Incêndio com aumento — em casa habitada ou destinada a habitação</t>
        </is>
      </c>
      <c r="D840" s="26" t="n">
        <v>36</v>
      </c>
      <c r="E840" s="26" t="n">
        <v>72</v>
      </c>
      <c r="F840" s="26" t="inlineStr">
        <is>
          <t>Reclusão</t>
        </is>
      </c>
      <c r="G840" s="26" t="inlineStr">
        <is>
          <t>Pública Incondicionada</t>
        </is>
      </c>
      <c r="H840" s="26" t="inlineStr">
        <is>
          <t>Não</t>
        </is>
      </c>
      <c r="I840" s="26" t="inlineStr">
        <is>
          <t>Doloso</t>
        </is>
      </c>
      <c r="J840" s="26" t="inlineStr">
        <is>
          <t>Sim</t>
        </is>
      </c>
      <c r="K840" s="26" t="inlineStr">
        <is>
          <t>Sim</t>
        </is>
      </c>
      <c r="L840" s="26" t="inlineStr">
        <is>
          <t>Não</t>
        </is>
      </c>
      <c r="M840" s="26" t="inlineStr">
        <is>
          <t>Não</t>
        </is>
      </c>
      <c r="N840" s="26" t="inlineStr">
        <is>
          <t>Não</t>
        </is>
      </c>
      <c r="O840" s="26" t="inlineStr">
        <is>
          <t>Verificar</t>
        </is>
      </c>
      <c r="P840" s="27" t="inlineStr">
        <is>
          <t>3-6 anos reclusão + multa. Aumento de 1/3</t>
        </is>
      </c>
    </row>
    <row r="841">
      <c r="A841" s="26" t="inlineStr">
        <is>
          <t>CP</t>
        </is>
      </c>
      <c r="B841" s="26" t="inlineStr">
        <is>
          <t>Art. 250, §1º, II, a</t>
        </is>
      </c>
      <c r="C841" s="27" t="inlineStr">
        <is>
          <t>Incêndio com aumento — em edifício público ou destinado a uso público ou a obra de assistência social/cultura/culto</t>
        </is>
      </c>
      <c r="D841" s="26" t="n">
        <v>36</v>
      </c>
      <c r="E841" s="26" t="n">
        <v>72</v>
      </c>
      <c r="F841" s="26" t="inlineStr">
        <is>
          <t>Reclusão</t>
        </is>
      </c>
      <c r="G841" s="26" t="inlineStr">
        <is>
          <t>Pública Incondicionada</t>
        </is>
      </c>
      <c r="H841" s="26" t="inlineStr">
        <is>
          <t>Não</t>
        </is>
      </c>
      <c r="I841" s="26" t="inlineStr">
        <is>
          <t>Doloso</t>
        </is>
      </c>
      <c r="J841" s="26" t="inlineStr">
        <is>
          <t>Sim</t>
        </is>
      </c>
      <c r="K841" s="26" t="inlineStr">
        <is>
          <t>Sim</t>
        </is>
      </c>
      <c r="L841" s="26" t="inlineStr">
        <is>
          <t>Não</t>
        </is>
      </c>
      <c r="M841" s="26" t="inlineStr">
        <is>
          <t>Não</t>
        </is>
      </c>
      <c r="N841" s="26" t="inlineStr">
        <is>
          <t>Não</t>
        </is>
      </c>
      <c r="O841" s="26" t="inlineStr">
        <is>
          <t>Verificar</t>
        </is>
      </c>
      <c r="P841" s="27" t="inlineStr">
        <is>
          <t>3-6 anos reclusão + multa. Aumento de 1/3</t>
        </is>
      </c>
    </row>
    <row r="842">
      <c r="A842" s="26" t="inlineStr">
        <is>
          <t>CP</t>
        </is>
      </c>
      <c r="B842" s="26" t="inlineStr">
        <is>
          <t>Art. 250, §1º, II, b</t>
        </is>
      </c>
      <c r="C842" s="27" t="inlineStr">
        <is>
          <t>Incêndio com aumento — em embarcação, aeronave, comboio ou veículo de transporte coletivo</t>
        </is>
      </c>
      <c r="D842" s="26" t="n">
        <v>36</v>
      </c>
      <c r="E842" s="26" t="n">
        <v>72</v>
      </c>
      <c r="F842" s="26" t="inlineStr">
        <is>
          <t>Reclusão</t>
        </is>
      </c>
      <c r="G842" s="26" t="inlineStr">
        <is>
          <t>Pública Incondicionada</t>
        </is>
      </c>
      <c r="H842" s="26" t="inlineStr">
        <is>
          <t>Não</t>
        </is>
      </c>
      <c r="I842" s="26" t="inlineStr">
        <is>
          <t>Doloso</t>
        </is>
      </c>
      <c r="J842" s="26" t="inlineStr">
        <is>
          <t>Sim</t>
        </is>
      </c>
      <c r="K842" s="26" t="inlineStr">
        <is>
          <t>Sim</t>
        </is>
      </c>
      <c r="L842" s="26" t="inlineStr">
        <is>
          <t>Não</t>
        </is>
      </c>
      <c r="M842" s="26" t="inlineStr">
        <is>
          <t>Não</t>
        </is>
      </c>
      <c r="N842" s="26" t="inlineStr">
        <is>
          <t>Não</t>
        </is>
      </c>
      <c r="O842" s="26" t="inlineStr">
        <is>
          <t>Verificar</t>
        </is>
      </c>
      <c r="P842" s="27" t="inlineStr">
        <is>
          <t>3-6 anos reclusão + multa. Aumento de 1/3</t>
        </is>
      </c>
    </row>
    <row r="843">
      <c r="A843" s="26" t="inlineStr">
        <is>
          <t>CP</t>
        </is>
      </c>
      <c r="B843" s="26" t="inlineStr">
        <is>
          <t>Art. 250, §2º</t>
        </is>
      </c>
      <c r="C843" s="27" t="inlineStr">
        <is>
          <t>Incêndio culposo</t>
        </is>
      </c>
      <c r="D843" s="26" t="n">
        <v>6</v>
      </c>
      <c r="E843" s="26" t="n">
        <v>24</v>
      </c>
      <c r="F843" s="26" t="inlineStr">
        <is>
          <t>Detenção</t>
        </is>
      </c>
      <c r="G843" s="26" t="inlineStr">
        <is>
          <t>Pública Incondicionada</t>
        </is>
      </c>
      <c r="H843" s="26" t="inlineStr">
        <is>
          <t>Não</t>
        </is>
      </c>
      <c r="I843" s="26" t="inlineStr">
        <is>
          <t>Culposo</t>
        </is>
      </c>
      <c r="J843" s="26" t="inlineStr">
        <is>
          <t>Não</t>
        </is>
      </c>
      <c r="K843" s="26" t="inlineStr">
        <is>
          <t>Sim</t>
        </is>
      </c>
      <c r="L843" s="26" t="inlineStr">
        <is>
          <t>Não</t>
        </is>
      </c>
      <c r="M843" s="26" t="inlineStr">
        <is>
          <t>Não</t>
        </is>
      </c>
      <c r="N843" s="26" t="inlineStr">
        <is>
          <t>Sim</t>
        </is>
      </c>
      <c r="O843" s="26" t="inlineStr">
        <is>
          <t>Sim</t>
        </is>
      </c>
      <c r="P843" s="27" t="inlineStr">
        <is>
          <t>6 meses a 2 anos detenção</t>
        </is>
      </c>
    </row>
    <row r="844">
      <c r="A844" s="7" t="inlineStr">
        <is>
          <t>CP</t>
        </is>
      </c>
      <c r="B844" s="7" t="inlineStr">
        <is>
          <t>Art. 317, §1º</t>
        </is>
      </c>
      <c r="C844" s="16" t="inlineStr">
        <is>
          <t>Corrupção passiva com aumento — funcionário que retarda ou deixa de praticar ato de ofício ou pratica contra disposição expressa de lei em razão de vantagem</t>
        </is>
      </c>
      <c r="D844" s="7" t="n">
        <v>24</v>
      </c>
      <c r="E844" s="7" t="n">
        <v>144</v>
      </c>
      <c r="F844" s="7" t="inlineStr">
        <is>
          <t>Reclusão</t>
        </is>
      </c>
      <c r="G844" s="7" t="inlineStr">
        <is>
          <t>Pública Incondicionada</t>
        </is>
      </c>
      <c r="H844" s="7" t="inlineStr">
        <is>
          <t>Não</t>
        </is>
      </c>
      <c r="I844" s="7" t="inlineStr">
        <is>
          <t>Doloso</t>
        </is>
      </c>
      <c r="J844" s="7" t="inlineStr">
        <is>
          <t>Sim</t>
        </is>
      </c>
      <c r="K844" s="7" t="inlineStr">
        <is>
          <t>Não</t>
        </is>
      </c>
      <c r="L844" s="7" t="inlineStr">
        <is>
          <t>Não</t>
        </is>
      </c>
      <c r="M844" s="7" t="inlineStr">
        <is>
          <t>Sim</t>
        </is>
      </c>
      <c r="N844" s="7" t="inlineStr">
        <is>
          <t>Não</t>
        </is>
      </c>
      <c r="O844" s="7" t="inlineStr">
        <is>
          <t>Sim</t>
        </is>
      </c>
      <c r="P844" s="16" t="inlineStr">
        <is>
          <t>2-12 anos reclusão + multa. Aumento de 1/3. Forma qualificada da corrupção passiva</t>
        </is>
      </c>
    </row>
    <row r="845">
      <c r="A845" s="7" t="inlineStr">
        <is>
          <t>CP</t>
        </is>
      </c>
      <c r="B845" s="7" t="inlineStr">
        <is>
          <t>Art. 317, §2º</t>
        </is>
      </c>
      <c r="C845" s="16" t="inlineStr">
        <is>
          <t>Corrupção passiva privilegiada — cede a pedido/influência de outrem (sem vantagem)</t>
        </is>
      </c>
      <c r="D845" s="7" t="n">
        <v>3</v>
      </c>
      <c r="E845" s="7" t="n">
        <v>12</v>
      </c>
      <c r="F845" s="7" t="inlineStr">
        <is>
          <t>Detenção</t>
        </is>
      </c>
      <c r="G845" s="7" t="inlineStr">
        <is>
          <t>Pública Incondicionada</t>
        </is>
      </c>
      <c r="H845" s="7" t="inlineStr">
        <is>
          <t>Não</t>
        </is>
      </c>
      <c r="I845" s="7" t="inlineStr">
        <is>
          <t>Doloso</t>
        </is>
      </c>
      <c r="J845" s="7" t="inlineStr">
        <is>
          <t>Sim</t>
        </is>
      </c>
      <c r="K845" s="7" t="inlineStr">
        <is>
          <t>Não</t>
        </is>
      </c>
      <c r="L845" s="7" t="inlineStr">
        <is>
          <t>Não</t>
        </is>
      </c>
      <c r="M845" s="7" t="inlineStr">
        <is>
          <t>Sim</t>
        </is>
      </c>
      <c r="N845" s="7" t="inlineStr">
        <is>
          <t>Sim</t>
        </is>
      </c>
      <c r="O845" s="7" t="inlineStr">
        <is>
          <t>Sim</t>
        </is>
      </c>
      <c r="P845" s="16" t="inlineStr">
        <is>
          <t>3 meses a 1 ano detenção + multa. Forma privilegiada</t>
        </is>
      </c>
    </row>
    <row r="846">
      <c r="A846" s="7" t="inlineStr">
        <is>
          <t>CP</t>
        </is>
      </c>
      <c r="B846" s="7" t="inlineStr">
        <is>
          <t>Art. 333, §único</t>
        </is>
      </c>
      <c r="C846" s="16" t="inlineStr">
        <is>
          <t>Corrupção ativa com aumento — se o funcionário retarda/omite ato de ofício ou pratica contra disposição expressa</t>
        </is>
      </c>
      <c r="D846" s="7" t="n">
        <v>24</v>
      </c>
      <c r="E846" s="7" t="n">
        <v>144</v>
      </c>
      <c r="F846" s="7" t="inlineStr">
        <is>
          <t>Reclusão</t>
        </is>
      </c>
      <c r="G846" s="7" t="inlineStr">
        <is>
          <t>Pública Incondicionada</t>
        </is>
      </c>
      <c r="H846" s="7" t="inlineStr">
        <is>
          <t>Não</t>
        </is>
      </c>
      <c r="I846" s="7" t="inlineStr">
        <is>
          <t>Doloso</t>
        </is>
      </c>
      <c r="J846" s="7" t="inlineStr">
        <is>
          <t>Sim</t>
        </is>
      </c>
      <c r="K846" s="7" t="inlineStr">
        <is>
          <t>Não</t>
        </is>
      </c>
      <c r="L846" s="7" t="inlineStr">
        <is>
          <t>Não</t>
        </is>
      </c>
      <c r="M846" s="7" t="inlineStr">
        <is>
          <t>Sim</t>
        </is>
      </c>
      <c r="N846" s="7" t="inlineStr">
        <is>
          <t>Não</t>
        </is>
      </c>
      <c r="O846" s="7" t="inlineStr">
        <is>
          <t>Sim</t>
        </is>
      </c>
      <c r="P846" s="16" t="inlineStr">
        <is>
          <t>2-12 anos reclusão + multa. Aumento de 1/3</t>
        </is>
      </c>
    </row>
    <row r="847">
      <c r="A847" s="7" t="inlineStr">
        <is>
          <t>CP</t>
        </is>
      </c>
      <c r="B847" s="7" t="inlineStr">
        <is>
          <t>Art. 316, §1º</t>
        </is>
      </c>
      <c r="C847" s="16" t="inlineStr">
        <is>
          <t>Excesso de exação — exigir tributo/contribuição social que sabe indevido ou empregar meio vexatório/gravoso na cobrança</t>
        </is>
      </c>
      <c r="D847" s="7" t="n">
        <v>36</v>
      </c>
      <c r="E847" s="7" t="n">
        <v>96</v>
      </c>
      <c r="F847" s="7" t="inlineStr">
        <is>
          <t>Reclusão</t>
        </is>
      </c>
      <c r="G847" s="7" t="inlineStr">
        <is>
          <t>Pública Incondicionada</t>
        </is>
      </c>
      <c r="H847" s="7" t="inlineStr">
        <is>
          <t>Não</t>
        </is>
      </c>
      <c r="I847" s="7" t="inlineStr">
        <is>
          <t>Doloso</t>
        </is>
      </c>
      <c r="J847" s="7" t="inlineStr">
        <is>
          <t>Sim</t>
        </is>
      </c>
      <c r="K847" s="7" t="inlineStr">
        <is>
          <t>Não</t>
        </is>
      </c>
      <c r="L847" s="7" t="inlineStr">
        <is>
          <t>Não</t>
        </is>
      </c>
      <c r="M847" s="7" t="inlineStr">
        <is>
          <t>Sim</t>
        </is>
      </c>
      <c r="N847" s="7" t="inlineStr">
        <is>
          <t>Não</t>
        </is>
      </c>
      <c r="O847" s="7" t="inlineStr">
        <is>
          <t>Verificar</t>
        </is>
      </c>
      <c r="P847" s="16" t="inlineStr">
        <is>
          <t>3-8 anos reclusão + multa</t>
        </is>
      </c>
    </row>
    <row r="848">
      <c r="A848" s="7" t="inlineStr">
        <is>
          <t>CP</t>
        </is>
      </c>
      <c r="B848" s="7" t="inlineStr">
        <is>
          <t>Art. 316, §2º</t>
        </is>
      </c>
      <c r="C848" s="16" t="inlineStr">
        <is>
          <t>Excesso de exação — desviar o que recebeu indevidamente em proveito próprio ou alheio</t>
        </is>
      </c>
      <c r="D848" s="7" t="n">
        <v>24</v>
      </c>
      <c r="E848" s="7" t="n">
        <v>144</v>
      </c>
      <c r="F848" s="7" t="inlineStr">
        <is>
          <t>Reclusão</t>
        </is>
      </c>
      <c r="G848" s="7" t="inlineStr">
        <is>
          <t>Pública Incondicionada</t>
        </is>
      </c>
      <c r="H848" s="7" t="inlineStr">
        <is>
          <t>Não</t>
        </is>
      </c>
      <c r="I848" s="7" t="inlineStr">
        <is>
          <t>Doloso</t>
        </is>
      </c>
      <c r="J848" s="7" t="inlineStr">
        <is>
          <t>Sim</t>
        </is>
      </c>
      <c r="K848" s="7" t="inlineStr">
        <is>
          <t>Não</t>
        </is>
      </c>
      <c r="L848" s="7" t="inlineStr">
        <is>
          <t>Não</t>
        </is>
      </c>
      <c r="M848" s="7" t="inlineStr">
        <is>
          <t>Sim</t>
        </is>
      </c>
      <c r="N848" s="7" t="inlineStr">
        <is>
          <t>Não</t>
        </is>
      </c>
      <c r="O848" s="7" t="inlineStr">
        <is>
          <t>Sim</t>
        </is>
      </c>
      <c r="P848" s="16" t="inlineStr">
        <is>
          <t>2-12 anos reclusão + multa. Desvio do valor exigido indevidamente</t>
        </is>
      </c>
    </row>
    <row r="849">
      <c r="A849" s="7" t="inlineStr">
        <is>
          <t>CP</t>
        </is>
      </c>
      <c r="B849" s="7" t="inlineStr">
        <is>
          <t>Art. 299, §único</t>
        </is>
      </c>
      <c r="C849" s="16" t="inlineStr">
        <is>
          <t>Falsidade ideológica com aumento — se o documento é público ou se o agente é funcionário público</t>
        </is>
      </c>
      <c r="D849" s="7" t="n">
        <v>12</v>
      </c>
      <c r="E849" s="7" t="n">
        <v>60</v>
      </c>
      <c r="F849" s="7" t="inlineStr">
        <is>
          <t>Reclusão</t>
        </is>
      </c>
      <c r="G849" s="7" t="inlineStr">
        <is>
          <t>Pública Incondicionada</t>
        </is>
      </c>
      <c r="H849" s="7" t="inlineStr">
        <is>
          <t>Não</t>
        </is>
      </c>
      <c r="I849" s="7" t="inlineStr">
        <is>
          <t>Doloso</t>
        </is>
      </c>
      <c r="J849" s="7" t="inlineStr">
        <is>
          <t>Sim</t>
        </is>
      </c>
      <c r="K849" s="7" t="inlineStr">
        <is>
          <t>Não</t>
        </is>
      </c>
      <c r="L849" s="7" t="inlineStr">
        <is>
          <t>Não</t>
        </is>
      </c>
      <c r="M849" s="7" t="inlineStr">
        <is>
          <t>Sim</t>
        </is>
      </c>
      <c r="N849" s="7" t="inlineStr">
        <is>
          <t>Sim</t>
        </is>
      </c>
      <c r="O849" s="7" t="inlineStr">
        <is>
          <t>Sim</t>
        </is>
      </c>
      <c r="P849" s="16" t="inlineStr">
        <is>
          <t>1-5 anos reclusão + multa. Aumento de 1/6 quando doc público ou agente é funcionário</t>
        </is>
      </c>
    </row>
    <row r="850">
      <c r="A850" s="7" t="inlineStr">
        <is>
          <t>CP</t>
        </is>
      </c>
      <c r="B850" s="7" t="inlineStr">
        <is>
          <t>Art. 138, §1º</t>
        </is>
      </c>
      <c r="C850" s="16" t="inlineStr">
        <is>
          <t>Calúnia — quem sabendo falsa a imputação a propala ou divulga</t>
        </is>
      </c>
      <c r="D850" s="7" t="n">
        <v>6</v>
      </c>
      <c r="E850" s="7" t="n">
        <v>24</v>
      </c>
      <c r="F850" s="7" t="inlineStr">
        <is>
          <t>Detenção</t>
        </is>
      </c>
      <c r="G850" s="7" t="inlineStr">
        <is>
          <t>Privada</t>
        </is>
      </c>
      <c r="H850" s="7" t="inlineStr">
        <is>
          <t>Não</t>
        </is>
      </c>
      <c r="I850" s="7" t="inlineStr">
        <is>
          <t>Doloso</t>
        </is>
      </c>
      <c r="J850" s="7" t="inlineStr">
        <is>
          <t>Sim</t>
        </is>
      </c>
      <c r="K850" s="7" t="inlineStr">
        <is>
          <t>Não</t>
        </is>
      </c>
      <c r="L850" s="7" t="inlineStr">
        <is>
          <t>Não</t>
        </is>
      </c>
      <c r="M850" s="7" t="inlineStr">
        <is>
          <t>Sim</t>
        </is>
      </c>
      <c r="N850" s="7" t="inlineStr">
        <is>
          <t>Sim</t>
        </is>
      </c>
      <c r="O850" s="7" t="inlineStr">
        <is>
          <t>Sim</t>
        </is>
      </c>
      <c r="P850" s="16" t="inlineStr">
        <is>
          <t>6 meses a 2 anos detenção + multa. Quem divulga calúnia de outrem</t>
        </is>
      </c>
    </row>
    <row r="851">
      <c r="A851" s="7" t="inlineStr">
        <is>
          <t>CP</t>
        </is>
      </c>
      <c r="B851" s="7" t="inlineStr">
        <is>
          <t>Art. 138, §2º</t>
        </is>
      </c>
      <c r="C851" s="16" t="inlineStr">
        <is>
          <t>Calúnia contra os mortos</t>
        </is>
      </c>
      <c r="D851" s="7" t="n">
        <v>6</v>
      </c>
      <c r="E851" s="7" t="n">
        <v>24</v>
      </c>
      <c r="F851" s="7" t="inlineStr">
        <is>
          <t>Detenção</t>
        </is>
      </c>
      <c r="G851" s="7" t="inlineStr">
        <is>
          <t>Privada</t>
        </is>
      </c>
      <c r="H851" s="7" t="inlineStr">
        <is>
          <t>Não</t>
        </is>
      </c>
      <c r="I851" s="7" t="inlineStr">
        <is>
          <t>Doloso</t>
        </is>
      </c>
      <c r="J851" s="7" t="inlineStr">
        <is>
          <t>Sim</t>
        </is>
      </c>
      <c r="K851" s="7" t="inlineStr">
        <is>
          <t>Não</t>
        </is>
      </c>
      <c r="L851" s="7" t="inlineStr">
        <is>
          <t>Não</t>
        </is>
      </c>
      <c r="M851" s="7" t="inlineStr">
        <is>
          <t>Sim</t>
        </is>
      </c>
      <c r="N851" s="7" t="inlineStr">
        <is>
          <t>Sim</t>
        </is>
      </c>
      <c r="O851" s="7" t="inlineStr">
        <is>
          <t>Sim</t>
        </is>
      </c>
      <c r="P851" s="16" t="inlineStr">
        <is>
          <t>6 meses a 2 anos detenção + multa. Legitimados: CADI (cônjuge, ascendente, descendente, irmão)</t>
        </is>
      </c>
    </row>
    <row r="852">
      <c r="A852" s="28" t="inlineStr">
        <is>
          <t>CP</t>
        </is>
      </c>
      <c r="B852" s="28" t="inlineStr">
        <is>
          <t>Art. 141, I</t>
        </is>
      </c>
      <c r="C852" s="29" t="inlineStr">
        <is>
          <t>Crimes contra a honra com aumento de 1/3 — contra o Presidente da República ou chefe de governo estrangeiro</t>
        </is>
      </c>
      <c r="D852" s="28" t="inlineStr">
        <is>
          <t>—</t>
        </is>
      </c>
      <c r="E852" s="28" t="inlineStr">
        <is>
          <t>—</t>
        </is>
      </c>
      <c r="F852" s="28" t="inlineStr">
        <is>
          <t>—</t>
        </is>
      </c>
      <c r="G852" s="28" t="inlineStr">
        <is>
          <t>—</t>
        </is>
      </c>
      <c r="H852" s="28" t="inlineStr">
        <is>
          <t>—</t>
        </is>
      </c>
      <c r="I852" s="28" t="inlineStr">
        <is>
          <t>—</t>
        </is>
      </c>
      <c r="J852" s="28" t="inlineStr">
        <is>
          <t>—</t>
        </is>
      </c>
      <c r="K852" s="28" t="inlineStr">
        <is>
          <t>—</t>
        </is>
      </c>
      <c r="L852" s="28" t="inlineStr">
        <is>
          <t>—</t>
        </is>
      </c>
      <c r="M852" s="28" t="inlineStr">
        <is>
          <t>—</t>
        </is>
      </c>
      <c r="N852" s="28" t="inlineStr">
        <is>
          <t>—</t>
        </is>
      </c>
      <c r="O852" s="28" t="inlineStr">
        <is>
          <t>—</t>
        </is>
      </c>
      <c r="P852" s="29" t="inlineStr">
        <is>
          <t>REFERÊNCIA — majorante. Aumento de 1/3 nas penas dos Arts. 138-140</t>
        </is>
      </c>
    </row>
    <row r="853">
      <c r="A853" s="28" t="inlineStr">
        <is>
          <t>CP</t>
        </is>
      </c>
      <c r="B853" s="28" t="inlineStr">
        <is>
          <t>Art. 141, II</t>
        </is>
      </c>
      <c r="C853" s="29" t="inlineStr">
        <is>
          <t>Crimes contra a honra com aumento de 1/3 — contra funcionário público em razão de suas funções</t>
        </is>
      </c>
      <c r="D853" s="28" t="inlineStr">
        <is>
          <t>—</t>
        </is>
      </c>
      <c r="E853" s="28" t="inlineStr">
        <is>
          <t>—</t>
        </is>
      </c>
      <c r="F853" s="28" t="inlineStr">
        <is>
          <t>—</t>
        </is>
      </c>
      <c r="G853" s="28" t="inlineStr">
        <is>
          <t>Pública Condicionada</t>
        </is>
      </c>
      <c r="H853" s="28" t="inlineStr">
        <is>
          <t>—</t>
        </is>
      </c>
      <c r="I853" s="28" t="inlineStr">
        <is>
          <t>—</t>
        </is>
      </c>
      <c r="J853" s="28" t="inlineStr">
        <is>
          <t>—</t>
        </is>
      </c>
      <c r="K853" s="28" t="inlineStr">
        <is>
          <t>—</t>
        </is>
      </c>
      <c r="L853" s="28" t="inlineStr">
        <is>
          <t>—</t>
        </is>
      </c>
      <c r="M853" s="28" t="inlineStr">
        <is>
          <t>—</t>
        </is>
      </c>
      <c r="N853" s="28" t="inlineStr">
        <is>
          <t>—</t>
        </is>
      </c>
      <c r="O853" s="28" t="inlineStr">
        <is>
          <t>—</t>
        </is>
      </c>
      <c r="P853" s="29" t="inlineStr">
        <is>
          <t>REFERÊNCIA — majorante + muda ação penal para condicionada. Súmula 714 STF</t>
        </is>
      </c>
    </row>
    <row r="854">
      <c r="A854" s="28" t="inlineStr">
        <is>
          <t>CP</t>
        </is>
      </c>
      <c r="B854" s="28" t="inlineStr">
        <is>
          <t>Art. 141, III</t>
        </is>
      </c>
      <c r="C854" s="29" t="inlineStr">
        <is>
          <t>Crimes contra a honra com aumento de 1/3 — na presença de várias pessoas ou por meio que facilite divulgação</t>
        </is>
      </c>
      <c r="D854" s="28" t="inlineStr">
        <is>
          <t>—</t>
        </is>
      </c>
      <c r="E854" s="28" t="inlineStr">
        <is>
          <t>—</t>
        </is>
      </c>
      <c r="F854" s="28" t="inlineStr">
        <is>
          <t>—</t>
        </is>
      </c>
      <c r="G854" s="28" t="inlineStr">
        <is>
          <t>—</t>
        </is>
      </c>
      <c r="H854" s="28" t="inlineStr">
        <is>
          <t>—</t>
        </is>
      </c>
      <c r="I854" s="28" t="inlineStr">
        <is>
          <t>—</t>
        </is>
      </c>
      <c r="J854" s="28" t="inlineStr">
        <is>
          <t>—</t>
        </is>
      </c>
      <c r="K854" s="28" t="inlineStr">
        <is>
          <t>—</t>
        </is>
      </c>
      <c r="L854" s="28" t="inlineStr">
        <is>
          <t>—</t>
        </is>
      </c>
      <c r="M854" s="28" t="inlineStr">
        <is>
          <t>—</t>
        </is>
      </c>
      <c r="N854" s="28" t="inlineStr">
        <is>
          <t>—</t>
        </is>
      </c>
      <c r="O854" s="28" t="inlineStr">
        <is>
          <t>—</t>
        </is>
      </c>
      <c r="P854" s="29" t="inlineStr">
        <is>
          <t>REFERÊNCIA — majorante. Inclui redes sociais, internet, imprensa</t>
        </is>
      </c>
    </row>
    <row r="855">
      <c r="A855" s="28" t="inlineStr">
        <is>
          <t>CP</t>
        </is>
      </c>
      <c r="B855" s="28" t="inlineStr">
        <is>
          <t>Art. 141, IV</t>
        </is>
      </c>
      <c r="C855" s="29" t="inlineStr">
        <is>
          <t>Crimes contra a honra com aumento de 1/3 — contra pessoa maior de 60 anos ou portadora de deficiência (exceto injúria)</t>
        </is>
      </c>
      <c r="D855" s="28" t="inlineStr">
        <is>
          <t>—</t>
        </is>
      </c>
      <c r="E855" s="28" t="inlineStr">
        <is>
          <t>—</t>
        </is>
      </c>
      <c r="F855" s="28" t="inlineStr">
        <is>
          <t>—</t>
        </is>
      </c>
      <c r="G855" s="28" t="inlineStr">
        <is>
          <t>—</t>
        </is>
      </c>
      <c r="H855" s="28" t="inlineStr">
        <is>
          <t>—</t>
        </is>
      </c>
      <c r="I855" s="28" t="inlineStr">
        <is>
          <t>—</t>
        </is>
      </c>
      <c r="J855" s="28" t="inlineStr">
        <is>
          <t>—</t>
        </is>
      </c>
      <c r="K855" s="28" t="inlineStr">
        <is>
          <t>—</t>
        </is>
      </c>
      <c r="L855" s="28" t="inlineStr">
        <is>
          <t>—</t>
        </is>
      </c>
      <c r="M855" s="28" t="inlineStr">
        <is>
          <t>—</t>
        </is>
      </c>
      <c r="N855" s="28" t="inlineStr">
        <is>
          <t>—</t>
        </is>
      </c>
      <c r="O855" s="28" t="inlineStr">
        <is>
          <t>—</t>
        </is>
      </c>
      <c r="P855" s="29" t="inlineStr">
        <is>
          <t>REFERÊNCIA — majorante</t>
        </is>
      </c>
    </row>
    <row r="856">
      <c r="A856" s="28" t="inlineStr">
        <is>
          <t>CP</t>
        </is>
      </c>
      <c r="B856" s="28" t="inlineStr">
        <is>
          <t>Art. 141, §2º</t>
        </is>
      </c>
      <c r="C856" s="29" t="inlineStr">
        <is>
          <t>Crimes contra a honra com pena em dobro — se cometido mediante paga ou promessa de recompensa</t>
        </is>
      </c>
      <c r="D856" s="28" t="inlineStr">
        <is>
          <t>—</t>
        </is>
      </c>
      <c r="E856" s="28" t="inlineStr">
        <is>
          <t>—</t>
        </is>
      </c>
      <c r="F856" s="28" t="inlineStr">
        <is>
          <t>—</t>
        </is>
      </c>
      <c r="G856" s="28" t="inlineStr">
        <is>
          <t>—</t>
        </is>
      </c>
      <c r="H856" s="28" t="inlineStr">
        <is>
          <t>—</t>
        </is>
      </c>
      <c r="I856" s="28" t="inlineStr">
        <is>
          <t>—</t>
        </is>
      </c>
      <c r="J856" s="28" t="inlineStr">
        <is>
          <t>—</t>
        </is>
      </c>
      <c r="K856" s="28" t="inlineStr">
        <is>
          <t>—</t>
        </is>
      </c>
      <c r="L856" s="28" t="inlineStr">
        <is>
          <t>—</t>
        </is>
      </c>
      <c r="M856" s="28" t="inlineStr">
        <is>
          <t>—</t>
        </is>
      </c>
      <c r="N856" s="28" t="inlineStr">
        <is>
          <t>—</t>
        </is>
      </c>
      <c r="O856" s="28" t="inlineStr">
        <is>
          <t>—</t>
        </is>
      </c>
      <c r="P856" s="29" t="inlineStr">
        <is>
          <t>REFERÊNCIA — pena em dobro. Calúnia/difamação/injúria mercenária</t>
        </is>
      </c>
    </row>
    <row r="857">
      <c r="A857" s="7" t="inlineStr">
        <is>
          <t>CP</t>
        </is>
      </c>
      <c r="B857" s="7" t="inlineStr">
        <is>
          <t>Art. 130</t>
        </is>
      </c>
      <c r="C857" s="16" t="inlineStr">
        <is>
          <t>Perigo de contágio venéreo (expor alguém a contágio de moléstia venérea por meio de relações sexuais)</t>
        </is>
      </c>
      <c r="D857" s="7" t="n">
        <v>3</v>
      </c>
      <c r="E857" s="7" t="n">
        <v>12</v>
      </c>
      <c r="F857" s="7" t="inlineStr">
        <is>
          <t>Detenção</t>
        </is>
      </c>
      <c r="G857" s="7" t="inlineStr">
        <is>
          <t>Pública Condicionada</t>
        </is>
      </c>
      <c r="H857" s="7" t="inlineStr">
        <is>
          <t>Não</t>
        </is>
      </c>
      <c r="I857" s="7" t="inlineStr">
        <is>
          <t>Doloso</t>
        </is>
      </c>
      <c r="J857" s="7" t="inlineStr">
        <is>
          <t>Sim</t>
        </is>
      </c>
      <c r="K857" s="7" t="inlineStr">
        <is>
          <t>Não</t>
        </is>
      </c>
      <c r="L857" s="7" t="inlineStr">
        <is>
          <t>Não</t>
        </is>
      </c>
      <c r="M857" s="7" t="inlineStr">
        <is>
          <t>Sim</t>
        </is>
      </c>
      <c r="N857" s="7" t="inlineStr">
        <is>
          <t>Sim</t>
        </is>
      </c>
      <c r="O857" s="7" t="inlineStr">
        <is>
          <t>Sim</t>
        </is>
      </c>
      <c r="P857" s="16" t="inlineStr">
        <is>
          <t>3 meses a 1 ano detenção + multa. §1º: se intenção de transmitir: 1-4 anos reclusão + multa. §2º: aumento se vítima é menor ou está sob guarda/vigilância</t>
        </is>
      </c>
    </row>
    <row r="858">
      <c r="A858" s="7" t="inlineStr">
        <is>
          <t>CP</t>
        </is>
      </c>
      <c r="B858" s="7" t="inlineStr">
        <is>
          <t>Art. 130, §1º</t>
        </is>
      </c>
      <c r="C858" s="16" t="inlineStr">
        <is>
          <t>Perigo de contágio venéreo com intenção de transmitir</t>
        </is>
      </c>
      <c r="D858" s="7" t="n">
        <v>12</v>
      </c>
      <c r="E858" s="7" t="n">
        <v>48</v>
      </c>
      <c r="F858" s="7" t="inlineStr">
        <is>
          <t>Reclusão</t>
        </is>
      </c>
      <c r="G858" s="7" t="inlineStr">
        <is>
          <t>Pública Condicionada</t>
        </is>
      </c>
      <c r="H858" s="7" t="inlineStr">
        <is>
          <t>Não</t>
        </is>
      </c>
      <c r="I858" s="7" t="inlineStr">
        <is>
          <t>Doloso</t>
        </is>
      </c>
      <c r="J858" s="7" t="inlineStr">
        <is>
          <t>Sim</t>
        </is>
      </c>
      <c r="K858" s="7" t="inlineStr">
        <is>
          <t>Não</t>
        </is>
      </c>
      <c r="L858" s="7" t="inlineStr">
        <is>
          <t>Não</t>
        </is>
      </c>
      <c r="M858" s="7" t="inlineStr">
        <is>
          <t>Sim</t>
        </is>
      </c>
      <c r="N858" s="7" t="inlineStr">
        <is>
          <t>Sim</t>
        </is>
      </c>
      <c r="O858" s="7" t="inlineStr">
        <is>
          <t>Sim</t>
        </is>
      </c>
      <c r="P858" s="16" t="inlineStr">
        <is>
          <t>1-4 anos reclusão + multa. Dolo direto de transmitir</t>
        </is>
      </c>
    </row>
    <row r="859">
      <c r="A859" s="7" t="inlineStr">
        <is>
          <t>CP</t>
        </is>
      </c>
      <c r="B859" s="7" t="inlineStr">
        <is>
          <t>Art. 131</t>
        </is>
      </c>
      <c r="C859" s="16" t="inlineStr">
        <is>
          <t>Perigo de contágio de moléstia grave (praticar ato capaz de produzir contágio de moléstia grave)</t>
        </is>
      </c>
      <c r="D859" s="7" t="n">
        <v>12</v>
      </c>
      <c r="E859" s="7" t="n">
        <v>48</v>
      </c>
      <c r="F859" s="7" t="inlineStr">
        <is>
          <t>Reclusão</t>
        </is>
      </c>
      <c r="G859" s="7" t="inlineStr">
        <is>
          <t>Pública Incondicionada</t>
        </is>
      </c>
      <c r="H859" s="7" t="inlineStr">
        <is>
          <t>Não</t>
        </is>
      </c>
      <c r="I859" s="7" t="inlineStr">
        <is>
          <t>Doloso</t>
        </is>
      </c>
      <c r="J859" s="7" t="inlineStr">
        <is>
          <t>Sim</t>
        </is>
      </c>
      <c r="K859" s="7" t="inlineStr">
        <is>
          <t>Não</t>
        </is>
      </c>
      <c r="L859" s="7" t="inlineStr">
        <is>
          <t>Não</t>
        </is>
      </c>
      <c r="M859" s="7" t="inlineStr">
        <is>
          <t>Sim</t>
        </is>
      </c>
      <c r="N859" s="7" t="inlineStr">
        <is>
          <t>Sim</t>
        </is>
      </c>
      <c r="O859" s="7" t="inlineStr">
        <is>
          <t>Sim</t>
        </is>
      </c>
      <c r="P859" s="16" t="inlineStr">
        <is>
          <t>1-4 anos reclusão + multa</t>
        </is>
      </c>
    </row>
    <row r="860">
      <c r="A860" s="7" t="inlineStr">
        <is>
          <t>CP</t>
        </is>
      </c>
      <c r="B860" s="7" t="inlineStr">
        <is>
          <t>Art. 132</t>
        </is>
      </c>
      <c r="C860" s="16" t="inlineStr">
        <is>
          <t>Perigo para a vida ou saúde de outrem (expor a vida ou saúde de outrem a perigo direto e iminente)</t>
        </is>
      </c>
      <c r="D860" s="7" t="n">
        <v>3</v>
      </c>
      <c r="E860" s="7" t="n">
        <v>12</v>
      </c>
      <c r="F860" s="7" t="inlineStr">
        <is>
          <t>Detenção</t>
        </is>
      </c>
      <c r="G860" s="7" t="inlineStr">
        <is>
          <t>Pública Incondicionada</t>
        </is>
      </c>
      <c r="H860" s="7" t="inlineStr">
        <is>
          <t>Não</t>
        </is>
      </c>
      <c r="I860" s="7" t="inlineStr">
        <is>
          <t>Doloso</t>
        </is>
      </c>
      <c r="J860" s="7" t="inlineStr">
        <is>
          <t>Sim</t>
        </is>
      </c>
      <c r="K860" s="7" t="inlineStr">
        <is>
          <t>Não</t>
        </is>
      </c>
      <c r="L860" s="7" t="inlineStr">
        <is>
          <t>Não</t>
        </is>
      </c>
      <c r="M860" s="7" t="inlineStr">
        <is>
          <t>Sim</t>
        </is>
      </c>
      <c r="N860" s="7" t="inlineStr">
        <is>
          <t>Sim</t>
        </is>
      </c>
      <c r="O860" s="7" t="inlineStr">
        <is>
          <t>Sim</t>
        </is>
      </c>
      <c r="P860" s="16" t="inlineStr">
        <is>
          <t>3 meses a 1 ano detenção. §único: aumento de 1/3 a 1/2 se transporte de pessoas para prestação de trabalho</t>
        </is>
      </c>
    </row>
    <row r="861">
      <c r="A861" s="7" t="inlineStr">
        <is>
          <t>CP</t>
        </is>
      </c>
      <c r="B861" s="7" t="inlineStr">
        <is>
          <t>Art. 133</t>
        </is>
      </c>
      <c r="C861" s="16" t="inlineStr">
        <is>
          <t>Abandono de incapaz (abandonar pessoa que está sob cuidado/guarda/vigilância/autoridade e é incapaz de defender-se)</t>
        </is>
      </c>
      <c r="D861" s="7" t="n">
        <v>6</v>
      </c>
      <c r="E861" s="7" t="n">
        <v>36</v>
      </c>
      <c r="F861" s="7" t="inlineStr">
        <is>
          <t>Detenção</t>
        </is>
      </c>
      <c r="G861" s="7" t="inlineStr">
        <is>
          <t>Pública Incondicionada</t>
        </is>
      </c>
      <c r="H861" s="7" t="inlineStr">
        <is>
          <t>Não</t>
        </is>
      </c>
      <c r="I861" s="7" t="inlineStr">
        <is>
          <t>Doloso</t>
        </is>
      </c>
      <c r="J861" s="7" t="inlineStr">
        <is>
          <t>Sim</t>
        </is>
      </c>
      <c r="K861" s="7" t="inlineStr">
        <is>
          <t>Não</t>
        </is>
      </c>
      <c r="L861" s="7" t="inlineStr">
        <is>
          <t>Não</t>
        </is>
      </c>
      <c r="M861" s="7" t="inlineStr">
        <is>
          <t>Sim</t>
        </is>
      </c>
      <c r="N861" s="7" t="inlineStr">
        <is>
          <t>Sim</t>
        </is>
      </c>
      <c r="O861" s="7" t="inlineStr">
        <is>
          <t>Sim</t>
        </is>
      </c>
      <c r="P861" s="16" t="inlineStr">
        <is>
          <t>6 meses a 3 anos detenção. §1º: se lesão grave: 1-5 anos reclusão. §2º: se morte: 4-12 anos reclusão. §3º: aumento de 1/3 se abandono em lugar ermo ou ascendente/descendente/cônjuge/irmão/tutor/curador</t>
        </is>
      </c>
    </row>
    <row r="862">
      <c r="A862" s="7" t="inlineStr">
        <is>
          <t>CP</t>
        </is>
      </c>
      <c r="B862" s="7" t="inlineStr">
        <is>
          <t>Art. 133, §1º</t>
        </is>
      </c>
      <c r="C862" s="16" t="inlineStr">
        <is>
          <t>Abandono de incapaz com resultado lesão grave</t>
        </is>
      </c>
      <c r="D862" s="7" t="n">
        <v>12</v>
      </c>
      <c r="E862" s="7" t="n">
        <v>60</v>
      </c>
      <c r="F862" s="7" t="inlineStr">
        <is>
          <t>Reclusão</t>
        </is>
      </c>
      <c r="G862" s="7" t="inlineStr">
        <is>
          <t>Pública Incondicionada</t>
        </is>
      </c>
      <c r="H862" s="7" t="inlineStr">
        <is>
          <t>Não</t>
        </is>
      </c>
      <c r="I862" s="7" t="inlineStr">
        <is>
          <t>Preterdoloso</t>
        </is>
      </c>
      <c r="J862" s="7" t="inlineStr">
        <is>
          <t>Não</t>
        </is>
      </c>
      <c r="K862" s="7" t="inlineStr">
        <is>
          <t>Não</t>
        </is>
      </c>
      <c r="L862" s="7" t="inlineStr">
        <is>
          <t>Não</t>
        </is>
      </c>
      <c r="M862" s="7" t="inlineStr">
        <is>
          <t>Sim</t>
        </is>
      </c>
      <c r="N862" s="7" t="inlineStr">
        <is>
          <t>Sim</t>
        </is>
      </c>
      <c r="O862" s="7" t="inlineStr">
        <is>
          <t>Sim</t>
        </is>
      </c>
      <c r="P862" s="16" t="inlineStr">
        <is>
          <t>1-5 anos reclusão. Resultado preterdoloso</t>
        </is>
      </c>
    </row>
    <row r="863">
      <c r="A863" s="7" t="inlineStr">
        <is>
          <t>CP</t>
        </is>
      </c>
      <c r="B863" s="7" t="inlineStr">
        <is>
          <t>Art. 133, §2º</t>
        </is>
      </c>
      <c r="C863" s="16" t="inlineStr">
        <is>
          <t>Abandono de incapaz com resultado morte</t>
        </is>
      </c>
      <c r="D863" s="7" t="n">
        <v>48</v>
      </c>
      <c r="E863" s="7" t="n">
        <v>144</v>
      </c>
      <c r="F863" s="7" t="inlineStr">
        <is>
          <t>Reclusão</t>
        </is>
      </c>
      <c r="G863" s="7" t="inlineStr">
        <is>
          <t>Pública Incondicionada</t>
        </is>
      </c>
      <c r="H863" s="7" t="inlineStr">
        <is>
          <t>Não</t>
        </is>
      </c>
      <c r="I863" s="7" t="inlineStr">
        <is>
          <t>Preterdoloso</t>
        </is>
      </c>
      <c r="J863" s="7" t="inlineStr">
        <is>
          <t>Não</t>
        </is>
      </c>
      <c r="K863" s="7" t="inlineStr">
        <is>
          <t>Não</t>
        </is>
      </c>
      <c r="L863" s="7" t="inlineStr">
        <is>
          <t>Não</t>
        </is>
      </c>
      <c r="M863" s="7" t="inlineStr">
        <is>
          <t>Não</t>
        </is>
      </c>
      <c r="N863" s="7" t="inlineStr">
        <is>
          <t>Não</t>
        </is>
      </c>
      <c r="O863" s="7" t="inlineStr">
        <is>
          <t>Verificar</t>
        </is>
      </c>
      <c r="P863" s="16" t="inlineStr">
        <is>
          <t>4-12 anos reclusão. Resultado preterdoloso</t>
        </is>
      </c>
    </row>
    <row r="864">
      <c r="A864" s="7" t="inlineStr">
        <is>
          <t>CP</t>
        </is>
      </c>
      <c r="B864" s="7" t="inlineStr">
        <is>
          <t>Art. 134</t>
        </is>
      </c>
      <c r="C864" s="16" t="inlineStr">
        <is>
          <t>Exposição ou abandono de recém-nascido (expor ou abandonar recém-nascido para ocultar desonra própria)</t>
        </is>
      </c>
      <c r="D864" s="7" t="n">
        <v>6</v>
      </c>
      <c r="E864" s="7" t="n">
        <v>24</v>
      </c>
      <c r="F864" s="7" t="inlineStr">
        <is>
          <t>Detenção</t>
        </is>
      </c>
      <c r="G864" s="7" t="inlineStr">
        <is>
          <t>Pública Incondicionada</t>
        </is>
      </c>
      <c r="H864" s="7" t="inlineStr">
        <is>
          <t>Não</t>
        </is>
      </c>
      <c r="I864" s="7" t="inlineStr">
        <is>
          <t>Doloso</t>
        </is>
      </c>
      <c r="J864" s="7" t="inlineStr">
        <is>
          <t>Sim</t>
        </is>
      </c>
      <c r="K864" s="7" t="inlineStr">
        <is>
          <t>Não</t>
        </is>
      </c>
      <c r="L864" s="7" t="inlineStr">
        <is>
          <t>Não</t>
        </is>
      </c>
      <c r="M864" s="7" t="inlineStr">
        <is>
          <t>Sim</t>
        </is>
      </c>
      <c r="N864" s="7" t="inlineStr">
        <is>
          <t>Sim</t>
        </is>
      </c>
      <c r="O864" s="7" t="inlineStr">
        <is>
          <t>Sim</t>
        </is>
      </c>
      <c r="P864" s="16" t="inlineStr">
        <is>
          <t>6 meses a 2 anos detenção. §1º: se lesão grave: 1-3 anos detenção. §2º: se morte: 2-6 anos detenção</t>
        </is>
      </c>
    </row>
    <row r="865">
      <c r="A865" s="7" t="inlineStr">
        <is>
          <t>CP</t>
        </is>
      </c>
      <c r="B865" s="7" t="inlineStr">
        <is>
          <t>Art. 135</t>
        </is>
      </c>
      <c r="C865" s="16" t="inlineStr">
        <is>
          <t>Omissão de socorro (deixar de prestar assistência a criança abandonada/pessoa inválida ou ferida, não socorrer)</t>
        </is>
      </c>
      <c r="D865" s="7" t="n">
        <v>1</v>
      </c>
      <c r="E865" s="7" t="n">
        <v>6</v>
      </c>
      <c r="F865" s="7" t="inlineStr">
        <is>
          <t>Detenção</t>
        </is>
      </c>
      <c r="G865" s="7" t="inlineStr">
        <is>
          <t>Pública Incondicionada</t>
        </is>
      </c>
      <c r="H865" s="7" t="inlineStr">
        <is>
          <t>Não</t>
        </is>
      </c>
      <c r="I865" s="7" t="inlineStr">
        <is>
          <t>Doloso</t>
        </is>
      </c>
      <c r="J865" s="7" t="inlineStr">
        <is>
          <t>Não</t>
        </is>
      </c>
      <c r="K865" s="7" t="inlineStr">
        <is>
          <t>Não</t>
        </is>
      </c>
      <c r="L865" s="7" t="inlineStr">
        <is>
          <t>Não</t>
        </is>
      </c>
      <c r="M865" s="7" t="inlineStr">
        <is>
          <t>Sim</t>
        </is>
      </c>
      <c r="N865" s="7" t="inlineStr">
        <is>
          <t>Sim</t>
        </is>
      </c>
      <c r="O865" s="7" t="inlineStr">
        <is>
          <t>Sim</t>
        </is>
      </c>
      <c r="P865" s="16" t="inlineStr">
        <is>
          <t>1-6 meses detenção + multa. §único: aumento de metade se omissão resulta lesão grave; triplicada se resulta morte</t>
        </is>
      </c>
    </row>
    <row r="866">
      <c r="A866" s="7" t="inlineStr">
        <is>
          <t>CP</t>
        </is>
      </c>
      <c r="B866" s="7" t="inlineStr">
        <is>
          <t>Art. 135-A</t>
        </is>
      </c>
      <c r="C866" s="16" t="inlineStr">
        <is>
          <t>Condicionamento de atendimento médico-hospitalar emergencial a qualquer garantia (exigir cheque caução, nota promissória)</t>
        </is>
      </c>
      <c r="D866" s="7" t="n">
        <v>3</v>
      </c>
      <c r="E866" s="7" t="n">
        <v>12</v>
      </c>
      <c r="F866" s="7" t="inlineStr">
        <is>
          <t>Detenção</t>
        </is>
      </c>
      <c r="G866" s="7" t="inlineStr">
        <is>
          <t>Pública Incondicionada</t>
        </is>
      </c>
      <c r="H866" s="7" t="inlineStr">
        <is>
          <t>Não</t>
        </is>
      </c>
      <c r="I866" s="7" t="inlineStr">
        <is>
          <t>Doloso</t>
        </is>
      </c>
      <c r="J866" s="7" t="inlineStr">
        <is>
          <t>Sim</t>
        </is>
      </c>
      <c r="K866" s="7" t="inlineStr">
        <is>
          <t>Não</t>
        </is>
      </c>
      <c r="L866" s="7" t="inlineStr">
        <is>
          <t>Não</t>
        </is>
      </c>
      <c r="M866" s="7" t="inlineStr">
        <is>
          <t>Sim</t>
        </is>
      </c>
      <c r="N866" s="7" t="inlineStr">
        <is>
          <t>Sim</t>
        </is>
      </c>
      <c r="O866" s="7" t="inlineStr">
        <is>
          <t>Sim</t>
        </is>
      </c>
      <c r="P866" s="16" t="inlineStr">
        <is>
          <t>3 meses a 1 ano detenção + multa. Lei 12.653/12. §único: aumento até o dobro se lesão grave; triplicada se morte</t>
        </is>
      </c>
    </row>
    <row r="867">
      <c r="A867" s="26" t="inlineStr">
        <is>
          <t>CP</t>
        </is>
      </c>
      <c r="B867" s="26" t="inlineStr">
        <is>
          <t>Art. 136</t>
        </is>
      </c>
      <c r="C867" s="27" t="inlineStr">
        <is>
          <t>Maus-tratos (expor a perigo a vida ou saúde de pessoa sob autoridade/guarda/vigilância, privando de alimentação/cuidados ou sujeitando a trabalho excessivo/inadequado, ou abusando de meios de correção/disciplina)</t>
        </is>
      </c>
      <c r="D867" s="26" t="n">
        <v>2</v>
      </c>
      <c r="E867" s="26" t="n">
        <v>12</v>
      </c>
      <c r="F867" s="26" t="inlineStr">
        <is>
          <t>Detenção</t>
        </is>
      </c>
      <c r="G867" s="26" t="inlineStr">
        <is>
          <t>Pública Incondicionada</t>
        </is>
      </c>
      <c r="H867" s="26" t="inlineStr">
        <is>
          <t>Não</t>
        </is>
      </c>
      <c r="I867" s="26" t="inlineStr">
        <is>
          <t>Doloso</t>
        </is>
      </c>
      <c r="J867" s="26" t="inlineStr">
        <is>
          <t>Sim</t>
        </is>
      </c>
      <c r="K867" s="26" t="inlineStr">
        <is>
          <t>Sim</t>
        </is>
      </c>
      <c r="L867" s="26" t="inlineStr">
        <is>
          <t>Não</t>
        </is>
      </c>
      <c r="M867" s="26" t="inlineStr">
        <is>
          <t>Não</t>
        </is>
      </c>
      <c r="N867" s="26" t="inlineStr">
        <is>
          <t>Sim</t>
        </is>
      </c>
      <c r="O867" s="26" t="inlineStr">
        <is>
          <t>Sim</t>
        </is>
      </c>
      <c r="P867" s="27" t="inlineStr">
        <is>
          <t>2 meses a 1 ano detenção + multa. §1º: se lesão grave: 1-4 anos reclusão. §2º: se morte: 4-12 anos reclusão. §3º: aumento de 1/3 se contra menor de 14</t>
        </is>
      </c>
    </row>
    <row r="868">
      <c r="A868" s="26" t="inlineStr">
        <is>
          <t>CP</t>
        </is>
      </c>
      <c r="B868" s="26" t="inlineStr">
        <is>
          <t>Art. 136, §1º</t>
        </is>
      </c>
      <c r="C868" s="27" t="inlineStr">
        <is>
          <t>Maus-tratos com resultado lesão corporal grave</t>
        </is>
      </c>
      <c r="D868" s="26" t="n">
        <v>12</v>
      </c>
      <c r="E868" s="26" t="n">
        <v>48</v>
      </c>
      <c r="F868" s="26" t="inlineStr">
        <is>
          <t>Reclusão</t>
        </is>
      </c>
      <c r="G868" s="26" t="inlineStr">
        <is>
          <t>Pública Incondicionada</t>
        </is>
      </c>
      <c r="H868" s="26" t="inlineStr">
        <is>
          <t>Não</t>
        </is>
      </c>
      <c r="I868" s="26" t="inlineStr">
        <is>
          <t>Preterdoloso</t>
        </is>
      </c>
      <c r="J868" s="26" t="inlineStr">
        <is>
          <t>Não</t>
        </is>
      </c>
      <c r="K868" s="26" t="inlineStr">
        <is>
          <t>Sim</t>
        </is>
      </c>
      <c r="L868" s="26" t="inlineStr">
        <is>
          <t>Não</t>
        </is>
      </c>
      <c r="M868" s="26" t="inlineStr">
        <is>
          <t>Não</t>
        </is>
      </c>
      <c r="N868" s="26" t="inlineStr">
        <is>
          <t>Sim</t>
        </is>
      </c>
      <c r="O868" s="26" t="inlineStr">
        <is>
          <t>Sim</t>
        </is>
      </c>
      <c r="P868" s="27" t="inlineStr">
        <is>
          <t>1-4 anos reclusão</t>
        </is>
      </c>
    </row>
    <row r="869">
      <c r="A869" s="26" t="inlineStr">
        <is>
          <t>CP</t>
        </is>
      </c>
      <c r="B869" s="26" t="inlineStr">
        <is>
          <t>Art. 136, §2º</t>
        </is>
      </c>
      <c r="C869" s="27" t="inlineStr">
        <is>
          <t>Maus-tratos com resultado morte</t>
        </is>
      </c>
      <c r="D869" s="26" t="n">
        <v>48</v>
      </c>
      <c r="E869" s="26" t="n">
        <v>144</v>
      </c>
      <c r="F869" s="26" t="inlineStr">
        <is>
          <t>Reclusão</t>
        </is>
      </c>
      <c r="G869" s="26" t="inlineStr">
        <is>
          <t>Pública Incondicionada</t>
        </is>
      </c>
      <c r="H869" s="26" t="inlineStr">
        <is>
          <t>Não</t>
        </is>
      </c>
      <c r="I869" s="26" t="inlineStr">
        <is>
          <t>Preterdoloso</t>
        </is>
      </c>
      <c r="J869" s="26" t="inlineStr">
        <is>
          <t>Não</t>
        </is>
      </c>
      <c r="K869" s="26" t="inlineStr">
        <is>
          <t>Sim</t>
        </is>
      </c>
      <c r="L869" s="26" t="inlineStr">
        <is>
          <t>Não</t>
        </is>
      </c>
      <c r="M869" s="26" t="inlineStr">
        <is>
          <t>Não</t>
        </is>
      </c>
      <c r="N869" s="26" t="inlineStr">
        <is>
          <t>Não</t>
        </is>
      </c>
      <c r="O869" s="26" t="inlineStr">
        <is>
          <t>Verificar</t>
        </is>
      </c>
      <c r="P869" s="27" t="inlineStr">
        <is>
          <t>4-12 anos reclusão</t>
        </is>
      </c>
    </row>
    <row r="870">
      <c r="A870" s="7" t="inlineStr">
        <is>
          <t>CP</t>
        </is>
      </c>
      <c r="B870" s="7" t="inlineStr">
        <is>
          <t>Art. 124, 1ª parte</t>
        </is>
      </c>
      <c r="C870" s="16" t="inlineStr">
        <is>
          <t>Autoaborto (provocar aborto em si mesma)</t>
        </is>
      </c>
      <c r="D870" s="7" t="n">
        <v>12</v>
      </c>
      <c r="E870" s="7" t="n">
        <v>36</v>
      </c>
      <c r="F870" s="7" t="inlineStr">
        <is>
          <t>Detenção</t>
        </is>
      </c>
      <c r="G870" s="7" t="inlineStr">
        <is>
          <t>Pública Incondicionada</t>
        </is>
      </c>
      <c r="H870" s="7" t="inlineStr">
        <is>
          <t>Não</t>
        </is>
      </c>
      <c r="I870" s="7" t="inlineStr">
        <is>
          <t>Doloso</t>
        </is>
      </c>
      <c r="J870" s="7" t="inlineStr">
        <is>
          <t>Sim</t>
        </is>
      </c>
      <c r="K870" s="7" t="inlineStr">
        <is>
          <t>Não</t>
        </is>
      </c>
      <c r="L870" s="7" t="inlineStr">
        <is>
          <t>Não</t>
        </is>
      </c>
      <c r="M870" s="7" t="inlineStr">
        <is>
          <t>Sim</t>
        </is>
      </c>
      <c r="N870" s="7" t="inlineStr">
        <is>
          <t>Sim</t>
        </is>
      </c>
      <c r="O870" s="7" t="inlineStr">
        <is>
          <t>Sim</t>
        </is>
      </c>
      <c r="P870" s="16" t="inlineStr">
        <is>
          <t>1-3 anos detenção</t>
        </is>
      </c>
    </row>
    <row r="871">
      <c r="A871" s="7" t="inlineStr">
        <is>
          <t>CP</t>
        </is>
      </c>
      <c r="B871" s="7" t="inlineStr">
        <is>
          <t>Art. 124, 2ª parte</t>
        </is>
      </c>
      <c r="C871" s="16" t="inlineStr">
        <is>
          <t>Aborto consentido (consentir que outrem lho provoque)</t>
        </is>
      </c>
      <c r="D871" s="7" t="n">
        <v>12</v>
      </c>
      <c r="E871" s="7" t="n">
        <v>36</v>
      </c>
      <c r="F871" s="7" t="inlineStr">
        <is>
          <t>Detenção</t>
        </is>
      </c>
      <c r="G871" s="7" t="inlineStr">
        <is>
          <t>Pública Incondicionada</t>
        </is>
      </c>
      <c r="H871" s="7" t="inlineStr">
        <is>
          <t>Não</t>
        </is>
      </c>
      <c r="I871" s="7" t="inlineStr">
        <is>
          <t>Doloso</t>
        </is>
      </c>
      <c r="J871" s="7" t="inlineStr">
        <is>
          <t>Sim</t>
        </is>
      </c>
      <c r="K871" s="7" t="inlineStr">
        <is>
          <t>Não</t>
        </is>
      </c>
      <c r="L871" s="7" t="inlineStr">
        <is>
          <t>Não</t>
        </is>
      </c>
      <c r="M871" s="7" t="inlineStr">
        <is>
          <t>Sim</t>
        </is>
      </c>
      <c r="N871" s="7" t="inlineStr">
        <is>
          <t>Sim</t>
        </is>
      </c>
      <c r="O871" s="7" t="inlineStr">
        <is>
          <t>Sim</t>
        </is>
      </c>
      <c r="P871" s="16" t="inlineStr">
        <is>
          <t>1-3 anos detenção</t>
        </is>
      </c>
    </row>
    <row r="872">
      <c r="A872" s="26" t="inlineStr">
        <is>
          <t>CP</t>
        </is>
      </c>
      <c r="B872" s="26" t="inlineStr">
        <is>
          <t>Art. 125</t>
        </is>
      </c>
      <c r="C872" s="27" t="inlineStr">
        <is>
          <t>Aborto provocado por terceiro sem o consentimento da gestante</t>
        </is>
      </c>
      <c r="D872" s="26" t="n">
        <v>36</v>
      </c>
      <c r="E872" s="26" t="n">
        <v>120</v>
      </c>
      <c r="F872" s="26" t="inlineStr">
        <is>
          <t>Reclusão</t>
        </is>
      </c>
      <c r="G872" s="26" t="inlineStr">
        <is>
          <t>Pública Incondicionada</t>
        </is>
      </c>
      <c r="H872" s="26" t="inlineStr">
        <is>
          <t>Não</t>
        </is>
      </c>
      <c r="I872" s="26" t="inlineStr">
        <is>
          <t>Doloso</t>
        </is>
      </c>
      <c r="J872" s="26" t="inlineStr">
        <is>
          <t>Sim</t>
        </is>
      </c>
      <c r="K872" s="26" t="inlineStr">
        <is>
          <t>Sim</t>
        </is>
      </c>
      <c r="L872" s="26" t="inlineStr">
        <is>
          <t>Não</t>
        </is>
      </c>
      <c r="M872" s="26" t="inlineStr">
        <is>
          <t>Não</t>
        </is>
      </c>
      <c r="N872" s="26" t="inlineStr">
        <is>
          <t>Não</t>
        </is>
      </c>
      <c r="O872" s="26" t="inlineStr">
        <is>
          <t>Verificar</t>
        </is>
      </c>
      <c r="P872" s="27" t="inlineStr">
        <is>
          <t>3-10 anos reclusão</t>
        </is>
      </c>
    </row>
    <row r="873">
      <c r="A873" s="7" t="inlineStr">
        <is>
          <t>CP</t>
        </is>
      </c>
      <c r="B873" s="7" t="inlineStr">
        <is>
          <t>Art. 126</t>
        </is>
      </c>
      <c r="C873" s="16" t="inlineStr">
        <is>
          <t>Aborto provocado por terceiro com o consentimento da gestante</t>
        </is>
      </c>
      <c r="D873" s="7" t="n">
        <v>12</v>
      </c>
      <c r="E873" s="7" t="n">
        <v>48</v>
      </c>
      <c r="F873" s="7" t="inlineStr">
        <is>
          <t>Reclusão</t>
        </is>
      </c>
      <c r="G873" s="7" t="inlineStr">
        <is>
          <t>Pública Incondicionada</t>
        </is>
      </c>
      <c r="H873" s="7" t="inlineStr">
        <is>
          <t>Não</t>
        </is>
      </c>
      <c r="I873" s="7" t="inlineStr">
        <is>
          <t>Doloso</t>
        </is>
      </c>
      <c r="J873" s="7" t="inlineStr">
        <is>
          <t>Sim</t>
        </is>
      </c>
      <c r="K873" s="7" t="inlineStr">
        <is>
          <t>Não</t>
        </is>
      </c>
      <c r="L873" s="7" t="inlineStr">
        <is>
          <t>Não</t>
        </is>
      </c>
      <c r="M873" s="7" t="inlineStr">
        <is>
          <t>Sim</t>
        </is>
      </c>
      <c r="N873" s="7" t="inlineStr">
        <is>
          <t>Sim</t>
        </is>
      </c>
      <c r="O873" s="7" t="inlineStr">
        <is>
          <t>Sim</t>
        </is>
      </c>
      <c r="P873" s="16" t="inlineStr">
        <is>
          <t>1-4 anos reclusão. §único: aplica-se pena do Art. 125 se gestante menor de 14, alienada/débil mental, ou se consentimento obtido por fraude/violência/grave ameaça</t>
        </is>
      </c>
    </row>
    <row r="874">
      <c r="A874" s="7" t="inlineStr">
        <is>
          <t>CP</t>
        </is>
      </c>
      <c r="B874" s="7" t="inlineStr">
        <is>
          <t>Art. 127, 1ª parte</t>
        </is>
      </c>
      <c r="C874" s="16" t="inlineStr">
        <is>
          <t>Aborto qualificado pelo resultado — lesão corporal grave na gestante</t>
        </is>
      </c>
      <c r="D874" s="7" t="n">
        <v>12</v>
      </c>
      <c r="E874" s="7" t="n">
        <v>120</v>
      </c>
      <c r="F874" s="7" t="inlineStr">
        <is>
          <t>Reclusão</t>
        </is>
      </c>
      <c r="G874" s="7" t="inlineStr">
        <is>
          <t>Pública Incondicionada</t>
        </is>
      </c>
      <c r="H874" s="7" t="inlineStr">
        <is>
          <t>Não</t>
        </is>
      </c>
      <c r="I874" s="7" t="inlineStr">
        <is>
          <t>Preterdoloso</t>
        </is>
      </c>
      <c r="J874" s="7" t="inlineStr">
        <is>
          <t>Não</t>
        </is>
      </c>
      <c r="K874" s="7" t="inlineStr">
        <is>
          <t>Não</t>
        </is>
      </c>
      <c r="L874" s="7" t="inlineStr">
        <is>
          <t>Não</t>
        </is>
      </c>
      <c r="M874" s="7" t="inlineStr">
        <is>
          <t>Sim</t>
        </is>
      </c>
      <c r="N874" s="7" t="inlineStr">
        <is>
          <t>Sim</t>
        </is>
      </c>
      <c r="O874" s="7" t="inlineStr">
        <is>
          <t>Sim</t>
        </is>
      </c>
      <c r="P874" s="16" t="inlineStr">
        <is>
          <t>Penas dos Arts. 125/126 aumentadas de 1/3. Resultado preterdoloso</t>
        </is>
      </c>
    </row>
    <row r="875">
      <c r="A875" s="7" t="inlineStr">
        <is>
          <t>CP</t>
        </is>
      </c>
      <c r="B875" s="7" t="inlineStr">
        <is>
          <t>Art. 127, 2ª parte</t>
        </is>
      </c>
      <c r="C875" s="16" t="inlineStr">
        <is>
          <t>Aborto qualificado pelo resultado — morte da gestante</t>
        </is>
      </c>
      <c r="D875" s="7" t="n">
        <v>12</v>
      </c>
      <c r="E875" s="7" t="n">
        <v>120</v>
      </c>
      <c r="F875" s="7" t="inlineStr">
        <is>
          <t>Reclusão</t>
        </is>
      </c>
      <c r="G875" s="7" t="inlineStr">
        <is>
          <t>Pública Incondicionada</t>
        </is>
      </c>
      <c r="H875" s="7" t="inlineStr">
        <is>
          <t>Não</t>
        </is>
      </c>
      <c r="I875" s="7" t="inlineStr">
        <is>
          <t>Preterdoloso</t>
        </is>
      </c>
      <c r="J875" s="7" t="inlineStr">
        <is>
          <t>Não</t>
        </is>
      </c>
      <c r="K875" s="7" t="inlineStr">
        <is>
          <t>Não</t>
        </is>
      </c>
      <c r="L875" s="7" t="inlineStr">
        <is>
          <t>Não</t>
        </is>
      </c>
      <c r="M875" s="7" t="inlineStr">
        <is>
          <t>Sim</t>
        </is>
      </c>
      <c r="N875" s="7" t="inlineStr">
        <is>
          <t>Sim</t>
        </is>
      </c>
      <c r="O875" s="7" t="inlineStr">
        <is>
          <t>Sim</t>
        </is>
      </c>
      <c r="P875" s="16" t="inlineStr">
        <is>
          <t>Penas dos Arts. 125/126 DUPLICADAS. Resultado preterdoloso</t>
        </is>
      </c>
    </row>
    <row r="876">
      <c r="A876" s="26" t="inlineStr">
        <is>
          <t>CP</t>
        </is>
      </c>
      <c r="B876" s="26" t="inlineStr">
        <is>
          <t>Art. 146, §1º</t>
        </is>
      </c>
      <c r="C876" s="27" t="inlineStr">
        <is>
          <t>Constrangimento ilegal com aumento — concurso de mais de 3 pessoas ou com emprego de armas</t>
        </is>
      </c>
      <c r="D876" s="26" t="n">
        <v>3</v>
      </c>
      <c r="E876" s="26" t="n">
        <v>12</v>
      </c>
      <c r="F876" s="26" t="inlineStr">
        <is>
          <t>Detenção</t>
        </is>
      </c>
      <c r="G876" s="26" t="inlineStr">
        <is>
          <t>Pública Incondicionada</t>
        </is>
      </c>
      <c r="H876" s="26" t="inlineStr">
        <is>
          <t>Não</t>
        </is>
      </c>
      <c r="I876" s="26" t="inlineStr">
        <is>
          <t>Doloso</t>
        </is>
      </c>
      <c r="J876" s="26" t="inlineStr">
        <is>
          <t>Sim</t>
        </is>
      </c>
      <c r="K876" s="26" t="inlineStr">
        <is>
          <t>Sim</t>
        </is>
      </c>
      <c r="L876" s="26" t="inlineStr">
        <is>
          <t>Sim</t>
        </is>
      </c>
      <c r="M876" s="26" t="inlineStr">
        <is>
          <t>Não</t>
        </is>
      </c>
      <c r="N876" s="26" t="inlineStr">
        <is>
          <t>Sim</t>
        </is>
      </c>
      <c r="O876" s="26" t="inlineStr">
        <is>
          <t>Sim</t>
        </is>
      </c>
      <c r="P876" s="27" t="inlineStr">
        <is>
          <t>3 meses a 1 ano detenção + multa + aumento. §3º: não se aplica à intervenção cirúrgica/coação para evitar suicídio</t>
        </is>
      </c>
    </row>
    <row r="877">
      <c r="A877" s="26" t="inlineStr">
        <is>
          <t>CP</t>
        </is>
      </c>
      <c r="B877" s="26" t="inlineStr">
        <is>
          <t>Art. 147</t>
        </is>
      </c>
      <c r="C877" s="27" t="inlineStr">
        <is>
          <t>Ameaça (ameaçar alguém por palavra, escrito ou gesto, ou qualquer outro meio simbólico, de causar-lhe mal injusto e grave)</t>
        </is>
      </c>
      <c r="D877" s="26" t="n">
        <v>1</v>
      </c>
      <c r="E877" s="26" t="n">
        <v>6</v>
      </c>
      <c r="F877" s="26" t="inlineStr">
        <is>
          <t>Detenção</t>
        </is>
      </c>
      <c r="G877" s="26" t="inlineStr">
        <is>
          <t>Pública Condicionada</t>
        </is>
      </c>
      <c r="H877" s="26" t="inlineStr">
        <is>
          <t>Não</t>
        </is>
      </c>
      <c r="I877" s="26" t="inlineStr">
        <is>
          <t>Doloso</t>
        </is>
      </c>
      <c r="J877" s="26" t="inlineStr">
        <is>
          <t>Sim</t>
        </is>
      </c>
      <c r="K877" s="26" t="inlineStr">
        <is>
          <t>Não</t>
        </is>
      </c>
      <c r="L877" s="26" t="inlineStr">
        <is>
          <t>Sim</t>
        </is>
      </c>
      <c r="M877" s="26" t="inlineStr">
        <is>
          <t>Não</t>
        </is>
      </c>
      <c r="N877" s="26" t="inlineStr">
        <is>
          <t>Sim</t>
        </is>
      </c>
      <c r="O877" s="26" t="inlineStr">
        <is>
          <t>Sim</t>
        </is>
      </c>
      <c r="P877" s="27" t="inlineStr">
        <is>
          <t>1-6 meses detenção + multa</t>
        </is>
      </c>
    </row>
    <row r="878">
      <c r="A878" s="26" t="inlineStr">
        <is>
          <t>CP</t>
        </is>
      </c>
      <c r="B878" s="26" t="inlineStr">
        <is>
          <t>Art. 147-A</t>
        </is>
      </c>
      <c r="C878" s="27" t="inlineStr">
        <is>
          <t>Perseguição/stalking (perseguir alguém reiteradamente, por qualquer meio, ameaçando sua integridade, restringindo capacidade de locomoção ou invadindo/perturbando sua esfera de liberdade/privacidade)</t>
        </is>
      </c>
      <c r="D878" s="26" t="n">
        <v>6</v>
      </c>
      <c r="E878" s="26" t="n">
        <v>24</v>
      </c>
      <c r="F878" s="26" t="inlineStr">
        <is>
          <t>Reclusão</t>
        </is>
      </c>
      <c r="G878" s="26" t="inlineStr">
        <is>
          <t>Pública Condicionada</t>
        </is>
      </c>
      <c r="H878" s="26" t="inlineStr">
        <is>
          <t>Não</t>
        </is>
      </c>
      <c r="I878" s="26" t="inlineStr">
        <is>
          <t>Doloso</t>
        </is>
      </c>
      <c r="J878" s="26" t="inlineStr">
        <is>
          <t>Sim</t>
        </is>
      </c>
      <c r="K878" s="26" t="inlineStr">
        <is>
          <t>Não</t>
        </is>
      </c>
      <c r="L878" s="26" t="inlineStr">
        <is>
          <t>Sim</t>
        </is>
      </c>
      <c r="M878" s="26" t="inlineStr">
        <is>
          <t>Não</t>
        </is>
      </c>
      <c r="N878" s="26" t="inlineStr">
        <is>
          <t>Sim</t>
        </is>
      </c>
      <c r="O878" s="26" t="inlineStr">
        <is>
          <t>Sim</t>
        </is>
      </c>
      <c r="P878" s="27" t="inlineStr">
        <is>
          <t>6 meses a 2 anos reclusão + multa. Lei 14.132/21. §1º: aumento de 1/2 se contra criança/adolescente/idoso/mulher por razão de gênero. §2º: aumento se concurso de pessoas/arma de fogo. §3º: se contra mulher por razão de sexo (violência doméstica)</t>
        </is>
      </c>
    </row>
    <row r="879">
      <c r="A879" s="7" t="inlineStr">
        <is>
          <t>CP</t>
        </is>
      </c>
      <c r="B879" s="7" t="inlineStr">
        <is>
          <t>Art. 147-B</t>
        </is>
      </c>
      <c r="C879" s="16" t="inlineStr">
        <is>
          <t>Violência psicológica contra a mulher (causar dano emocional que prejudique/perturbe pleno desenvolvimento ou que vise degradar/controlar ações, comportamentos, crenças e decisões da mulher)</t>
        </is>
      </c>
      <c r="D879" s="7" t="n">
        <v>6</v>
      </c>
      <c r="E879" s="7" t="n">
        <v>24</v>
      </c>
      <c r="F879" s="7" t="inlineStr">
        <is>
          <t>Reclusão</t>
        </is>
      </c>
      <c r="G879" s="7" t="inlineStr">
        <is>
          <t>Pública Incondicionada</t>
        </is>
      </c>
      <c r="H879" s="7" t="inlineStr">
        <is>
          <t>Não</t>
        </is>
      </c>
      <c r="I879" s="7" t="inlineStr">
        <is>
          <t>Doloso</t>
        </is>
      </c>
      <c r="J879" s="7" t="inlineStr">
        <is>
          <t>Sim</t>
        </is>
      </c>
      <c r="K879" s="7" t="inlineStr">
        <is>
          <t>Não</t>
        </is>
      </c>
      <c r="L879" s="7" t="inlineStr">
        <is>
          <t>Não</t>
        </is>
      </c>
      <c r="M879" s="7" t="inlineStr">
        <is>
          <t>Sim</t>
        </is>
      </c>
      <c r="N879" s="7" t="inlineStr">
        <is>
          <t>Sim</t>
        </is>
      </c>
      <c r="O879" s="7" t="inlineStr">
        <is>
          <t>Sim</t>
        </is>
      </c>
      <c r="P879" s="16" t="inlineStr">
        <is>
          <t>6 meses a 2 anos reclusão + multa. Lei 14.188/21. Se não constituir crime mais grave</t>
        </is>
      </c>
    </row>
    <row r="880">
      <c r="A880" s="26" t="inlineStr">
        <is>
          <t>CP</t>
        </is>
      </c>
      <c r="B880" s="26" t="inlineStr">
        <is>
          <t>Art. 150, §1º</t>
        </is>
      </c>
      <c r="C880" s="27" t="inlineStr">
        <is>
          <t>Violação de domicílio com aumento — se durante a noite ou em lugar ermo, com emprego de violência ou arma, ou por duas ou mais pessoas</t>
        </is>
      </c>
      <c r="D880" s="26" t="n">
        <v>12</v>
      </c>
      <c r="E880" s="26" t="n">
        <v>24</v>
      </c>
      <c r="F880" s="26" t="inlineStr">
        <is>
          <t>Detenção</t>
        </is>
      </c>
      <c r="G880" s="26" t="inlineStr">
        <is>
          <t>Pública Incondicionada</t>
        </is>
      </c>
      <c r="H880" s="26" t="inlineStr">
        <is>
          <t>Não</t>
        </is>
      </c>
      <c r="I880" s="26" t="inlineStr">
        <is>
          <t>Doloso</t>
        </is>
      </c>
      <c r="J880" s="26" t="inlineStr">
        <is>
          <t>Sim</t>
        </is>
      </c>
      <c r="K880" s="26" t="inlineStr">
        <is>
          <t>Sim</t>
        </is>
      </c>
      <c r="L880" s="26" t="inlineStr">
        <is>
          <t>Não</t>
        </is>
      </c>
      <c r="M880" s="26" t="inlineStr">
        <is>
          <t>Não</t>
        </is>
      </c>
      <c r="N880" s="26" t="inlineStr">
        <is>
          <t>Sim</t>
        </is>
      </c>
      <c r="O880" s="26" t="inlineStr">
        <is>
          <t>Sim</t>
        </is>
      </c>
      <c r="P880" s="27" t="inlineStr">
        <is>
          <t>1-2 anos detenção + multa. Aumento de 1/3</t>
        </is>
      </c>
    </row>
    <row r="881">
      <c r="A881" s="7" t="inlineStr">
        <is>
          <t>CP</t>
        </is>
      </c>
      <c r="B881" s="7" t="inlineStr">
        <is>
          <t>Art. 150, §2º</t>
        </is>
      </c>
      <c r="C881" s="16" t="inlineStr">
        <is>
          <t>Violação de domicílio com aumento — contra funcionário público em razão da função, ou cometido por funcionário público fora dos casos legais</t>
        </is>
      </c>
      <c r="D881" s="7" t="n">
        <v>12</v>
      </c>
      <c r="E881" s="7" t="n">
        <v>36</v>
      </c>
      <c r="F881" s="7" t="inlineStr">
        <is>
          <t>Detenção</t>
        </is>
      </c>
      <c r="G881" s="7" t="inlineStr">
        <is>
          <t>Pública Incondicionada</t>
        </is>
      </c>
      <c r="H881" s="7" t="inlineStr">
        <is>
          <t>Não</t>
        </is>
      </c>
      <c r="I881" s="7" t="inlineStr">
        <is>
          <t>Doloso</t>
        </is>
      </c>
      <c r="J881" s="7" t="inlineStr">
        <is>
          <t>Sim</t>
        </is>
      </c>
      <c r="K881" s="7" t="inlineStr">
        <is>
          <t>Não</t>
        </is>
      </c>
      <c r="L881" s="7" t="inlineStr">
        <is>
          <t>Não</t>
        </is>
      </c>
      <c r="M881" s="7" t="inlineStr">
        <is>
          <t>Sim</t>
        </is>
      </c>
      <c r="N881" s="7" t="inlineStr">
        <is>
          <t>Sim</t>
        </is>
      </c>
      <c r="O881" s="7" t="inlineStr">
        <is>
          <t>Sim</t>
        </is>
      </c>
      <c r="P881" s="16" t="inlineStr">
        <is>
          <t>1-3 anos detenção + multa</t>
        </is>
      </c>
    </row>
    <row r="882">
      <c r="A882" s="26" t="inlineStr">
        <is>
          <t>CP</t>
        </is>
      </c>
      <c r="B882" s="26" t="inlineStr">
        <is>
          <t>Art. 161, §1º, I</t>
        </is>
      </c>
      <c r="C882" s="27" t="inlineStr">
        <is>
          <t>Esbulho possessório (invadir terreno ou edifício alheio com violência à pessoa ou grave ameaça, ou mediante concurso de mais de 2 pessoas)</t>
        </is>
      </c>
      <c r="D882" s="26" t="n">
        <v>12</v>
      </c>
      <c r="E882" s="26" t="n">
        <v>24</v>
      </c>
      <c r="F882" s="26" t="inlineStr">
        <is>
          <t>Detenção</t>
        </is>
      </c>
      <c r="G882" s="26" t="inlineStr">
        <is>
          <t>Privada</t>
        </is>
      </c>
      <c r="H882" s="26" t="inlineStr">
        <is>
          <t>Não</t>
        </is>
      </c>
      <c r="I882" s="26" t="inlineStr">
        <is>
          <t>Doloso</t>
        </is>
      </c>
      <c r="J882" s="26" t="inlineStr">
        <is>
          <t>Sim</t>
        </is>
      </c>
      <c r="K882" s="26" t="inlineStr">
        <is>
          <t>Sim</t>
        </is>
      </c>
      <c r="L882" s="26" t="inlineStr">
        <is>
          <t>Sim</t>
        </is>
      </c>
      <c r="M882" s="26" t="inlineStr">
        <is>
          <t>Não</t>
        </is>
      </c>
      <c r="N882" s="26" t="inlineStr">
        <is>
          <t>Sim</t>
        </is>
      </c>
      <c r="O882" s="26" t="inlineStr">
        <is>
          <t>Sim</t>
        </is>
      </c>
      <c r="P882" s="27" t="inlineStr">
        <is>
          <t>1-2 anos detenção + multa</t>
        </is>
      </c>
    </row>
    <row r="883">
      <c r="A883" s="26" t="inlineStr">
        <is>
          <t>CP</t>
        </is>
      </c>
      <c r="B883" s="26" t="inlineStr">
        <is>
          <t>Art. 161, §1º, II</t>
        </is>
      </c>
      <c r="C883" s="27" t="inlineStr">
        <is>
          <t>Turbação de posse (turbar a posse alheia mediante violência à pessoa ou grave ameaça)</t>
        </is>
      </c>
      <c r="D883" s="26" t="n">
        <v>12</v>
      </c>
      <c r="E883" s="26" t="n">
        <v>24</v>
      </c>
      <c r="F883" s="26" t="inlineStr">
        <is>
          <t>Detenção</t>
        </is>
      </c>
      <c r="G883" s="26" t="inlineStr">
        <is>
          <t>Privada</t>
        </is>
      </c>
      <c r="H883" s="26" t="inlineStr">
        <is>
          <t>Não</t>
        </is>
      </c>
      <c r="I883" s="26" t="inlineStr">
        <is>
          <t>Doloso</t>
        </is>
      </c>
      <c r="J883" s="26" t="inlineStr">
        <is>
          <t>Sim</t>
        </is>
      </c>
      <c r="K883" s="26" t="inlineStr">
        <is>
          <t>Sim</t>
        </is>
      </c>
      <c r="L883" s="26" t="inlineStr">
        <is>
          <t>Sim</t>
        </is>
      </c>
      <c r="M883" s="26" t="inlineStr">
        <is>
          <t>Não</t>
        </is>
      </c>
      <c r="N883" s="26" t="inlineStr">
        <is>
          <t>Sim</t>
        </is>
      </c>
      <c r="O883" s="26" t="inlineStr">
        <is>
          <t>Sim</t>
        </is>
      </c>
      <c r="P883" s="27" t="inlineStr">
        <is>
          <t>1-2 anos detenção + multa</t>
        </is>
      </c>
    </row>
    <row r="884">
      <c r="A884" s="7" t="inlineStr">
        <is>
          <t>CP</t>
        </is>
      </c>
      <c r="B884" s="7" t="inlineStr">
        <is>
          <t>Art. 154-A, §2º</t>
        </is>
      </c>
      <c r="C884" s="16" t="inlineStr">
        <is>
          <t>Invasão de dispositivo informático com aumento — se resulta prejuízo econômico</t>
        </is>
      </c>
      <c r="D884" s="7" t="n">
        <v>12</v>
      </c>
      <c r="E884" s="7" t="n">
        <v>48</v>
      </c>
      <c r="F884" s="7" t="inlineStr">
        <is>
          <t>Reclusão</t>
        </is>
      </c>
      <c r="G884" s="7" t="inlineStr">
        <is>
          <t>Pública Condicionada</t>
        </is>
      </c>
      <c r="H884" s="7" t="inlineStr">
        <is>
          <t>Não</t>
        </is>
      </c>
      <c r="I884" s="7" t="inlineStr">
        <is>
          <t>Doloso</t>
        </is>
      </c>
      <c r="J884" s="7" t="inlineStr">
        <is>
          <t>Sim</t>
        </is>
      </c>
      <c r="K884" s="7" t="inlineStr">
        <is>
          <t>Não</t>
        </is>
      </c>
      <c r="L884" s="7" t="inlineStr">
        <is>
          <t>Não</t>
        </is>
      </c>
      <c r="M884" s="7" t="inlineStr">
        <is>
          <t>Sim</t>
        </is>
      </c>
      <c r="N884" s="7" t="inlineStr">
        <is>
          <t>Sim</t>
        </is>
      </c>
      <c r="O884" s="7" t="inlineStr">
        <is>
          <t>Sim</t>
        </is>
      </c>
      <c r="P884" s="16" t="inlineStr">
        <is>
          <t>1-4 anos reclusão + multa. Aumento de 1/3 a 2/3</t>
        </is>
      </c>
    </row>
    <row r="885">
      <c r="A885" s="7" t="inlineStr">
        <is>
          <t>CP</t>
        </is>
      </c>
      <c r="B885" s="7" t="inlineStr">
        <is>
          <t>Art. 154-A, §3º</t>
        </is>
      </c>
      <c r="C885" s="16" t="inlineStr">
        <is>
          <t>Invasão de dispositivo informático qualificada — se obtenção de conteúdo de comunicações privadas/segredos comerciais/industriais/informações sigilosas</t>
        </is>
      </c>
      <c r="D885" s="7" t="n">
        <v>24</v>
      </c>
      <c r="E885" s="7" t="n">
        <v>60</v>
      </c>
      <c r="F885" s="7" t="inlineStr">
        <is>
          <t>Reclusão</t>
        </is>
      </c>
      <c r="G885" s="7" t="inlineStr">
        <is>
          <t>Pública Incondicionada</t>
        </is>
      </c>
      <c r="H885" s="7" t="inlineStr">
        <is>
          <t>Não</t>
        </is>
      </c>
      <c r="I885" s="7" t="inlineStr">
        <is>
          <t>Doloso</t>
        </is>
      </c>
      <c r="J885" s="7" t="inlineStr">
        <is>
          <t>Sim</t>
        </is>
      </c>
      <c r="K885" s="7" t="inlineStr">
        <is>
          <t>Não</t>
        </is>
      </c>
      <c r="L885" s="7" t="inlineStr">
        <is>
          <t>Não</t>
        </is>
      </c>
      <c r="M885" s="7" t="inlineStr">
        <is>
          <t>Sim</t>
        </is>
      </c>
      <c r="N885" s="7" t="inlineStr">
        <is>
          <t>Não</t>
        </is>
      </c>
      <c r="O885" s="7" t="inlineStr">
        <is>
          <t>Sim</t>
        </is>
      </c>
      <c r="P885" s="16" t="inlineStr">
        <is>
          <t>2-5 anos reclusão + multa</t>
        </is>
      </c>
    </row>
    <row r="886">
      <c r="A886" s="7" t="inlineStr">
        <is>
          <t>CP</t>
        </is>
      </c>
      <c r="B886" s="7" t="inlineStr">
        <is>
          <t>Art. 154-A, §4º</t>
        </is>
      </c>
      <c r="C886" s="16" t="inlineStr">
        <is>
          <t>Invasão de dispositivo informático qualificada — se divulgação/comercialização/transmissão do conteúdo obtido</t>
        </is>
      </c>
      <c r="D886" s="7" t="n">
        <v>24</v>
      </c>
      <c r="E886" s="7" t="n">
        <v>60</v>
      </c>
      <c r="F886" s="7" t="inlineStr">
        <is>
          <t>Reclusão</t>
        </is>
      </c>
      <c r="G886" s="7" t="inlineStr">
        <is>
          <t>Pública Incondicionada</t>
        </is>
      </c>
      <c r="H886" s="7" t="inlineStr">
        <is>
          <t>Não</t>
        </is>
      </c>
      <c r="I886" s="7" t="inlineStr">
        <is>
          <t>Doloso</t>
        </is>
      </c>
      <c r="J886" s="7" t="inlineStr">
        <is>
          <t>Sim</t>
        </is>
      </c>
      <c r="K886" s="7" t="inlineStr">
        <is>
          <t>Não</t>
        </is>
      </c>
      <c r="L886" s="7" t="inlineStr">
        <is>
          <t>Não</t>
        </is>
      </c>
      <c r="M886" s="7" t="inlineStr">
        <is>
          <t>Sim</t>
        </is>
      </c>
      <c r="N886" s="7" t="inlineStr">
        <is>
          <t>Não</t>
        </is>
      </c>
      <c r="O886" s="7" t="inlineStr">
        <is>
          <t>Sim</t>
        </is>
      </c>
      <c r="P886" s="16" t="inlineStr">
        <is>
          <t>2-5 anos reclusão + multa. Aumento de 1/3 a 2/3</t>
        </is>
      </c>
    </row>
    <row r="887">
      <c r="A887" s="7" t="inlineStr">
        <is>
          <t>CP</t>
        </is>
      </c>
      <c r="B887" s="7" t="inlineStr">
        <is>
          <t>Art. 154-A, §5º</t>
        </is>
      </c>
      <c r="C887" s="16" t="inlineStr">
        <is>
          <t>Invasão de dispositivo informático com aumento — se contra Presidente/governador/prefeito/presidente de câmaras/tribunais/dirigente máximo da adm direta/indireta</t>
        </is>
      </c>
      <c r="D887" s="7" t="n">
        <v>24</v>
      </c>
      <c r="E887" s="7" t="n">
        <v>60</v>
      </c>
      <c r="F887" s="7" t="inlineStr">
        <is>
          <t>Reclusão</t>
        </is>
      </c>
      <c r="G887" s="7" t="inlineStr">
        <is>
          <t>Pública Incondicionada</t>
        </is>
      </c>
      <c r="H887" s="7" t="inlineStr">
        <is>
          <t>Não</t>
        </is>
      </c>
      <c r="I887" s="7" t="inlineStr">
        <is>
          <t>Doloso</t>
        </is>
      </c>
      <c r="J887" s="7" t="inlineStr">
        <is>
          <t>Sim</t>
        </is>
      </c>
      <c r="K887" s="7" t="inlineStr">
        <is>
          <t>Não</t>
        </is>
      </c>
      <c r="L887" s="7" t="inlineStr">
        <is>
          <t>Não</t>
        </is>
      </c>
      <c r="M887" s="7" t="inlineStr">
        <is>
          <t>Sim</t>
        </is>
      </c>
      <c r="N887" s="7" t="inlineStr">
        <is>
          <t>Não</t>
        </is>
      </c>
      <c r="O887" s="7" t="inlineStr">
        <is>
          <t>Sim</t>
        </is>
      </c>
      <c r="P887" s="16" t="inlineStr">
        <is>
          <t>2-5 anos reclusão + multa. Aumento de 1/3 a 2/3</t>
        </is>
      </c>
    </row>
    <row r="888">
      <c r="A888" s="7" t="inlineStr">
        <is>
          <t>CP</t>
        </is>
      </c>
      <c r="B888" s="7" t="inlineStr">
        <is>
          <t>Art. 171, §2º-A</t>
        </is>
      </c>
      <c r="C888" s="16" t="inlineStr">
        <is>
          <t>Fraude eletrônica (estelionato por meio de informações fornecidas pela vítima ou por terceiro induzido a erro por redes sociais/contatos telefônicos/envio de e-mail fraudulento)</t>
        </is>
      </c>
      <c r="D888" s="7" t="n">
        <v>48</v>
      </c>
      <c r="E888" s="7" t="n">
        <v>96</v>
      </c>
      <c r="F888" s="7" t="inlineStr">
        <is>
          <t>Reclusão</t>
        </is>
      </c>
      <c r="G888" s="7" t="inlineStr">
        <is>
          <t>Pública Incondicionada</t>
        </is>
      </c>
      <c r="H888" s="7" t="inlineStr">
        <is>
          <t>Não</t>
        </is>
      </c>
      <c r="I888" s="7" t="inlineStr">
        <is>
          <t>Doloso</t>
        </is>
      </c>
      <c r="J888" s="7" t="inlineStr">
        <is>
          <t>Sim</t>
        </is>
      </c>
      <c r="K888" s="7" t="inlineStr">
        <is>
          <t>Não</t>
        </is>
      </c>
      <c r="L888" s="7" t="inlineStr">
        <is>
          <t>Não</t>
        </is>
      </c>
      <c r="M888" s="7" t="inlineStr">
        <is>
          <t>Não</t>
        </is>
      </c>
      <c r="N888" s="7" t="inlineStr">
        <is>
          <t>Não</t>
        </is>
      </c>
      <c r="O888" s="7" t="inlineStr">
        <is>
          <t>Verificar</t>
        </is>
      </c>
      <c r="P888" s="16" t="inlineStr">
        <is>
          <t>4-8 anos reclusão + multa. Lei 14.155/21. §2º-B: aumento de 1/3 a 2/3 se servidor mantido fora do território nacional ou se contra idoso/vulnerável. §3º: aumento de 1/3 se contra entidade pública</t>
        </is>
      </c>
    </row>
    <row r="889">
      <c r="A889" s="7" t="inlineStr">
        <is>
          <t>CP</t>
        </is>
      </c>
      <c r="B889" s="7" t="inlineStr">
        <is>
          <t>Art. 171, §4º</t>
        </is>
      </c>
      <c r="C889" s="16" t="inlineStr">
        <is>
          <t>Estelionato contra idoso ou vulnerável — aumento de 1/3 ao dobro</t>
        </is>
      </c>
      <c r="D889" s="7" t="n">
        <v>12</v>
      </c>
      <c r="E889" s="7" t="n">
        <v>60</v>
      </c>
      <c r="F889" s="7" t="inlineStr">
        <is>
          <t>Reclusão</t>
        </is>
      </c>
      <c r="G889" s="7" t="inlineStr">
        <is>
          <t>Pública Incondicionada</t>
        </is>
      </c>
      <c r="H889" s="7" t="inlineStr">
        <is>
          <t>Não</t>
        </is>
      </c>
      <c r="I889" s="7" t="inlineStr">
        <is>
          <t>Doloso</t>
        </is>
      </c>
      <c r="J889" s="7" t="inlineStr">
        <is>
          <t>Sim</t>
        </is>
      </c>
      <c r="K889" s="7" t="inlineStr">
        <is>
          <t>Não</t>
        </is>
      </c>
      <c r="L889" s="7" t="inlineStr">
        <is>
          <t>Não</t>
        </is>
      </c>
      <c r="M889" s="7" t="inlineStr">
        <is>
          <t>Sim</t>
        </is>
      </c>
      <c r="N889" s="7" t="inlineStr">
        <is>
          <t>Sim</t>
        </is>
      </c>
      <c r="O889" s="7" t="inlineStr">
        <is>
          <t>Sim</t>
        </is>
      </c>
      <c r="P889" s="16" t="inlineStr">
        <is>
          <t>1-5 anos reclusão + multa + aumento de 1/3 ao dobro. Lei 13.228/15</t>
        </is>
      </c>
    </row>
    <row r="890">
      <c r="A890" s="28" t="inlineStr">
        <is>
          <t>CP</t>
        </is>
      </c>
      <c r="B890" s="28" t="inlineStr">
        <is>
          <t>Art. 171, §5º</t>
        </is>
      </c>
      <c r="C890" s="29" t="inlineStr">
        <is>
          <t>Estelionato — ação penal condicionada (regra geral desde Lei 13.964/19 — Pacote Anticrime)</t>
        </is>
      </c>
      <c r="D890" s="28" t="inlineStr">
        <is>
          <t>—</t>
        </is>
      </c>
      <c r="E890" s="28" t="inlineStr">
        <is>
          <t>—</t>
        </is>
      </c>
      <c r="F890" s="28" t="inlineStr">
        <is>
          <t>—</t>
        </is>
      </c>
      <c r="G890" s="28" t="inlineStr">
        <is>
          <t>—</t>
        </is>
      </c>
      <c r="H890" s="28" t="inlineStr">
        <is>
          <t>—</t>
        </is>
      </c>
      <c r="I890" s="28" t="inlineStr">
        <is>
          <t>—</t>
        </is>
      </c>
      <c r="J890" s="28" t="inlineStr">
        <is>
          <t>—</t>
        </is>
      </c>
      <c r="K890" s="28" t="inlineStr">
        <is>
          <t>—</t>
        </is>
      </c>
      <c r="L890" s="28" t="inlineStr">
        <is>
          <t>—</t>
        </is>
      </c>
      <c r="M890" s="28" t="inlineStr">
        <is>
          <t>—</t>
        </is>
      </c>
      <c r="N890" s="28" t="inlineStr">
        <is>
          <t>—</t>
        </is>
      </c>
      <c r="O890" s="28" t="inlineStr">
        <is>
          <t>—</t>
        </is>
      </c>
      <c r="P890" s="29" t="inlineStr">
        <is>
          <t>REFERÊNCIA — §5º: estelionato simples é ação condicionada. Exceções (incondicionada): administração pública, criança/adolescente/idoso/PcD, fraude eletrônica</t>
        </is>
      </c>
    </row>
    <row r="891">
      <c r="A891" s="7" t="inlineStr">
        <is>
          <t>CP</t>
        </is>
      </c>
      <c r="B891" s="7" t="inlineStr">
        <is>
          <t>Art. 208</t>
        </is>
      </c>
      <c r="C891" s="16" t="inlineStr">
        <is>
          <t>Ultraje a culto e impedimento/perturbação de ato a ele relativo (escarnecer, impedir/perturbar cerimônia/prática de culto, vilipendiar objeto de culto)</t>
        </is>
      </c>
      <c r="D891" s="7" t="n">
        <v>1</v>
      </c>
      <c r="E891" s="7" t="n">
        <v>12</v>
      </c>
      <c r="F891" s="7" t="inlineStr">
        <is>
          <t>Detenção</t>
        </is>
      </c>
      <c r="G891" s="7" t="inlineStr">
        <is>
          <t>Pública Incondicionada</t>
        </is>
      </c>
      <c r="H891" s="7" t="inlineStr">
        <is>
          <t>Não</t>
        </is>
      </c>
      <c r="I891" s="7" t="inlineStr">
        <is>
          <t>Doloso</t>
        </is>
      </c>
      <c r="J891" s="7" t="inlineStr">
        <is>
          <t>Sim</t>
        </is>
      </c>
      <c r="K891" s="7" t="inlineStr">
        <is>
          <t>Não</t>
        </is>
      </c>
      <c r="L891" s="7" t="inlineStr">
        <is>
          <t>Não</t>
        </is>
      </c>
      <c r="M891" s="7" t="inlineStr">
        <is>
          <t>Sim</t>
        </is>
      </c>
      <c r="N891" s="7" t="inlineStr">
        <is>
          <t>Sim</t>
        </is>
      </c>
      <c r="O891" s="7" t="inlineStr">
        <is>
          <t>Sim</t>
        </is>
      </c>
      <c r="P891" s="16" t="inlineStr">
        <is>
          <t>1 mês a 1 ano detenção + multa. §único: aumento de 1/3 se emprego de violência</t>
        </is>
      </c>
    </row>
    <row r="892">
      <c r="A892" s="7" t="inlineStr">
        <is>
          <t>CP</t>
        </is>
      </c>
      <c r="B892" s="7" t="inlineStr">
        <is>
          <t>Art. 209</t>
        </is>
      </c>
      <c r="C892" s="16" t="inlineStr">
        <is>
          <t>Impedimento ou perturbação de cerimônia funerária (impedir/perturbar enterro ou cerimônia funerária)</t>
        </is>
      </c>
      <c r="D892" s="7" t="n">
        <v>1</v>
      </c>
      <c r="E892" s="7" t="n">
        <v>12</v>
      </c>
      <c r="F892" s="7" t="inlineStr">
        <is>
          <t>Detenção</t>
        </is>
      </c>
      <c r="G892" s="7" t="inlineStr">
        <is>
          <t>Pública Incondicionada</t>
        </is>
      </c>
      <c r="H892" s="7" t="inlineStr">
        <is>
          <t>Não</t>
        </is>
      </c>
      <c r="I892" s="7" t="inlineStr">
        <is>
          <t>Doloso</t>
        </is>
      </c>
      <c r="J892" s="7" t="inlineStr">
        <is>
          <t>Sim</t>
        </is>
      </c>
      <c r="K892" s="7" t="inlineStr">
        <is>
          <t>Não</t>
        </is>
      </c>
      <c r="L892" s="7" t="inlineStr">
        <is>
          <t>Não</t>
        </is>
      </c>
      <c r="M892" s="7" t="inlineStr">
        <is>
          <t>Sim</t>
        </is>
      </c>
      <c r="N892" s="7" t="inlineStr">
        <is>
          <t>Sim</t>
        </is>
      </c>
      <c r="O892" s="7" t="inlineStr">
        <is>
          <t>Sim</t>
        </is>
      </c>
      <c r="P892" s="16" t="inlineStr">
        <is>
          <t>1 mês a 1 ano detenção + multa</t>
        </is>
      </c>
    </row>
    <row r="893">
      <c r="A893" s="7" t="inlineStr">
        <is>
          <t>CP</t>
        </is>
      </c>
      <c r="B893" s="7" t="inlineStr">
        <is>
          <t>Art. 210</t>
        </is>
      </c>
      <c r="C893" s="16" t="inlineStr">
        <is>
          <t>Violação de sepultura (violar ou profanar sepultura ou urna funerária)</t>
        </is>
      </c>
      <c r="D893" s="7" t="n">
        <v>12</v>
      </c>
      <c r="E893" s="7" t="n">
        <v>36</v>
      </c>
      <c r="F893" s="7" t="inlineStr">
        <is>
          <t>Reclusão</t>
        </is>
      </c>
      <c r="G893" s="7" t="inlineStr">
        <is>
          <t>Pública Incondicionada</t>
        </is>
      </c>
      <c r="H893" s="7" t="inlineStr">
        <is>
          <t>Não</t>
        </is>
      </c>
      <c r="I893" s="7" t="inlineStr">
        <is>
          <t>Doloso</t>
        </is>
      </c>
      <c r="J893" s="7" t="inlineStr">
        <is>
          <t>Sim</t>
        </is>
      </c>
      <c r="K893" s="7" t="inlineStr">
        <is>
          <t>Não</t>
        </is>
      </c>
      <c r="L893" s="7" t="inlineStr">
        <is>
          <t>Não</t>
        </is>
      </c>
      <c r="M893" s="7" t="inlineStr">
        <is>
          <t>Sim</t>
        </is>
      </c>
      <c r="N893" s="7" t="inlineStr">
        <is>
          <t>Sim</t>
        </is>
      </c>
      <c r="O893" s="7" t="inlineStr">
        <is>
          <t>Sim</t>
        </is>
      </c>
      <c r="P893" s="16" t="inlineStr">
        <is>
          <t>1-3 anos reclusão + multa</t>
        </is>
      </c>
    </row>
    <row r="894">
      <c r="A894" s="7" t="inlineStr">
        <is>
          <t>CP</t>
        </is>
      </c>
      <c r="B894" s="7" t="inlineStr">
        <is>
          <t>Art. 211</t>
        </is>
      </c>
      <c r="C894" s="16" t="inlineStr">
        <is>
          <t>Destruição/subtração/ocultação de cadáver ou parte dele</t>
        </is>
      </c>
      <c r="D894" s="7" t="n">
        <v>12</v>
      </c>
      <c r="E894" s="7" t="n">
        <v>36</v>
      </c>
      <c r="F894" s="7" t="inlineStr">
        <is>
          <t>Reclusão</t>
        </is>
      </c>
      <c r="G894" s="7" t="inlineStr">
        <is>
          <t>Pública Incondicionada</t>
        </is>
      </c>
      <c r="H894" s="7" t="inlineStr">
        <is>
          <t>Não</t>
        </is>
      </c>
      <c r="I894" s="7" t="inlineStr">
        <is>
          <t>Doloso</t>
        </is>
      </c>
      <c r="J894" s="7" t="inlineStr">
        <is>
          <t>Sim</t>
        </is>
      </c>
      <c r="K894" s="7" t="inlineStr">
        <is>
          <t>Não</t>
        </is>
      </c>
      <c r="L894" s="7" t="inlineStr">
        <is>
          <t>Não</t>
        </is>
      </c>
      <c r="M894" s="7" t="inlineStr">
        <is>
          <t>Sim</t>
        </is>
      </c>
      <c r="N894" s="7" t="inlineStr">
        <is>
          <t>Sim</t>
        </is>
      </c>
      <c r="O894" s="7" t="inlineStr">
        <is>
          <t>Sim</t>
        </is>
      </c>
      <c r="P894" s="16" t="inlineStr">
        <is>
          <t>1-3 anos reclusão + multa</t>
        </is>
      </c>
    </row>
    <row r="895">
      <c r="A895" s="7" t="inlineStr">
        <is>
          <t>CP</t>
        </is>
      </c>
      <c r="B895" s="7" t="inlineStr">
        <is>
          <t>Art. 212</t>
        </is>
      </c>
      <c r="C895" s="16" t="inlineStr">
        <is>
          <t>Vilipêndio a cadáver (vilipendiar cadáver ou suas cinzas)</t>
        </is>
      </c>
      <c r="D895" s="7" t="n">
        <v>12</v>
      </c>
      <c r="E895" s="7" t="n">
        <v>36</v>
      </c>
      <c r="F895" s="7" t="inlineStr">
        <is>
          <t>Detenção</t>
        </is>
      </c>
      <c r="G895" s="7" t="inlineStr">
        <is>
          <t>Pública Incondicionada</t>
        </is>
      </c>
      <c r="H895" s="7" t="inlineStr">
        <is>
          <t>Não</t>
        </is>
      </c>
      <c r="I895" s="7" t="inlineStr">
        <is>
          <t>Doloso</t>
        </is>
      </c>
      <c r="J895" s="7" t="inlineStr">
        <is>
          <t>Sim</t>
        </is>
      </c>
      <c r="K895" s="7" t="inlineStr">
        <is>
          <t>Não</t>
        </is>
      </c>
      <c r="L895" s="7" t="inlineStr">
        <is>
          <t>Não</t>
        </is>
      </c>
      <c r="M895" s="7" t="inlineStr">
        <is>
          <t>Sim</t>
        </is>
      </c>
      <c r="N895" s="7" t="inlineStr">
        <is>
          <t>Sim</t>
        </is>
      </c>
      <c r="O895" s="7" t="inlineStr">
        <is>
          <t>Sim</t>
        </is>
      </c>
      <c r="P895" s="16" t="inlineStr">
        <is>
          <t>1-3 anos detenção + multa</t>
        </is>
      </c>
    </row>
    <row r="896">
      <c r="A896" s="7" t="inlineStr">
        <is>
          <t>CP</t>
        </is>
      </c>
      <c r="B896" s="7" t="inlineStr">
        <is>
          <t>Art. 215-A</t>
        </is>
      </c>
      <c r="C896" s="16" t="inlineStr">
        <is>
          <t>Importunação sexual (praticar contra alguém ato libidinoso na presença de pessoa ou em lugar público, sem consentimento)</t>
        </is>
      </c>
      <c r="D896" s="7" t="n">
        <v>12</v>
      </c>
      <c r="E896" s="7" t="n">
        <v>60</v>
      </c>
      <c r="F896" s="7" t="inlineStr">
        <is>
          <t>Reclusão</t>
        </is>
      </c>
      <c r="G896" s="7" t="inlineStr">
        <is>
          <t>Pública Incondicionada</t>
        </is>
      </c>
      <c r="H896" s="7" t="inlineStr">
        <is>
          <t>Não</t>
        </is>
      </c>
      <c r="I896" s="7" t="inlineStr">
        <is>
          <t>Doloso</t>
        </is>
      </c>
      <c r="J896" s="7" t="inlineStr">
        <is>
          <t>Sim</t>
        </is>
      </c>
      <c r="K896" s="7" t="inlineStr">
        <is>
          <t>Não</t>
        </is>
      </c>
      <c r="L896" s="7" t="inlineStr">
        <is>
          <t>Não</t>
        </is>
      </c>
      <c r="M896" s="7" t="inlineStr">
        <is>
          <t>Sim</t>
        </is>
      </c>
      <c r="N896" s="7" t="inlineStr">
        <is>
          <t>Sim</t>
        </is>
      </c>
      <c r="O896" s="7" t="inlineStr">
        <is>
          <t>Sim</t>
        </is>
      </c>
      <c r="P896" s="16" t="inlineStr">
        <is>
          <t>1-5 anos reclusão. Lei 13.718/18. Se não constituir crime mais grave</t>
        </is>
      </c>
    </row>
    <row r="897">
      <c r="A897" s="7" t="inlineStr">
        <is>
          <t>CP</t>
        </is>
      </c>
      <c r="B897" s="7" t="inlineStr">
        <is>
          <t>Art. 216-A</t>
        </is>
      </c>
      <c r="C897" s="16" t="inlineStr">
        <is>
          <t>Assédio sexual (constranger alguém com o intuito de obter vantagem ou favorecimento sexual, prevalecendo-se de condição de superior hierárquico ou ascendência)</t>
        </is>
      </c>
      <c r="D897" s="7" t="n">
        <v>12</v>
      </c>
      <c r="E897" s="7" t="n">
        <v>24</v>
      </c>
      <c r="F897" s="7" t="inlineStr">
        <is>
          <t>Detenção</t>
        </is>
      </c>
      <c r="G897" s="7" t="inlineStr">
        <is>
          <t>Pública Incondicionada</t>
        </is>
      </c>
      <c r="H897" s="7" t="inlineStr">
        <is>
          <t>Não</t>
        </is>
      </c>
      <c r="I897" s="7" t="inlineStr">
        <is>
          <t>Doloso</t>
        </is>
      </c>
      <c r="J897" s="7" t="inlineStr">
        <is>
          <t>Sim</t>
        </is>
      </c>
      <c r="K897" s="7" t="inlineStr">
        <is>
          <t>Não</t>
        </is>
      </c>
      <c r="L897" s="7" t="inlineStr">
        <is>
          <t>Não</t>
        </is>
      </c>
      <c r="M897" s="7" t="inlineStr">
        <is>
          <t>Sim</t>
        </is>
      </c>
      <c r="N897" s="7" t="inlineStr">
        <is>
          <t>Sim</t>
        </is>
      </c>
      <c r="O897" s="7" t="inlineStr">
        <is>
          <t>Sim</t>
        </is>
      </c>
      <c r="P897" s="16" t="inlineStr">
        <is>
          <t>1-2 anos detenção. §2º: aumento de 1/3 se vítima menor de 18 anos</t>
        </is>
      </c>
    </row>
    <row r="898">
      <c r="A898" s="17" t="inlineStr">
        <is>
          <t>CP</t>
        </is>
      </c>
      <c r="B898" s="17" t="inlineStr">
        <is>
          <t>Art. 218</t>
        </is>
      </c>
      <c r="C898" s="18" t="inlineStr">
        <is>
          <t>Corrupção de menores (induzir alguém menor de 14 anos a satisfazer a lascívia de outrem)</t>
        </is>
      </c>
      <c r="D898" s="17" t="n">
        <v>24</v>
      </c>
      <c r="E898" s="17" t="n">
        <v>60</v>
      </c>
      <c r="F898" s="17" t="inlineStr">
        <is>
          <t>Reclusão</t>
        </is>
      </c>
      <c r="G898" s="17" t="inlineStr">
        <is>
          <t>Pública Incondicionada</t>
        </is>
      </c>
      <c r="H898" s="17" t="inlineStr">
        <is>
          <t>Sim</t>
        </is>
      </c>
      <c r="I898" s="17" t="inlineStr">
        <is>
          <t>Doloso</t>
        </is>
      </c>
      <c r="J898" s="17" t="inlineStr">
        <is>
          <t>Sim</t>
        </is>
      </c>
      <c r="K898" s="17" t="inlineStr">
        <is>
          <t>Não</t>
        </is>
      </c>
      <c r="L898" s="17" t="inlineStr">
        <is>
          <t>Não</t>
        </is>
      </c>
      <c r="M898" s="17" t="inlineStr">
        <is>
          <t>Não</t>
        </is>
      </c>
      <c r="N898" s="17" t="inlineStr">
        <is>
          <t>Não</t>
        </is>
      </c>
      <c r="O898" s="17" t="inlineStr">
        <is>
          <t>Sim</t>
        </is>
      </c>
      <c r="P898" s="18" t="inlineStr">
        <is>
          <t>2-5 anos reclusão. HEDIONDO</t>
        </is>
      </c>
    </row>
    <row r="899">
      <c r="A899" s="17" t="inlineStr">
        <is>
          <t>CP</t>
        </is>
      </c>
      <c r="B899" s="17" t="inlineStr">
        <is>
          <t>Art. 218-A</t>
        </is>
      </c>
      <c r="C899" s="18" t="inlineStr">
        <is>
          <t>Satisfação de lascívia mediante presença de criança ou adolescente (praticar ato de natureza sexual na presença de menor de 14 anos ou induzi-lo a presenciar)</t>
        </is>
      </c>
      <c r="D899" s="17" t="n">
        <v>24</v>
      </c>
      <c r="E899" s="17" t="n">
        <v>48</v>
      </c>
      <c r="F899" s="17" t="inlineStr">
        <is>
          <t>Reclusão</t>
        </is>
      </c>
      <c r="G899" s="17" t="inlineStr">
        <is>
          <t>Pública Incondicionada</t>
        </is>
      </c>
      <c r="H899" s="17" t="inlineStr">
        <is>
          <t>Sim</t>
        </is>
      </c>
      <c r="I899" s="17" t="inlineStr">
        <is>
          <t>Doloso</t>
        </is>
      </c>
      <c r="J899" s="17" t="inlineStr">
        <is>
          <t>Sim</t>
        </is>
      </c>
      <c r="K899" s="17" t="inlineStr">
        <is>
          <t>Não</t>
        </is>
      </c>
      <c r="L899" s="17" t="inlineStr">
        <is>
          <t>Não</t>
        </is>
      </c>
      <c r="M899" s="17" t="inlineStr">
        <is>
          <t>Não</t>
        </is>
      </c>
      <c r="N899" s="17" t="inlineStr">
        <is>
          <t>Não</t>
        </is>
      </c>
      <c r="O899" s="17" t="inlineStr">
        <is>
          <t>Sim</t>
        </is>
      </c>
      <c r="P899" s="18" t="inlineStr">
        <is>
          <t>2-4 anos reclusão. HEDIONDO</t>
        </is>
      </c>
    </row>
    <row r="900">
      <c r="A900" s="7" t="inlineStr">
        <is>
          <t>CP</t>
        </is>
      </c>
      <c r="B900" s="7" t="inlineStr">
        <is>
          <t>Art. 218-C</t>
        </is>
      </c>
      <c r="C900" s="16" t="inlineStr">
        <is>
          <t>Divulgação de cena de estupro, sexo, nudez ou pornografia sem consentimento (revenge porn)</t>
        </is>
      </c>
      <c r="D900" s="7" t="n">
        <v>12</v>
      </c>
      <c r="E900" s="7" t="n">
        <v>60</v>
      </c>
      <c r="F900" s="7" t="inlineStr">
        <is>
          <t>Reclusão</t>
        </is>
      </c>
      <c r="G900" s="7" t="inlineStr">
        <is>
          <t>Pública Incondicionada</t>
        </is>
      </c>
      <c r="H900" s="7" t="inlineStr">
        <is>
          <t>Não</t>
        </is>
      </c>
      <c r="I900" s="7" t="inlineStr">
        <is>
          <t>Doloso</t>
        </is>
      </c>
      <c r="J900" s="7" t="inlineStr">
        <is>
          <t>Sim</t>
        </is>
      </c>
      <c r="K900" s="7" t="inlineStr">
        <is>
          <t>Não</t>
        </is>
      </c>
      <c r="L900" s="7" t="inlineStr">
        <is>
          <t>Não</t>
        </is>
      </c>
      <c r="M900" s="7" t="inlineStr">
        <is>
          <t>Sim</t>
        </is>
      </c>
      <c r="N900" s="7" t="inlineStr">
        <is>
          <t>Sim</t>
        </is>
      </c>
      <c r="O900" s="7" t="inlineStr">
        <is>
          <t>Sim</t>
        </is>
      </c>
      <c r="P900" s="16" t="inlineStr">
        <is>
          <t>1-5 anos reclusão. Lei 13.718/18. §1º: aumento de 1/3 a 2/3 se pessoa com quem a vítima mantinha relação íntima. §2º: exclui-se se cena de sexo estupro (aí outro crime)</t>
        </is>
      </c>
    </row>
    <row r="901">
      <c r="A901" s="7" t="inlineStr">
        <is>
          <t>CP</t>
        </is>
      </c>
      <c r="B901" s="7" t="inlineStr">
        <is>
          <t>Art. 227</t>
        </is>
      </c>
      <c r="C901" s="16" t="inlineStr">
        <is>
          <t>Mediação para servir a lascívia de outrem (induzir alguém a satisfazer a lascívia de outrem)</t>
        </is>
      </c>
      <c r="D901" s="7" t="n">
        <v>12</v>
      </c>
      <c r="E901" s="7" t="n">
        <v>36</v>
      </c>
      <c r="F901" s="7" t="inlineStr">
        <is>
          <t>Reclusão</t>
        </is>
      </c>
      <c r="G901" s="7" t="inlineStr">
        <is>
          <t>Pública Incondicionada</t>
        </is>
      </c>
      <c r="H901" s="7" t="inlineStr">
        <is>
          <t>Não</t>
        </is>
      </c>
      <c r="I901" s="7" t="inlineStr">
        <is>
          <t>Doloso</t>
        </is>
      </c>
      <c r="J901" s="7" t="inlineStr">
        <is>
          <t>Sim</t>
        </is>
      </c>
      <c r="K901" s="7" t="inlineStr">
        <is>
          <t>Não</t>
        </is>
      </c>
      <c r="L901" s="7" t="inlineStr">
        <is>
          <t>Não</t>
        </is>
      </c>
      <c r="M901" s="7" t="inlineStr">
        <is>
          <t>Sim</t>
        </is>
      </c>
      <c r="N901" s="7" t="inlineStr">
        <is>
          <t>Sim</t>
        </is>
      </c>
      <c r="O901" s="7" t="inlineStr">
        <is>
          <t>Sim</t>
        </is>
      </c>
      <c r="P901" s="16" t="inlineStr">
        <is>
          <t>1-3 anos reclusão. §1º: aumento se emprego de violência/grave ameaça ou fraude. §2º: se com fim de lucro: multa. §3º: se contra menor de 18/deficiente: 2-5 anos</t>
        </is>
      </c>
    </row>
    <row r="902">
      <c r="A902" s="7" t="inlineStr">
        <is>
          <t>CP</t>
        </is>
      </c>
      <c r="B902" s="7" t="inlineStr">
        <is>
          <t>Art. 228</t>
        </is>
      </c>
      <c r="C902" s="16" t="inlineStr">
        <is>
          <t>Favorecimento da prostituição ou outra forma de exploração sexual</t>
        </is>
      </c>
      <c r="D902" s="7" t="n">
        <v>24</v>
      </c>
      <c r="E902" s="7" t="n">
        <v>60</v>
      </c>
      <c r="F902" s="7" t="inlineStr">
        <is>
          <t>Reclusão</t>
        </is>
      </c>
      <c r="G902" s="7" t="inlineStr">
        <is>
          <t>Pública Incondicionada</t>
        </is>
      </c>
      <c r="H902" s="7" t="inlineStr">
        <is>
          <t>Não</t>
        </is>
      </c>
      <c r="I902" s="7" t="inlineStr">
        <is>
          <t>Doloso</t>
        </is>
      </c>
      <c r="J902" s="7" t="inlineStr">
        <is>
          <t>Sim</t>
        </is>
      </c>
      <c r="K902" s="7" t="inlineStr">
        <is>
          <t>Não</t>
        </is>
      </c>
      <c r="L902" s="7" t="inlineStr">
        <is>
          <t>Não</t>
        </is>
      </c>
      <c r="M902" s="7" t="inlineStr">
        <is>
          <t>Sim</t>
        </is>
      </c>
      <c r="N902" s="7" t="inlineStr">
        <is>
          <t>Não</t>
        </is>
      </c>
      <c r="O902" s="7" t="inlineStr">
        <is>
          <t>Sim</t>
        </is>
      </c>
      <c r="P902" s="16" t="inlineStr">
        <is>
          <t>2-5 anos reclusão + multa. §1º: se violência/grave ameaça/fraude: 4-10 anos. §2º: se com fim de lucro. §3º: se contra menor de 18/deficiente: 3-8 anos</t>
        </is>
      </c>
    </row>
    <row r="903">
      <c r="A903" s="7" t="inlineStr">
        <is>
          <t>CP</t>
        </is>
      </c>
      <c r="B903" s="7" t="inlineStr">
        <is>
          <t>Art. 229</t>
        </is>
      </c>
      <c r="C903" s="16" t="inlineStr">
        <is>
          <t>Estabelecimento em que ocorra exploração sexual (manter casa de prostituição)</t>
        </is>
      </c>
      <c r="D903" s="7" t="n">
        <v>24</v>
      </c>
      <c r="E903" s="7" t="n">
        <v>60</v>
      </c>
      <c r="F903" s="7" t="inlineStr">
        <is>
          <t>Reclusão</t>
        </is>
      </c>
      <c r="G903" s="7" t="inlineStr">
        <is>
          <t>Pública Incondicionada</t>
        </is>
      </c>
      <c r="H903" s="7" t="inlineStr">
        <is>
          <t>Não</t>
        </is>
      </c>
      <c r="I903" s="7" t="inlineStr">
        <is>
          <t>Doloso</t>
        </is>
      </c>
      <c r="J903" s="7" t="inlineStr">
        <is>
          <t>Sim</t>
        </is>
      </c>
      <c r="K903" s="7" t="inlineStr">
        <is>
          <t>Não</t>
        </is>
      </c>
      <c r="L903" s="7" t="inlineStr">
        <is>
          <t>Não</t>
        </is>
      </c>
      <c r="M903" s="7" t="inlineStr">
        <is>
          <t>Sim</t>
        </is>
      </c>
      <c r="N903" s="7" t="inlineStr">
        <is>
          <t>Não</t>
        </is>
      </c>
      <c r="O903" s="7" t="inlineStr">
        <is>
          <t>Sim</t>
        </is>
      </c>
      <c r="P903" s="16" t="inlineStr">
        <is>
          <t>2-5 anos reclusão + multa</t>
        </is>
      </c>
    </row>
    <row r="904">
      <c r="A904" s="7" t="inlineStr">
        <is>
          <t>CP</t>
        </is>
      </c>
      <c r="B904" s="7" t="inlineStr">
        <is>
          <t>Art. 230</t>
        </is>
      </c>
      <c r="C904" s="16" t="inlineStr">
        <is>
          <t>Rufianismo (tirar proveito da prostituição alheia, participando diretamente de seus lucros ou fazendo-se sustentar por quem a exerça)</t>
        </is>
      </c>
      <c r="D904" s="7" t="n">
        <v>12</v>
      </c>
      <c r="E904" s="7" t="n">
        <v>48</v>
      </c>
      <c r="F904" s="7" t="inlineStr">
        <is>
          <t>Reclusão</t>
        </is>
      </c>
      <c r="G904" s="7" t="inlineStr">
        <is>
          <t>Pública Incondicionada</t>
        </is>
      </c>
      <c r="H904" s="7" t="inlineStr">
        <is>
          <t>Não</t>
        </is>
      </c>
      <c r="I904" s="7" t="inlineStr">
        <is>
          <t>Doloso</t>
        </is>
      </c>
      <c r="J904" s="7" t="inlineStr">
        <is>
          <t>Sim</t>
        </is>
      </c>
      <c r="K904" s="7" t="inlineStr">
        <is>
          <t>Não</t>
        </is>
      </c>
      <c r="L904" s="7" t="inlineStr">
        <is>
          <t>Não</t>
        </is>
      </c>
      <c r="M904" s="7" t="inlineStr">
        <is>
          <t>Sim</t>
        </is>
      </c>
      <c r="N904" s="7" t="inlineStr">
        <is>
          <t>Sim</t>
        </is>
      </c>
      <c r="O904" s="7" t="inlineStr">
        <is>
          <t>Sim</t>
        </is>
      </c>
      <c r="P904" s="16" t="inlineStr">
        <is>
          <t>1-4 anos reclusão + multa. §1º: se violência/grave ameaça: 3-6 anos + multa. §2º: se contra menor de 18/deficiente: aumento</t>
        </is>
      </c>
    </row>
    <row r="905">
      <c r="A905" s="7" t="inlineStr">
        <is>
          <t>CP</t>
        </is>
      </c>
      <c r="B905" s="7" t="inlineStr">
        <is>
          <t>Art. 286</t>
        </is>
      </c>
      <c r="C905" s="16" t="inlineStr">
        <is>
          <t>Incitação ao crime (incitar publicamente a prática de crime)</t>
        </is>
      </c>
      <c r="D905" s="7" t="n">
        <v>3</v>
      </c>
      <c r="E905" s="7" t="n">
        <v>6</v>
      </c>
      <c r="F905" s="7" t="inlineStr">
        <is>
          <t>Detenção</t>
        </is>
      </c>
      <c r="G905" s="7" t="inlineStr">
        <is>
          <t>Pública Incondicionada</t>
        </is>
      </c>
      <c r="H905" s="7" t="inlineStr">
        <is>
          <t>Não</t>
        </is>
      </c>
      <c r="I905" s="7" t="inlineStr">
        <is>
          <t>Doloso</t>
        </is>
      </c>
      <c r="J905" s="7" t="inlineStr">
        <is>
          <t>Sim</t>
        </is>
      </c>
      <c r="K905" s="7" t="inlineStr">
        <is>
          <t>Não</t>
        </is>
      </c>
      <c r="L905" s="7" t="inlineStr">
        <is>
          <t>Não</t>
        </is>
      </c>
      <c r="M905" s="7" t="inlineStr">
        <is>
          <t>Sim</t>
        </is>
      </c>
      <c r="N905" s="7" t="inlineStr">
        <is>
          <t>Sim</t>
        </is>
      </c>
      <c r="O905" s="7" t="inlineStr">
        <is>
          <t>Sim</t>
        </is>
      </c>
      <c r="P905" s="16" t="inlineStr">
        <is>
          <t>3-6 meses detenção + multa. §único: aumento de 1/3 se pela internet</t>
        </is>
      </c>
    </row>
    <row r="906">
      <c r="A906" s="7" t="inlineStr">
        <is>
          <t>CP</t>
        </is>
      </c>
      <c r="B906" s="7" t="inlineStr">
        <is>
          <t>Art. 286, §único</t>
        </is>
      </c>
      <c r="C906" s="16" t="inlineStr">
        <is>
          <t>Incitação ao crime pela internet ou meio que facilite acesso ao grande público</t>
        </is>
      </c>
      <c r="D906" s="7" t="n">
        <v>3</v>
      </c>
      <c r="E906" s="7" t="n">
        <v>6</v>
      </c>
      <c r="F906" s="7" t="inlineStr">
        <is>
          <t>Detenção</t>
        </is>
      </c>
      <c r="G906" s="7" t="inlineStr">
        <is>
          <t>Pública Incondicionada</t>
        </is>
      </c>
      <c r="H906" s="7" t="inlineStr">
        <is>
          <t>Não</t>
        </is>
      </c>
      <c r="I906" s="7" t="inlineStr">
        <is>
          <t>Doloso</t>
        </is>
      </c>
      <c r="J906" s="7" t="inlineStr">
        <is>
          <t>Sim</t>
        </is>
      </c>
      <c r="K906" s="7" t="inlineStr">
        <is>
          <t>Não</t>
        </is>
      </c>
      <c r="L906" s="7" t="inlineStr">
        <is>
          <t>Não</t>
        </is>
      </c>
      <c r="M906" s="7" t="inlineStr">
        <is>
          <t>Sim</t>
        </is>
      </c>
      <c r="N906" s="7" t="inlineStr">
        <is>
          <t>Sim</t>
        </is>
      </c>
      <c r="O906" s="7" t="inlineStr">
        <is>
          <t>Sim</t>
        </is>
      </c>
      <c r="P906" s="16" t="inlineStr">
        <is>
          <t>3-6 meses detenção + multa + aumento de 1/3</t>
        </is>
      </c>
    </row>
    <row r="907">
      <c r="A907" s="7" t="inlineStr">
        <is>
          <t>CP</t>
        </is>
      </c>
      <c r="B907" s="7" t="inlineStr">
        <is>
          <t>Art. 287</t>
        </is>
      </c>
      <c r="C907" s="16" t="inlineStr">
        <is>
          <t>Apologia de crime ou criminoso (fazer publicamente apologia de fato criminoso ou de autor de crime)</t>
        </is>
      </c>
      <c r="D907" s="7" t="n">
        <v>3</v>
      </c>
      <c r="E907" s="7" t="n">
        <v>6</v>
      </c>
      <c r="F907" s="7" t="inlineStr">
        <is>
          <t>Detenção</t>
        </is>
      </c>
      <c r="G907" s="7" t="inlineStr">
        <is>
          <t>Pública Incondicionada</t>
        </is>
      </c>
      <c r="H907" s="7" t="inlineStr">
        <is>
          <t>Não</t>
        </is>
      </c>
      <c r="I907" s="7" t="inlineStr">
        <is>
          <t>Doloso</t>
        </is>
      </c>
      <c r="J907" s="7" t="inlineStr">
        <is>
          <t>Sim</t>
        </is>
      </c>
      <c r="K907" s="7" t="inlineStr">
        <is>
          <t>Não</t>
        </is>
      </c>
      <c r="L907" s="7" t="inlineStr">
        <is>
          <t>Não</t>
        </is>
      </c>
      <c r="M907" s="7" t="inlineStr">
        <is>
          <t>Sim</t>
        </is>
      </c>
      <c r="N907" s="7" t="inlineStr">
        <is>
          <t>Sim</t>
        </is>
      </c>
      <c r="O907" s="7" t="inlineStr">
        <is>
          <t>Sim</t>
        </is>
      </c>
      <c r="P907" s="16" t="inlineStr">
        <is>
          <t>3-6 meses detenção + multa</t>
        </is>
      </c>
    </row>
    <row r="908">
      <c r="A908" s="26" t="inlineStr">
        <is>
          <t>CP</t>
        </is>
      </c>
      <c r="B908" s="26" t="inlineStr">
        <is>
          <t>Art. 288-A</t>
        </is>
      </c>
      <c r="C908" s="27" t="inlineStr">
        <is>
          <t>Constituição de milícia privada (constituir/organizar/integrar/manter/custear organização paramilitar, milícia particular, grupo ou esquadrão para prática de crimes do Art. 288-A)</t>
        </is>
      </c>
      <c r="D908" s="26" t="n">
        <v>48</v>
      </c>
      <c r="E908" s="26" t="n">
        <v>96</v>
      </c>
      <c r="F908" s="26" t="inlineStr">
        <is>
          <t>Reclusão</t>
        </is>
      </c>
      <c r="G908" s="26" t="inlineStr">
        <is>
          <t>Pública Incondicionada</t>
        </is>
      </c>
      <c r="H908" s="26" t="inlineStr">
        <is>
          <t>Não</t>
        </is>
      </c>
      <c r="I908" s="26" t="inlineStr">
        <is>
          <t>Doloso</t>
        </is>
      </c>
      <c r="J908" s="26" t="inlineStr">
        <is>
          <t>Não</t>
        </is>
      </c>
      <c r="K908" s="26" t="inlineStr">
        <is>
          <t>Sim</t>
        </is>
      </c>
      <c r="L908" s="26" t="inlineStr">
        <is>
          <t>Sim</t>
        </is>
      </c>
      <c r="M908" s="26" t="inlineStr">
        <is>
          <t>Não</t>
        </is>
      </c>
      <c r="N908" s="26" t="inlineStr">
        <is>
          <t>Não</t>
        </is>
      </c>
      <c r="O908" s="26" t="inlineStr">
        <is>
          <t>Verificar</t>
        </is>
      </c>
      <c r="P908" s="27" t="inlineStr">
        <is>
          <t>4-8 anos reclusão</t>
        </is>
      </c>
    </row>
    <row r="909">
      <c r="A909" s="26" t="inlineStr">
        <is>
          <t>CP</t>
        </is>
      </c>
      <c r="B909" s="26" t="inlineStr">
        <is>
          <t>Art. 251</t>
        </is>
      </c>
      <c r="C909" s="27" t="inlineStr">
        <is>
          <t>Explosão (expor a perigo a vida, a integridade física ou o patrimônio, mediante explosão, arremesso ou colocação de engenho de dinamite ou substância equivalente)</t>
        </is>
      </c>
      <c r="D909" s="26" t="n">
        <v>36</v>
      </c>
      <c r="E909" s="26" t="n">
        <v>72</v>
      </c>
      <c r="F909" s="26" t="inlineStr">
        <is>
          <t>Reclusão</t>
        </is>
      </c>
      <c r="G909" s="26" t="inlineStr">
        <is>
          <t>Pública Incondicionada</t>
        </is>
      </c>
      <c r="H909" s="26" t="inlineStr">
        <is>
          <t>Não</t>
        </is>
      </c>
      <c r="I909" s="26" t="inlineStr">
        <is>
          <t>Doloso</t>
        </is>
      </c>
      <c r="J909" s="26" t="inlineStr">
        <is>
          <t>Sim</t>
        </is>
      </c>
      <c r="K909" s="26" t="inlineStr">
        <is>
          <t>Sim</t>
        </is>
      </c>
      <c r="L909" s="26" t="inlineStr">
        <is>
          <t>Não</t>
        </is>
      </c>
      <c r="M909" s="26" t="inlineStr">
        <is>
          <t>Não</t>
        </is>
      </c>
      <c r="N909" s="26" t="inlineStr">
        <is>
          <t>Não</t>
        </is>
      </c>
      <c r="O909" s="26" t="inlineStr">
        <is>
          <t>Verificar</t>
        </is>
      </c>
      <c r="P909" s="27" t="inlineStr">
        <is>
          <t>3-6 anos reclusão + multa. §1º: aumento de 1/3 se em casa habitada, edifício público, etc. §2º: culposa: 6m-2a detenção + multa. §3º: se resulta morte do agente, não se aplica a pena (tentativa impossível)</t>
        </is>
      </c>
    </row>
    <row r="910">
      <c r="A910" s="26" t="inlineStr">
        <is>
          <t>CP</t>
        </is>
      </c>
      <c r="B910" s="26" t="inlineStr">
        <is>
          <t>Art. 251, §2º</t>
        </is>
      </c>
      <c r="C910" s="27" t="inlineStr">
        <is>
          <t>Explosão culposa</t>
        </is>
      </c>
      <c r="D910" s="26" t="n">
        <v>6</v>
      </c>
      <c r="E910" s="26" t="n">
        <v>24</v>
      </c>
      <c r="F910" s="26" t="inlineStr">
        <is>
          <t>Detenção</t>
        </is>
      </c>
      <c r="G910" s="26" t="inlineStr">
        <is>
          <t>Pública Incondicionada</t>
        </is>
      </c>
      <c r="H910" s="26" t="inlineStr">
        <is>
          <t>Não</t>
        </is>
      </c>
      <c r="I910" s="26" t="inlineStr">
        <is>
          <t>Culposo</t>
        </is>
      </c>
      <c r="J910" s="26" t="inlineStr">
        <is>
          <t>Não</t>
        </is>
      </c>
      <c r="K910" s="26" t="inlineStr">
        <is>
          <t>Sim</t>
        </is>
      </c>
      <c r="L910" s="26" t="inlineStr">
        <is>
          <t>Não</t>
        </is>
      </c>
      <c r="M910" s="26" t="inlineStr">
        <is>
          <t>Não</t>
        </is>
      </c>
      <c r="N910" s="26" t="inlineStr">
        <is>
          <t>Sim</t>
        </is>
      </c>
      <c r="O910" s="26" t="inlineStr">
        <is>
          <t>Sim</t>
        </is>
      </c>
      <c r="P910" s="27" t="inlineStr">
        <is>
          <t>6 meses a 2 anos detenção + multa</t>
        </is>
      </c>
    </row>
    <row r="911">
      <c r="A911" s="26" t="inlineStr">
        <is>
          <t>CP</t>
        </is>
      </c>
      <c r="B911" s="26" t="inlineStr">
        <is>
          <t>Art. 252</t>
        </is>
      </c>
      <c r="C911" s="27" t="inlineStr">
        <is>
          <t>Uso de gás tóxico ou asfixiante (expor a perigo a vida, a integridade física ou o patrimônio, usando gás tóxico ou asfixiante)</t>
        </is>
      </c>
      <c r="D911" s="26" t="n">
        <v>12</v>
      </c>
      <c r="E911" s="26" t="n">
        <v>36</v>
      </c>
      <c r="F911" s="26" t="inlineStr">
        <is>
          <t>Reclusão</t>
        </is>
      </c>
      <c r="G911" s="26" t="inlineStr">
        <is>
          <t>Pública Incondicionada</t>
        </is>
      </c>
      <c r="H911" s="26" t="inlineStr">
        <is>
          <t>Não</t>
        </is>
      </c>
      <c r="I911" s="26" t="inlineStr">
        <is>
          <t>Doloso</t>
        </is>
      </c>
      <c r="J911" s="26" t="inlineStr">
        <is>
          <t>Sim</t>
        </is>
      </c>
      <c r="K911" s="26" t="inlineStr">
        <is>
          <t>Sim</t>
        </is>
      </c>
      <c r="L911" s="26" t="inlineStr">
        <is>
          <t>Não</t>
        </is>
      </c>
      <c r="M911" s="26" t="inlineStr">
        <is>
          <t>Não</t>
        </is>
      </c>
      <c r="N911" s="26" t="inlineStr">
        <is>
          <t>Sim</t>
        </is>
      </c>
      <c r="O911" s="26" t="inlineStr">
        <is>
          <t>Sim</t>
        </is>
      </c>
      <c r="P911" s="27" t="inlineStr">
        <is>
          <t>1-3 anos reclusão + multa. §único: culposo: 3m-1a detenção</t>
        </is>
      </c>
    </row>
    <row r="912">
      <c r="A912" s="7" t="inlineStr">
        <is>
          <t>CP</t>
        </is>
      </c>
      <c r="B912" s="7" t="inlineStr">
        <is>
          <t>Art. 253</t>
        </is>
      </c>
      <c r="C912" s="16" t="inlineStr">
        <is>
          <t>Fabrico/fornecimento/aquisição/posse/transporte de substância/engenho explosivo/gás tóxico ou asfixiante sem autorização ou em desacordo com determinação legal</t>
        </is>
      </c>
      <c r="D912" s="7" t="n">
        <v>6</v>
      </c>
      <c r="E912" s="7" t="n">
        <v>24</v>
      </c>
      <c r="F912" s="7" t="inlineStr">
        <is>
          <t>Detenção</t>
        </is>
      </c>
      <c r="G912" s="7" t="inlineStr">
        <is>
          <t>Pública Incondicionada</t>
        </is>
      </c>
      <c r="H912" s="7" t="inlineStr">
        <is>
          <t>Não</t>
        </is>
      </c>
      <c r="I912" s="7" t="inlineStr">
        <is>
          <t>Doloso</t>
        </is>
      </c>
      <c r="J912" s="7" t="inlineStr">
        <is>
          <t>Sim</t>
        </is>
      </c>
      <c r="K912" s="7" t="inlineStr">
        <is>
          <t>Não</t>
        </is>
      </c>
      <c r="L912" s="7" t="inlineStr">
        <is>
          <t>Não</t>
        </is>
      </c>
      <c r="M912" s="7" t="inlineStr">
        <is>
          <t>Sim</t>
        </is>
      </c>
      <c r="N912" s="7" t="inlineStr">
        <is>
          <t>Sim</t>
        </is>
      </c>
      <c r="O912" s="7" t="inlineStr">
        <is>
          <t>Sim</t>
        </is>
      </c>
      <c r="P912" s="16" t="inlineStr">
        <is>
          <t>6 meses a 2 anos detenção + multa</t>
        </is>
      </c>
    </row>
    <row r="913">
      <c r="A913" s="26" t="inlineStr">
        <is>
          <t>CP</t>
        </is>
      </c>
      <c r="B913" s="26" t="inlineStr">
        <is>
          <t>Art. 254</t>
        </is>
      </c>
      <c r="C913" s="27" t="inlineStr">
        <is>
          <t>Inundação (causar inundação expondo a perigo a vida, a integridade física ou patrimônio de outrem)</t>
        </is>
      </c>
      <c r="D913" s="26" t="n">
        <v>36</v>
      </c>
      <c r="E913" s="26" t="n">
        <v>72</v>
      </c>
      <c r="F913" s="26" t="inlineStr">
        <is>
          <t>Reclusão</t>
        </is>
      </c>
      <c r="G913" s="26" t="inlineStr">
        <is>
          <t>Pública Incondicionada</t>
        </is>
      </c>
      <c r="H913" s="26" t="inlineStr">
        <is>
          <t>Não</t>
        </is>
      </c>
      <c r="I913" s="26" t="inlineStr">
        <is>
          <t>Doloso</t>
        </is>
      </c>
      <c r="J913" s="26" t="inlineStr">
        <is>
          <t>Sim</t>
        </is>
      </c>
      <c r="K913" s="26" t="inlineStr">
        <is>
          <t>Sim</t>
        </is>
      </c>
      <c r="L913" s="26" t="inlineStr">
        <is>
          <t>Não</t>
        </is>
      </c>
      <c r="M913" s="26" t="inlineStr">
        <is>
          <t>Não</t>
        </is>
      </c>
      <c r="N913" s="26" t="inlineStr">
        <is>
          <t>Não</t>
        </is>
      </c>
      <c r="O913" s="26" t="inlineStr">
        <is>
          <t>Verificar</t>
        </is>
      </c>
      <c r="P913" s="27" t="inlineStr">
        <is>
          <t>3-6 anos reclusão + multa. §único: culposa: 6m-2a detenção</t>
        </is>
      </c>
    </row>
    <row r="914">
      <c r="A914" s="26" t="inlineStr">
        <is>
          <t>CP</t>
        </is>
      </c>
      <c r="B914" s="26" t="inlineStr">
        <is>
          <t>Art. 256</t>
        </is>
      </c>
      <c r="C914" s="27" t="inlineStr">
        <is>
          <t>Desabamento ou desmoronamento (causar desabamento ou desmoronamento expondo a perigo a vida, a integridade física ou patrimônio)</t>
        </is>
      </c>
      <c r="D914" s="26" t="n">
        <v>12</v>
      </c>
      <c r="E914" s="26" t="n">
        <v>48</v>
      </c>
      <c r="F914" s="26" t="inlineStr">
        <is>
          <t>Reclusão</t>
        </is>
      </c>
      <c r="G914" s="26" t="inlineStr">
        <is>
          <t>Pública Incondicionada</t>
        </is>
      </c>
      <c r="H914" s="26" t="inlineStr">
        <is>
          <t>Não</t>
        </is>
      </c>
      <c r="I914" s="26" t="inlineStr">
        <is>
          <t>Doloso</t>
        </is>
      </c>
      <c r="J914" s="26" t="inlineStr">
        <is>
          <t>Sim</t>
        </is>
      </c>
      <c r="K914" s="26" t="inlineStr">
        <is>
          <t>Sim</t>
        </is>
      </c>
      <c r="L914" s="26" t="inlineStr">
        <is>
          <t>Não</t>
        </is>
      </c>
      <c r="M914" s="26" t="inlineStr">
        <is>
          <t>Não</t>
        </is>
      </c>
      <c r="N914" s="26" t="inlineStr">
        <is>
          <t>Sim</t>
        </is>
      </c>
      <c r="O914" s="26" t="inlineStr">
        <is>
          <t>Sim</t>
        </is>
      </c>
      <c r="P914" s="27" t="inlineStr">
        <is>
          <t>1-4 anos reclusão + multa. §único: culposo: 6m-2a detenção</t>
        </is>
      </c>
    </row>
    <row r="915">
      <c r="A915" s="28" t="inlineStr">
        <is>
          <t>CP</t>
        </is>
      </c>
      <c r="B915" s="28" t="inlineStr">
        <is>
          <t>Art. 258</t>
        </is>
      </c>
      <c r="C915" s="29" t="inlineStr">
        <is>
          <t>Formas qualificadas de crimes de perigo comum — se resulta lesão grave: aumento de metade; se resulta morte: dobro</t>
        </is>
      </c>
      <c r="D915" s="28" t="inlineStr">
        <is>
          <t>—</t>
        </is>
      </c>
      <c r="E915" s="28" t="inlineStr">
        <is>
          <t>—</t>
        </is>
      </c>
      <c r="F915" s="28" t="inlineStr">
        <is>
          <t>—</t>
        </is>
      </c>
      <c r="G915" s="28" t="inlineStr">
        <is>
          <t>—</t>
        </is>
      </c>
      <c r="H915" s="28" t="inlineStr">
        <is>
          <t>—</t>
        </is>
      </c>
      <c r="I915" s="28" t="inlineStr">
        <is>
          <t>—</t>
        </is>
      </c>
      <c r="J915" s="28" t="inlineStr">
        <is>
          <t>—</t>
        </is>
      </c>
      <c r="K915" s="28" t="inlineStr">
        <is>
          <t>—</t>
        </is>
      </c>
      <c r="L915" s="28" t="inlineStr">
        <is>
          <t>—</t>
        </is>
      </c>
      <c r="M915" s="28" t="inlineStr">
        <is>
          <t>—</t>
        </is>
      </c>
      <c r="N915" s="28" t="inlineStr">
        <is>
          <t>—</t>
        </is>
      </c>
      <c r="O915" s="28" t="inlineStr">
        <is>
          <t>—</t>
        </is>
      </c>
      <c r="P915" s="29" t="inlineStr">
        <is>
          <t>REFERÊNCIA — majorante. Aplica-se aos Arts. 250-257. Se lesão grave: +1/2. Se morte: dobro. Dolosos se resultado doloso; culposos se resultado culposo</t>
        </is>
      </c>
    </row>
    <row r="916">
      <c r="A916" s="7" t="inlineStr">
        <is>
          <t>CP</t>
        </is>
      </c>
      <c r="B916" s="7" t="inlineStr">
        <is>
          <t>Art. 259</t>
        </is>
      </c>
      <c r="C916" s="16" t="inlineStr">
        <is>
          <t>Difusão de doença ou praga (difundir doença ou praga que possa causar dano a floresta/plantação/rebanho)</t>
        </is>
      </c>
      <c r="D916" s="7" t="n">
        <v>24</v>
      </c>
      <c r="E916" s="7" t="n">
        <v>60</v>
      </c>
      <c r="F916" s="7" t="inlineStr">
        <is>
          <t>Reclusão</t>
        </is>
      </c>
      <c r="G916" s="7" t="inlineStr">
        <is>
          <t>Pública Incondicionada</t>
        </is>
      </c>
      <c r="H916" s="7" t="inlineStr">
        <is>
          <t>Não</t>
        </is>
      </c>
      <c r="I916" s="7" t="inlineStr">
        <is>
          <t>Doloso</t>
        </is>
      </c>
      <c r="J916" s="7" t="inlineStr">
        <is>
          <t>Sim</t>
        </is>
      </c>
      <c r="K916" s="7" t="inlineStr">
        <is>
          <t>Não</t>
        </is>
      </c>
      <c r="L916" s="7" t="inlineStr">
        <is>
          <t>Não</t>
        </is>
      </c>
      <c r="M916" s="7" t="inlineStr">
        <is>
          <t>Sim</t>
        </is>
      </c>
      <c r="N916" s="7" t="inlineStr">
        <is>
          <t>Não</t>
        </is>
      </c>
      <c r="O916" s="7" t="inlineStr">
        <is>
          <t>Sim</t>
        </is>
      </c>
      <c r="P916" s="16" t="inlineStr">
        <is>
          <t>2-5 anos reclusão + multa</t>
        </is>
      </c>
    </row>
    <row r="917">
      <c r="A917" s="7" t="inlineStr">
        <is>
          <t>CP</t>
        </is>
      </c>
      <c r="B917" s="7" t="inlineStr">
        <is>
          <t>Art. 267</t>
        </is>
      </c>
      <c r="C917" s="16" t="inlineStr">
        <is>
          <t>Epidemia (causar epidemia mediante propagação de germes patogênicos)</t>
        </is>
      </c>
      <c r="D917" s="7" t="n">
        <v>120</v>
      </c>
      <c r="E917" s="7" t="n">
        <v>180</v>
      </c>
      <c r="F917" s="7" t="inlineStr">
        <is>
          <t>Reclusão</t>
        </is>
      </c>
      <c r="G917" s="7" t="inlineStr">
        <is>
          <t>Pública Incondicionada</t>
        </is>
      </c>
      <c r="H917" s="7" t="inlineStr">
        <is>
          <t>Não</t>
        </is>
      </c>
      <c r="I917" s="7" t="inlineStr">
        <is>
          <t>Doloso</t>
        </is>
      </c>
      <c r="J917" s="7" t="inlineStr">
        <is>
          <t>Sim</t>
        </is>
      </c>
      <c r="K917" s="7" t="inlineStr">
        <is>
          <t>Não</t>
        </is>
      </c>
      <c r="L917" s="7" t="inlineStr">
        <is>
          <t>Não</t>
        </is>
      </c>
      <c r="M917" s="7" t="inlineStr">
        <is>
          <t>Não</t>
        </is>
      </c>
      <c r="N917" s="7" t="inlineStr">
        <is>
          <t>Não</t>
        </is>
      </c>
      <c r="O917" s="7" t="inlineStr">
        <is>
          <t>Verificar</t>
        </is>
      </c>
      <c r="P917" s="16" t="inlineStr">
        <is>
          <t>10-15 anos reclusão. §1º: se resulta morte: em dobro. §2º: culposa: 1-2 anos detenção</t>
        </is>
      </c>
    </row>
    <row r="918">
      <c r="A918" s="17" t="inlineStr">
        <is>
          <t>CP</t>
        </is>
      </c>
      <c r="B918" s="17" t="inlineStr">
        <is>
          <t>Art. 267, §1º</t>
        </is>
      </c>
      <c r="C918" s="18" t="inlineStr">
        <is>
          <t>Epidemia com resultado morte</t>
        </is>
      </c>
      <c r="D918" s="17" t="n">
        <v>240</v>
      </c>
      <c r="E918" s="17" t="n">
        <v>360</v>
      </c>
      <c r="F918" s="17" t="inlineStr">
        <is>
          <t>Reclusão</t>
        </is>
      </c>
      <c r="G918" s="17" t="inlineStr">
        <is>
          <t>Pública Incondicionada</t>
        </is>
      </c>
      <c r="H918" s="17" t="inlineStr">
        <is>
          <t>Sim</t>
        </is>
      </c>
      <c r="I918" s="17" t="inlineStr">
        <is>
          <t>Preterdoloso</t>
        </is>
      </c>
      <c r="J918" s="17" t="inlineStr">
        <is>
          <t>Não</t>
        </is>
      </c>
      <c r="K918" s="17" t="inlineStr">
        <is>
          <t>Não</t>
        </is>
      </c>
      <c r="L918" s="17" t="inlineStr">
        <is>
          <t>Não</t>
        </is>
      </c>
      <c r="M918" s="17" t="inlineStr">
        <is>
          <t>Não</t>
        </is>
      </c>
      <c r="N918" s="17" t="inlineStr">
        <is>
          <t>Não</t>
        </is>
      </c>
      <c r="O918" s="17" t="inlineStr">
        <is>
          <t>Verificar</t>
        </is>
      </c>
      <c r="P918" s="18" t="inlineStr">
        <is>
          <t>20-30 anos reclusão. HEDIONDO (Lei 8.072/90, Art. 1º, VII). Pena em dobro</t>
        </is>
      </c>
    </row>
    <row r="919">
      <c r="A919" s="7" t="inlineStr">
        <is>
          <t>CP</t>
        </is>
      </c>
      <c r="B919" s="7" t="inlineStr">
        <is>
          <t>Art. 268</t>
        </is>
      </c>
      <c r="C919" s="16" t="inlineStr">
        <is>
          <t>Infração de medida sanitária preventiva (infringir determinação do poder público destinada a impedir introdução ou propagação de doença contagiosa)</t>
        </is>
      </c>
      <c r="D919" s="7" t="n">
        <v>1</v>
      </c>
      <c r="E919" s="7" t="n">
        <v>12</v>
      </c>
      <c r="F919" s="7" t="inlineStr">
        <is>
          <t>Detenção</t>
        </is>
      </c>
      <c r="G919" s="7" t="inlineStr">
        <is>
          <t>Pública Incondicionada</t>
        </is>
      </c>
      <c r="H919" s="7" t="inlineStr">
        <is>
          <t>Não</t>
        </is>
      </c>
      <c r="I919" s="7" t="inlineStr">
        <is>
          <t>Doloso</t>
        </is>
      </c>
      <c r="J919" s="7" t="inlineStr">
        <is>
          <t>Sim</t>
        </is>
      </c>
      <c r="K919" s="7" t="inlineStr">
        <is>
          <t>Não</t>
        </is>
      </c>
      <c r="L919" s="7" t="inlineStr">
        <is>
          <t>Não</t>
        </is>
      </c>
      <c r="M919" s="7" t="inlineStr">
        <is>
          <t>Sim</t>
        </is>
      </c>
      <c r="N919" s="7" t="inlineStr">
        <is>
          <t>Sim</t>
        </is>
      </c>
      <c r="O919" s="7" t="inlineStr">
        <is>
          <t>Sim</t>
        </is>
      </c>
      <c r="P919" s="16" t="inlineStr">
        <is>
          <t>1 mês a 1 ano detenção + multa. §único: aumento de 1/3 se funcionário da saúde pública ou exerce profissão de médico/farmacêutico/dentista/enfermeiro</t>
        </is>
      </c>
    </row>
    <row r="920">
      <c r="A920" s="7" t="inlineStr">
        <is>
          <t>CP</t>
        </is>
      </c>
      <c r="B920" s="7" t="inlineStr">
        <is>
          <t>Art. 269</t>
        </is>
      </c>
      <c r="C920" s="16" t="inlineStr">
        <is>
          <t>Omissão de notificação de doença (médico que deixa de denunciar à autoridade pública doença cuja notificação é compulsória)</t>
        </is>
      </c>
      <c r="D920" s="7" t="n">
        <v>6</v>
      </c>
      <c r="E920" s="7" t="n">
        <v>24</v>
      </c>
      <c r="F920" s="7" t="inlineStr">
        <is>
          <t>Detenção</t>
        </is>
      </c>
      <c r="G920" s="7" t="inlineStr">
        <is>
          <t>Pública Incondicionada</t>
        </is>
      </c>
      <c r="H920" s="7" t="inlineStr">
        <is>
          <t>Não</t>
        </is>
      </c>
      <c r="I920" s="7" t="inlineStr">
        <is>
          <t>Doloso</t>
        </is>
      </c>
      <c r="J920" s="7" t="inlineStr">
        <is>
          <t>Não</t>
        </is>
      </c>
      <c r="K920" s="7" t="inlineStr">
        <is>
          <t>Não</t>
        </is>
      </c>
      <c r="L920" s="7" t="inlineStr">
        <is>
          <t>Não</t>
        </is>
      </c>
      <c r="M920" s="7" t="inlineStr">
        <is>
          <t>Sim</t>
        </is>
      </c>
      <c r="N920" s="7" t="inlineStr">
        <is>
          <t>Sim</t>
        </is>
      </c>
      <c r="O920" s="7" t="inlineStr">
        <is>
          <t>Sim</t>
        </is>
      </c>
      <c r="P920" s="16" t="inlineStr">
        <is>
          <t>6 meses a 2 anos detenção + multa</t>
        </is>
      </c>
    </row>
    <row r="921">
      <c r="A921" s="26" t="inlineStr">
        <is>
          <t>CP</t>
        </is>
      </c>
      <c r="B921" s="26" t="inlineStr">
        <is>
          <t>Art. 270</t>
        </is>
      </c>
      <c r="C921" s="27" t="inlineStr">
        <is>
          <t>Envenenamento de água potável ou de substância alimentícia ou medicinal</t>
        </is>
      </c>
      <c r="D921" s="26" t="n">
        <v>120</v>
      </c>
      <c r="E921" s="26" t="n">
        <v>180</v>
      </c>
      <c r="F921" s="26" t="inlineStr">
        <is>
          <t>Reclusão</t>
        </is>
      </c>
      <c r="G921" s="26" t="inlineStr">
        <is>
          <t>Pública Incondicionada</t>
        </is>
      </c>
      <c r="H921" s="26" t="inlineStr">
        <is>
          <t>Não</t>
        </is>
      </c>
      <c r="I921" s="26" t="inlineStr">
        <is>
          <t>Doloso</t>
        </is>
      </c>
      <c r="J921" s="26" t="inlineStr">
        <is>
          <t>Sim</t>
        </is>
      </c>
      <c r="K921" s="26" t="inlineStr">
        <is>
          <t>Sim</t>
        </is>
      </c>
      <c r="L921" s="26" t="inlineStr">
        <is>
          <t>Não</t>
        </is>
      </c>
      <c r="M921" s="26" t="inlineStr">
        <is>
          <t>Não</t>
        </is>
      </c>
      <c r="N921" s="26" t="inlineStr">
        <is>
          <t>Não</t>
        </is>
      </c>
      <c r="O921" s="26" t="inlineStr">
        <is>
          <t>Verificar</t>
        </is>
      </c>
      <c r="P921" s="27" t="inlineStr">
        <is>
          <t>10-15 anos reclusão. §1º: culposa: 6m-2a detenção</t>
        </is>
      </c>
    </row>
    <row r="922">
      <c r="A922" s="7" t="inlineStr">
        <is>
          <t>CP</t>
        </is>
      </c>
      <c r="B922" s="7" t="inlineStr">
        <is>
          <t>Art. 271</t>
        </is>
      </c>
      <c r="C922" s="16" t="inlineStr">
        <is>
          <t>Corrupção/poluição de água potável (tornar imprestável para consumo ou nociva à saúde)</t>
        </is>
      </c>
      <c r="D922" s="7" t="n">
        <v>24</v>
      </c>
      <c r="E922" s="7" t="n">
        <v>60</v>
      </c>
      <c r="F922" s="7" t="inlineStr">
        <is>
          <t>Reclusão</t>
        </is>
      </c>
      <c r="G922" s="7" t="inlineStr">
        <is>
          <t>Pública Incondicionada</t>
        </is>
      </c>
      <c r="H922" s="7" t="inlineStr">
        <is>
          <t>Não</t>
        </is>
      </c>
      <c r="I922" s="7" t="inlineStr">
        <is>
          <t>Doloso</t>
        </is>
      </c>
      <c r="J922" s="7" t="inlineStr">
        <is>
          <t>Sim</t>
        </is>
      </c>
      <c r="K922" s="7" t="inlineStr">
        <is>
          <t>Não</t>
        </is>
      </c>
      <c r="L922" s="7" t="inlineStr">
        <is>
          <t>Não</t>
        </is>
      </c>
      <c r="M922" s="7" t="inlineStr">
        <is>
          <t>Sim</t>
        </is>
      </c>
      <c r="N922" s="7" t="inlineStr">
        <is>
          <t>Não</t>
        </is>
      </c>
      <c r="O922" s="7" t="inlineStr">
        <is>
          <t>Sim</t>
        </is>
      </c>
      <c r="P922" s="16" t="inlineStr">
        <is>
          <t>2-5 anos reclusão. §1º: culposa: 2m-1a detenção</t>
        </is>
      </c>
    </row>
    <row r="923">
      <c r="A923" s="7" t="inlineStr">
        <is>
          <t>CP</t>
        </is>
      </c>
      <c r="B923" s="7" t="inlineStr">
        <is>
          <t>Art. 272</t>
        </is>
      </c>
      <c r="C923" s="16" t="inlineStr">
        <is>
          <t>Falsificação/corrupção/adulteração/alteração de substância ou produto alimentício (tornar nocivo à saúde ou reduzir valor nutritivo)</t>
        </is>
      </c>
      <c r="D923" s="7" t="n">
        <v>48</v>
      </c>
      <c r="E923" s="7" t="n">
        <v>96</v>
      </c>
      <c r="F923" s="7" t="inlineStr">
        <is>
          <t>Reclusão</t>
        </is>
      </c>
      <c r="G923" s="7" t="inlineStr">
        <is>
          <t>Pública Incondicionada</t>
        </is>
      </c>
      <c r="H923" s="7" t="inlineStr">
        <is>
          <t>Não</t>
        </is>
      </c>
      <c r="I923" s="7" t="inlineStr">
        <is>
          <t>Doloso</t>
        </is>
      </c>
      <c r="J923" s="7" t="inlineStr">
        <is>
          <t>Sim</t>
        </is>
      </c>
      <c r="K923" s="7" t="inlineStr">
        <is>
          <t>Não</t>
        </is>
      </c>
      <c r="L923" s="7" t="inlineStr">
        <is>
          <t>Não</t>
        </is>
      </c>
      <c r="M923" s="7" t="inlineStr">
        <is>
          <t>Não</t>
        </is>
      </c>
      <c r="N923" s="7" t="inlineStr">
        <is>
          <t>Não</t>
        </is>
      </c>
      <c r="O923" s="7" t="inlineStr">
        <is>
          <t>Verificar</t>
        </is>
      </c>
      <c r="P923" s="16" t="inlineStr">
        <is>
          <t>4-8 anos reclusão + multa. Lei 9.677/98. §1º-A: se medicamento ou matéria-prima de medicamento</t>
        </is>
      </c>
    </row>
    <row r="924">
      <c r="A924" s="17" t="inlineStr">
        <is>
          <t>CP</t>
        </is>
      </c>
      <c r="B924" s="17" t="inlineStr">
        <is>
          <t>Art. 273</t>
        </is>
      </c>
      <c r="C924" s="18" t="inlineStr">
        <is>
          <t>Falsificação/corrupção/adulteração/alteração de produto destinado a fins terapêuticos ou medicinais</t>
        </is>
      </c>
      <c r="D924" s="17" t="n">
        <v>120</v>
      </c>
      <c r="E924" s="17" t="n">
        <v>180</v>
      </c>
      <c r="F924" s="17" t="inlineStr">
        <is>
          <t>Reclusão</t>
        </is>
      </c>
      <c r="G924" s="17" t="inlineStr">
        <is>
          <t>Pública Incondicionada</t>
        </is>
      </c>
      <c r="H924" s="17" t="inlineStr">
        <is>
          <t>Sim</t>
        </is>
      </c>
      <c r="I924" s="17" t="inlineStr">
        <is>
          <t>Doloso</t>
        </is>
      </c>
      <c r="J924" s="17" t="inlineStr">
        <is>
          <t>Sim</t>
        </is>
      </c>
      <c r="K924" s="17" t="inlineStr">
        <is>
          <t>Não</t>
        </is>
      </c>
      <c r="L924" s="17" t="inlineStr">
        <is>
          <t>Não</t>
        </is>
      </c>
      <c r="M924" s="17" t="inlineStr">
        <is>
          <t>Não</t>
        </is>
      </c>
      <c r="N924" s="17" t="inlineStr">
        <is>
          <t>Não</t>
        </is>
      </c>
      <c r="O924" s="17" t="inlineStr">
        <is>
          <t>Verificar</t>
        </is>
      </c>
      <c r="P924" s="18" t="inlineStr">
        <is>
          <t>10-15 anos reclusão + multa. HEDIONDO. Lei 9.677/98. §1º-B: inclui produtos sem registro na ANVISA, importados sem autorização, etc.</t>
        </is>
      </c>
    </row>
    <row r="925">
      <c r="A925" s="7" t="inlineStr">
        <is>
          <t>CP</t>
        </is>
      </c>
      <c r="B925" s="7" t="inlineStr">
        <is>
          <t>Art. 274</t>
        </is>
      </c>
      <c r="C925" s="16" t="inlineStr">
        <is>
          <t>Emprego de processo proibido ou de substância não permitida na fabricação de alimentos ou produtos</t>
        </is>
      </c>
      <c r="D925" s="7" t="n">
        <v>48</v>
      </c>
      <c r="E925" s="7" t="n">
        <v>96</v>
      </c>
      <c r="F925" s="7" t="inlineStr">
        <is>
          <t>Reclusão</t>
        </is>
      </c>
      <c r="G925" s="7" t="inlineStr">
        <is>
          <t>Pública Incondicionada</t>
        </is>
      </c>
      <c r="H925" s="7" t="inlineStr">
        <is>
          <t>Não</t>
        </is>
      </c>
      <c r="I925" s="7" t="inlineStr">
        <is>
          <t>Doloso</t>
        </is>
      </c>
      <c r="J925" s="7" t="inlineStr">
        <is>
          <t>Sim</t>
        </is>
      </c>
      <c r="K925" s="7" t="inlineStr">
        <is>
          <t>Não</t>
        </is>
      </c>
      <c r="L925" s="7" t="inlineStr">
        <is>
          <t>Não</t>
        </is>
      </c>
      <c r="M925" s="7" t="inlineStr">
        <is>
          <t>Não</t>
        </is>
      </c>
      <c r="N925" s="7" t="inlineStr">
        <is>
          <t>Não</t>
        </is>
      </c>
      <c r="O925" s="7" t="inlineStr">
        <is>
          <t>Verificar</t>
        </is>
      </c>
      <c r="P925" s="16" t="inlineStr">
        <is>
          <t>4-8 anos reclusão + multa. Incluindo conservação de produtos alimentícios</t>
        </is>
      </c>
    </row>
    <row r="926">
      <c r="A926" s="7" t="inlineStr">
        <is>
          <t>CP</t>
        </is>
      </c>
      <c r="B926" s="7" t="inlineStr">
        <is>
          <t>Art. 275</t>
        </is>
      </c>
      <c r="C926" s="16" t="inlineStr">
        <is>
          <t>Invólucro ou recipiente com falsa indicação (inculcar em invólucro/recipiente de produto alimentício/terapêutico indicação falsa sobre natureza/qualidade/procedência)</t>
        </is>
      </c>
      <c r="D926" s="7" t="n">
        <v>48</v>
      </c>
      <c r="E926" s="7" t="n">
        <v>96</v>
      </c>
      <c r="F926" s="7" t="inlineStr">
        <is>
          <t>Reclusão</t>
        </is>
      </c>
      <c r="G926" s="7" t="inlineStr">
        <is>
          <t>Pública Incondicionada</t>
        </is>
      </c>
      <c r="H926" s="7" t="inlineStr">
        <is>
          <t>Não</t>
        </is>
      </c>
      <c r="I926" s="7" t="inlineStr">
        <is>
          <t>Doloso</t>
        </is>
      </c>
      <c r="J926" s="7" t="inlineStr">
        <is>
          <t>Sim</t>
        </is>
      </c>
      <c r="K926" s="7" t="inlineStr">
        <is>
          <t>Não</t>
        </is>
      </c>
      <c r="L926" s="7" t="inlineStr">
        <is>
          <t>Não</t>
        </is>
      </c>
      <c r="M926" s="7" t="inlineStr">
        <is>
          <t>Não</t>
        </is>
      </c>
      <c r="N926" s="7" t="inlineStr">
        <is>
          <t>Não</t>
        </is>
      </c>
      <c r="O926" s="7" t="inlineStr">
        <is>
          <t>Verificar</t>
        </is>
      </c>
      <c r="P926" s="16" t="inlineStr">
        <is>
          <t>4-8 anos reclusão + multa</t>
        </is>
      </c>
    </row>
    <row r="927">
      <c r="A927" s="7" t="inlineStr">
        <is>
          <t>CP</t>
        </is>
      </c>
      <c r="B927" s="7" t="inlineStr">
        <is>
          <t>Art. 276</t>
        </is>
      </c>
      <c r="C927" s="16" t="inlineStr">
        <is>
          <t>Produto ou substância nas condições dos Arts. 274/275 — vender/expor à venda/ter em depósito para vender</t>
        </is>
      </c>
      <c r="D927" s="7" t="n">
        <v>48</v>
      </c>
      <c r="E927" s="7" t="n">
        <v>96</v>
      </c>
      <c r="F927" s="7" t="inlineStr">
        <is>
          <t>Reclusão</t>
        </is>
      </c>
      <c r="G927" s="7" t="inlineStr">
        <is>
          <t>Pública Incondicionada</t>
        </is>
      </c>
      <c r="H927" s="7" t="inlineStr">
        <is>
          <t>Não</t>
        </is>
      </c>
      <c r="I927" s="7" t="inlineStr">
        <is>
          <t>Doloso</t>
        </is>
      </c>
      <c r="J927" s="7" t="inlineStr">
        <is>
          <t>Sim</t>
        </is>
      </c>
      <c r="K927" s="7" t="inlineStr">
        <is>
          <t>Não</t>
        </is>
      </c>
      <c r="L927" s="7" t="inlineStr">
        <is>
          <t>Não</t>
        </is>
      </c>
      <c r="M927" s="7" t="inlineStr">
        <is>
          <t>Não</t>
        </is>
      </c>
      <c r="N927" s="7" t="inlineStr">
        <is>
          <t>Não</t>
        </is>
      </c>
      <c r="O927" s="7" t="inlineStr">
        <is>
          <t>Verificar</t>
        </is>
      </c>
      <c r="P927" s="16" t="inlineStr">
        <is>
          <t>4-8 anos reclusão + multa</t>
        </is>
      </c>
    </row>
    <row r="928">
      <c r="A928" s="7" t="inlineStr">
        <is>
          <t>CP</t>
        </is>
      </c>
      <c r="B928" s="7" t="inlineStr">
        <is>
          <t>Art. 278</t>
        </is>
      </c>
      <c r="C928" s="16" t="inlineStr">
        <is>
          <t>Outras substâncias nocivas à saúde pública (fabricar/vender/expor ou ter em depósito substância nociva à saúde)</t>
        </is>
      </c>
      <c r="D928" s="7" t="n">
        <v>12</v>
      </c>
      <c r="E928" s="7" t="n">
        <v>36</v>
      </c>
      <c r="F928" s="7" t="inlineStr">
        <is>
          <t>Detenção</t>
        </is>
      </c>
      <c r="G928" s="7" t="inlineStr">
        <is>
          <t>Pública Incondicionada</t>
        </is>
      </c>
      <c r="H928" s="7" t="inlineStr">
        <is>
          <t>Não</t>
        </is>
      </c>
      <c r="I928" s="7" t="inlineStr">
        <is>
          <t>Doloso</t>
        </is>
      </c>
      <c r="J928" s="7" t="inlineStr">
        <is>
          <t>Sim</t>
        </is>
      </c>
      <c r="K928" s="7" t="inlineStr">
        <is>
          <t>Não</t>
        </is>
      </c>
      <c r="L928" s="7" t="inlineStr">
        <is>
          <t>Não</t>
        </is>
      </c>
      <c r="M928" s="7" t="inlineStr">
        <is>
          <t>Sim</t>
        </is>
      </c>
      <c r="N928" s="7" t="inlineStr">
        <is>
          <t>Sim</t>
        </is>
      </c>
      <c r="O928" s="7" t="inlineStr">
        <is>
          <t>Sim</t>
        </is>
      </c>
      <c r="P928" s="16" t="inlineStr">
        <is>
          <t>1-3 anos detenção + multa</t>
        </is>
      </c>
    </row>
    <row r="929">
      <c r="A929" s="7" t="inlineStr">
        <is>
          <t>CP</t>
        </is>
      </c>
      <c r="B929" s="7" t="inlineStr">
        <is>
          <t>Art. 280</t>
        </is>
      </c>
      <c r="C929" s="16" t="inlineStr">
        <is>
          <t>Medicamento em desacordo com receita médica (fornecer substância medicinal em desacordo com receita, em qualidade/quantidade diferente)</t>
        </is>
      </c>
      <c r="D929" s="7" t="n">
        <v>12</v>
      </c>
      <c r="E929" s="7" t="n">
        <v>36</v>
      </c>
      <c r="F929" s="7" t="inlineStr">
        <is>
          <t>Detenção</t>
        </is>
      </c>
      <c r="G929" s="7" t="inlineStr">
        <is>
          <t>Pública Incondicionada</t>
        </is>
      </c>
      <c r="H929" s="7" t="inlineStr">
        <is>
          <t>Não</t>
        </is>
      </c>
      <c r="I929" s="7" t="inlineStr">
        <is>
          <t>Doloso</t>
        </is>
      </c>
      <c r="J929" s="7" t="inlineStr">
        <is>
          <t>Sim</t>
        </is>
      </c>
      <c r="K929" s="7" t="inlineStr">
        <is>
          <t>Não</t>
        </is>
      </c>
      <c r="L929" s="7" t="inlineStr">
        <is>
          <t>Não</t>
        </is>
      </c>
      <c r="M929" s="7" t="inlineStr">
        <is>
          <t>Sim</t>
        </is>
      </c>
      <c r="N929" s="7" t="inlineStr">
        <is>
          <t>Sim</t>
        </is>
      </c>
      <c r="O929" s="7" t="inlineStr">
        <is>
          <t>Sim</t>
        </is>
      </c>
      <c r="P929" s="16" t="inlineStr">
        <is>
          <t>1-3 anos detenção + multa. §único: culposo: 2m-1a detenção</t>
        </is>
      </c>
    </row>
    <row r="930">
      <c r="A930" s="7" t="inlineStr">
        <is>
          <t>CP</t>
        </is>
      </c>
      <c r="B930" s="7" t="inlineStr">
        <is>
          <t>Art. 282</t>
        </is>
      </c>
      <c r="C930" s="16" t="inlineStr">
        <is>
          <t>Exercício ilegal da medicina, arte dentária ou farmacêutica (sem autorização legal ou excedendo-lhe limites)</t>
        </is>
      </c>
      <c r="D930" s="7" t="n">
        <v>6</v>
      </c>
      <c r="E930" s="7" t="n">
        <v>24</v>
      </c>
      <c r="F930" s="7" t="inlineStr">
        <is>
          <t>Detenção</t>
        </is>
      </c>
      <c r="G930" s="7" t="inlineStr">
        <is>
          <t>Pública Incondicionada</t>
        </is>
      </c>
      <c r="H930" s="7" t="inlineStr">
        <is>
          <t>Não</t>
        </is>
      </c>
      <c r="I930" s="7" t="inlineStr">
        <is>
          <t>Doloso</t>
        </is>
      </c>
      <c r="J930" s="7" t="inlineStr">
        <is>
          <t>Sim</t>
        </is>
      </c>
      <c r="K930" s="7" t="inlineStr">
        <is>
          <t>Não</t>
        </is>
      </c>
      <c r="L930" s="7" t="inlineStr">
        <is>
          <t>Não</t>
        </is>
      </c>
      <c r="M930" s="7" t="inlineStr">
        <is>
          <t>Sim</t>
        </is>
      </c>
      <c r="N930" s="7" t="inlineStr">
        <is>
          <t>Sim</t>
        </is>
      </c>
      <c r="O930" s="7" t="inlineStr">
        <is>
          <t>Sim</t>
        </is>
      </c>
      <c r="P930" s="16" t="inlineStr">
        <is>
          <t>6 meses a 2 anos detenção + multa. §1º: se usurpar função de médico com fim de lucro: 1-3 anos</t>
        </is>
      </c>
    </row>
    <row r="931">
      <c r="A931" s="7" t="inlineStr">
        <is>
          <t>CP</t>
        </is>
      </c>
      <c r="B931" s="7" t="inlineStr">
        <is>
          <t>Art. 283</t>
        </is>
      </c>
      <c r="C931" s="16" t="inlineStr">
        <is>
          <t>Charlatanismo (inculcar ou anunciar cura por meio secreto ou infalível)</t>
        </is>
      </c>
      <c r="D931" s="7" t="n">
        <v>3</v>
      </c>
      <c r="E931" s="7" t="n">
        <v>12</v>
      </c>
      <c r="F931" s="7" t="inlineStr">
        <is>
          <t>Detenção</t>
        </is>
      </c>
      <c r="G931" s="7" t="inlineStr">
        <is>
          <t>Pública Incondicionada</t>
        </is>
      </c>
      <c r="H931" s="7" t="inlineStr">
        <is>
          <t>Não</t>
        </is>
      </c>
      <c r="I931" s="7" t="inlineStr">
        <is>
          <t>Doloso</t>
        </is>
      </c>
      <c r="J931" s="7" t="inlineStr">
        <is>
          <t>Sim</t>
        </is>
      </c>
      <c r="K931" s="7" t="inlineStr">
        <is>
          <t>Não</t>
        </is>
      </c>
      <c r="L931" s="7" t="inlineStr">
        <is>
          <t>Não</t>
        </is>
      </c>
      <c r="M931" s="7" t="inlineStr">
        <is>
          <t>Sim</t>
        </is>
      </c>
      <c r="N931" s="7" t="inlineStr">
        <is>
          <t>Sim</t>
        </is>
      </c>
      <c r="O931" s="7" t="inlineStr">
        <is>
          <t>Sim</t>
        </is>
      </c>
      <c r="P931" s="16" t="inlineStr">
        <is>
          <t>3 meses a 1 ano detenção + multa</t>
        </is>
      </c>
    </row>
    <row r="932">
      <c r="A932" s="7" t="inlineStr">
        <is>
          <t>CP</t>
        </is>
      </c>
      <c r="B932" s="7" t="inlineStr">
        <is>
          <t>Art. 284</t>
        </is>
      </c>
      <c r="C932" s="16" t="inlineStr">
        <is>
          <t>Curandeirismo (exercer curandeirismo: prescrever/administrar/aplicar substâncias, usar gestos/palavras/qualquer ato, fazer diagnósticos)</t>
        </is>
      </c>
      <c r="D932" s="7" t="n">
        <v>6</v>
      </c>
      <c r="E932" s="7" t="n">
        <v>24</v>
      </c>
      <c r="F932" s="7" t="inlineStr">
        <is>
          <t>Detenção</t>
        </is>
      </c>
      <c r="G932" s="7" t="inlineStr">
        <is>
          <t>Pública Incondicionada</t>
        </is>
      </c>
      <c r="H932" s="7" t="inlineStr">
        <is>
          <t>Não</t>
        </is>
      </c>
      <c r="I932" s="7" t="inlineStr">
        <is>
          <t>Doloso</t>
        </is>
      </c>
      <c r="J932" s="7" t="inlineStr">
        <is>
          <t>Sim</t>
        </is>
      </c>
      <c r="K932" s="7" t="inlineStr">
        <is>
          <t>Não</t>
        </is>
      </c>
      <c r="L932" s="7" t="inlineStr">
        <is>
          <t>Não</t>
        </is>
      </c>
      <c r="M932" s="7" t="inlineStr">
        <is>
          <t>Sim</t>
        </is>
      </c>
      <c r="N932" s="7" t="inlineStr">
        <is>
          <t>Sim</t>
        </is>
      </c>
      <c r="O932" s="7" t="inlineStr">
        <is>
          <t>Sim</t>
        </is>
      </c>
      <c r="P932" s="16" t="inlineStr">
        <is>
          <t>6 meses a 2 anos detenção + multa. §único: aumento de 1/3 se medicar mediante remuneração</t>
        </is>
      </c>
    </row>
    <row r="933">
      <c r="A933" s="7" t="inlineStr">
        <is>
          <t>CP</t>
        </is>
      </c>
      <c r="B933" s="7" t="inlineStr">
        <is>
          <t>Art. 313</t>
        </is>
      </c>
      <c r="C933" s="16" t="inlineStr">
        <is>
          <t>Peculato mediante erro de outrem (apropriação de valor ou qualquer outra coisa que recebe, por erro de outrem, no exercício do cargo)</t>
        </is>
      </c>
      <c r="D933" s="7" t="n">
        <v>12</v>
      </c>
      <c r="E933" s="7" t="n">
        <v>48</v>
      </c>
      <c r="F933" s="7" t="inlineStr">
        <is>
          <t>Reclusão</t>
        </is>
      </c>
      <c r="G933" s="7" t="inlineStr">
        <is>
          <t>Pública Incondicionada</t>
        </is>
      </c>
      <c r="H933" s="7" t="inlineStr">
        <is>
          <t>Não</t>
        </is>
      </c>
      <c r="I933" s="7" t="inlineStr">
        <is>
          <t>Doloso</t>
        </is>
      </c>
      <c r="J933" s="7" t="inlineStr">
        <is>
          <t>Sim</t>
        </is>
      </c>
      <c r="K933" s="7" t="inlineStr">
        <is>
          <t>Não</t>
        </is>
      </c>
      <c r="L933" s="7" t="inlineStr">
        <is>
          <t>Não</t>
        </is>
      </c>
      <c r="M933" s="7" t="inlineStr">
        <is>
          <t>Sim</t>
        </is>
      </c>
      <c r="N933" s="7" t="inlineStr">
        <is>
          <t>Sim</t>
        </is>
      </c>
      <c r="O933" s="7" t="inlineStr">
        <is>
          <t>Sim</t>
        </is>
      </c>
      <c r="P933" s="16" t="inlineStr">
        <is>
          <t>1-4 anos reclusão + multa</t>
        </is>
      </c>
    </row>
    <row r="934">
      <c r="A934" s="7" t="inlineStr">
        <is>
          <t>CP</t>
        </is>
      </c>
      <c r="B934" s="7" t="inlineStr">
        <is>
          <t>Art. 313-A</t>
        </is>
      </c>
      <c r="C934" s="16" t="inlineStr">
        <is>
          <t>Inserção de dados falsos em sistema de informações (inserir/facilitar inserção de dados falsos, alterar/excluir indevidamente dados em sistema informatizado/banco de dados da Administração Pública)</t>
        </is>
      </c>
      <c r="D934" s="7" t="n">
        <v>24</v>
      </c>
      <c r="E934" s="7" t="n">
        <v>144</v>
      </c>
      <c r="F934" s="7" t="inlineStr">
        <is>
          <t>Reclusão</t>
        </is>
      </c>
      <c r="G934" s="7" t="inlineStr">
        <is>
          <t>Pública Incondicionada</t>
        </is>
      </c>
      <c r="H934" s="7" t="inlineStr">
        <is>
          <t>Não</t>
        </is>
      </c>
      <c r="I934" s="7" t="inlineStr">
        <is>
          <t>Doloso</t>
        </is>
      </c>
      <c r="J934" s="7" t="inlineStr">
        <is>
          <t>Sim</t>
        </is>
      </c>
      <c r="K934" s="7" t="inlineStr">
        <is>
          <t>Não</t>
        </is>
      </c>
      <c r="L934" s="7" t="inlineStr">
        <is>
          <t>Não</t>
        </is>
      </c>
      <c r="M934" s="7" t="inlineStr">
        <is>
          <t>Sim</t>
        </is>
      </c>
      <c r="N934" s="7" t="inlineStr">
        <is>
          <t>Não</t>
        </is>
      </c>
      <c r="O934" s="7" t="inlineStr">
        <is>
          <t>Sim</t>
        </is>
      </c>
      <c r="P934" s="16" t="inlineStr">
        <is>
          <t>2-12 anos reclusão + multa</t>
        </is>
      </c>
    </row>
    <row r="935">
      <c r="A935" s="7" t="inlineStr">
        <is>
          <t>CP</t>
        </is>
      </c>
      <c r="B935" s="7" t="inlineStr">
        <is>
          <t>Art. 313-B</t>
        </is>
      </c>
      <c r="C935" s="16" t="inlineStr">
        <is>
          <t>Modificação ou alteração não autorizada de sistema de informações (modificar/alterar sistema de informações/programa de informática sem autorização ou solicitação da autoridade competente)</t>
        </is>
      </c>
      <c r="D935" s="7" t="n">
        <v>3</v>
      </c>
      <c r="E935" s="7" t="n">
        <v>24</v>
      </c>
      <c r="F935" s="7" t="inlineStr">
        <is>
          <t>Detenção</t>
        </is>
      </c>
      <c r="G935" s="7" t="inlineStr">
        <is>
          <t>Pública Incondicionada</t>
        </is>
      </c>
      <c r="H935" s="7" t="inlineStr">
        <is>
          <t>Não</t>
        </is>
      </c>
      <c r="I935" s="7" t="inlineStr">
        <is>
          <t>Doloso</t>
        </is>
      </c>
      <c r="J935" s="7" t="inlineStr">
        <is>
          <t>Sim</t>
        </is>
      </c>
      <c r="K935" s="7" t="inlineStr">
        <is>
          <t>Não</t>
        </is>
      </c>
      <c r="L935" s="7" t="inlineStr">
        <is>
          <t>Não</t>
        </is>
      </c>
      <c r="M935" s="7" t="inlineStr">
        <is>
          <t>Sim</t>
        </is>
      </c>
      <c r="N935" s="7" t="inlineStr">
        <is>
          <t>Sim</t>
        </is>
      </c>
      <c r="O935" s="7" t="inlineStr">
        <is>
          <t>Sim</t>
        </is>
      </c>
      <c r="P935" s="16" t="inlineStr">
        <is>
          <t>3 meses a 2 anos detenção + multa. §único: aumento de 1/3 a 1/2 se resulta dano ou vantagem indevida</t>
        </is>
      </c>
    </row>
    <row r="936">
      <c r="A936" s="7" t="inlineStr">
        <is>
          <t>CP</t>
        </is>
      </c>
      <c r="B936" s="7" t="inlineStr">
        <is>
          <t>Art. 314</t>
        </is>
      </c>
      <c r="C936" s="16" t="inlineStr">
        <is>
          <t>Extravio/sonegação/inutilização de livro ou documento (extraviar livro oficial ou qualquer documento de que tem a guarda em razão do cargo)</t>
        </is>
      </c>
      <c r="D936" s="7" t="n">
        <v>12</v>
      </c>
      <c r="E936" s="7" t="n">
        <v>48</v>
      </c>
      <c r="F936" s="7" t="inlineStr">
        <is>
          <t>Reclusão</t>
        </is>
      </c>
      <c r="G936" s="7" t="inlineStr">
        <is>
          <t>Pública Incondicionada</t>
        </is>
      </c>
      <c r="H936" s="7" t="inlineStr">
        <is>
          <t>Não</t>
        </is>
      </c>
      <c r="I936" s="7" t="inlineStr">
        <is>
          <t>Doloso</t>
        </is>
      </c>
      <c r="J936" s="7" t="inlineStr">
        <is>
          <t>Sim</t>
        </is>
      </c>
      <c r="K936" s="7" t="inlineStr">
        <is>
          <t>Não</t>
        </is>
      </c>
      <c r="L936" s="7" t="inlineStr">
        <is>
          <t>Não</t>
        </is>
      </c>
      <c r="M936" s="7" t="inlineStr">
        <is>
          <t>Sim</t>
        </is>
      </c>
      <c r="N936" s="7" t="inlineStr">
        <is>
          <t>Sim</t>
        </is>
      </c>
      <c r="O936" s="7" t="inlineStr">
        <is>
          <t>Sim</t>
        </is>
      </c>
      <c r="P936" s="16" t="inlineStr">
        <is>
          <t>1-4 anos reclusão. Se dolosa: 1-4 anos reclusão. Se culposa: 3m-1a detenção</t>
        </is>
      </c>
    </row>
    <row r="937">
      <c r="A937" s="7" t="inlineStr">
        <is>
          <t>CP</t>
        </is>
      </c>
      <c r="B937" s="7" t="inlineStr">
        <is>
          <t>Art. 315</t>
        </is>
      </c>
      <c r="C937" s="16" t="inlineStr">
        <is>
          <t>Emprego irregular de verbas ou rendas públicas (dar às verbas/rendas públicas aplicação diversa da estabelecida em lei)</t>
        </is>
      </c>
      <c r="D937" s="7" t="n">
        <v>1</v>
      </c>
      <c r="E937" s="7" t="n">
        <v>3</v>
      </c>
      <c r="F937" s="7" t="inlineStr">
        <is>
          <t>Detenção</t>
        </is>
      </c>
      <c r="G937" s="7" t="inlineStr">
        <is>
          <t>Pública Incondicionada</t>
        </is>
      </c>
      <c r="H937" s="7" t="inlineStr">
        <is>
          <t>Não</t>
        </is>
      </c>
      <c r="I937" s="7" t="inlineStr">
        <is>
          <t>Doloso</t>
        </is>
      </c>
      <c r="J937" s="7" t="inlineStr">
        <is>
          <t>Sim</t>
        </is>
      </c>
      <c r="K937" s="7" t="inlineStr">
        <is>
          <t>Não</t>
        </is>
      </c>
      <c r="L937" s="7" t="inlineStr">
        <is>
          <t>Não</t>
        </is>
      </c>
      <c r="M937" s="7" t="inlineStr">
        <is>
          <t>Sim</t>
        </is>
      </c>
      <c r="N937" s="7" t="inlineStr">
        <is>
          <t>Sim</t>
        </is>
      </c>
      <c r="O937" s="7" t="inlineStr">
        <is>
          <t>Sim</t>
        </is>
      </c>
      <c r="P937" s="16" t="inlineStr">
        <is>
          <t>1-3 meses detenção + perda do cargo</t>
        </is>
      </c>
    </row>
    <row r="938">
      <c r="A938" s="7" t="inlineStr">
        <is>
          <t>CP</t>
        </is>
      </c>
      <c r="B938" s="7" t="inlineStr">
        <is>
          <t>Art. 318</t>
        </is>
      </c>
      <c r="C938" s="16" t="inlineStr">
        <is>
          <t>Facilitação de contrabando ou descaminho (funcionário público que facilita com infração de dever funcional a prática de contrabando ou descaminho)</t>
        </is>
      </c>
      <c r="D938" s="7" t="n">
        <v>36</v>
      </c>
      <c r="E938" s="7" t="n">
        <v>96</v>
      </c>
      <c r="F938" s="7" t="inlineStr">
        <is>
          <t>Reclusão</t>
        </is>
      </c>
      <c r="G938" s="7" t="inlineStr">
        <is>
          <t>Pública Incondicionada</t>
        </is>
      </c>
      <c r="H938" s="7" t="inlineStr">
        <is>
          <t>Não</t>
        </is>
      </c>
      <c r="I938" s="7" t="inlineStr">
        <is>
          <t>Doloso</t>
        </is>
      </c>
      <c r="J938" s="7" t="inlineStr">
        <is>
          <t>Sim</t>
        </is>
      </c>
      <c r="K938" s="7" t="inlineStr">
        <is>
          <t>Não</t>
        </is>
      </c>
      <c r="L938" s="7" t="inlineStr">
        <is>
          <t>Não</t>
        </is>
      </c>
      <c r="M938" s="7" t="inlineStr">
        <is>
          <t>Sim</t>
        </is>
      </c>
      <c r="N938" s="7" t="inlineStr">
        <is>
          <t>Não</t>
        </is>
      </c>
      <c r="O938" s="7" t="inlineStr">
        <is>
          <t>Verificar</t>
        </is>
      </c>
      <c r="P938" s="16" t="inlineStr">
        <is>
          <t>3-8 anos reclusão</t>
        </is>
      </c>
    </row>
    <row r="939">
      <c r="A939" s="7" t="inlineStr">
        <is>
          <t>CP</t>
        </is>
      </c>
      <c r="B939" s="7" t="inlineStr">
        <is>
          <t>Art. 318-A</t>
        </is>
      </c>
      <c r="C939" s="16" t="inlineStr">
        <is>
          <t>Facilitação de importação de droga por agente público (importar/exportar/fazer transitar drogas por meio de aeronaves/embarcações/transporte com utilização de atribuição do cargo)</t>
        </is>
      </c>
      <c r="D939" s="7" t="n">
        <v>36</v>
      </c>
      <c r="E939" s="7" t="n">
        <v>96</v>
      </c>
      <c r="F939" s="7" t="inlineStr">
        <is>
          <t>Reclusão</t>
        </is>
      </c>
      <c r="G939" s="7" t="inlineStr">
        <is>
          <t>Pública Incondicionada</t>
        </is>
      </c>
      <c r="H939" s="7" t="inlineStr">
        <is>
          <t>Não</t>
        </is>
      </c>
      <c r="I939" s="7" t="inlineStr">
        <is>
          <t>Doloso</t>
        </is>
      </c>
      <c r="J939" s="7" t="inlineStr">
        <is>
          <t>Sim</t>
        </is>
      </c>
      <c r="K939" s="7" t="inlineStr">
        <is>
          <t>Não</t>
        </is>
      </c>
      <c r="L939" s="7" t="inlineStr">
        <is>
          <t>Não</t>
        </is>
      </c>
      <c r="M939" s="7" t="inlineStr">
        <is>
          <t>Sim</t>
        </is>
      </c>
      <c r="N939" s="7" t="inlineStr">
        <is>
          <t>Não</t>
        </is>
      </c>
      <c r="O939" s="7" t="inlineStr">
        <is>
          <t>Verificar</t>
        </is>
      </c>
      <c r="P939" s="16" t="inlineStr">
        <is>
          <t>3-8 anos reclusão</t>
        </is>
      </c>
    </row>
    <row r="940">
      <c r="A940" s="7" t="inlineStr">
        <is>
          <t>CP</t>
        </is>
      </c>
      <c r="B940" s="7" t="inlineStr">
        <is>
          <t>Art. 319</t>
        </is>
      </c>
      <c r="C940" s="16" t="inlineStr">
        <is>
          <t>Prevaricação (retardar/deixar de praticar/praticar indevidamente ato de ofício ou praticá-lo contra disposição expressa de lei para satisfazer interesse/sentimento pessoal)</t>
        </is>
      </c>
      <c r="D940" s="7" t="n">
        <v>3</v>
      </c>
      <c r="E940" s="7" t="n">
        <v>12</v>
      </c>
      <c r="F940" s="7" t="inlineStr">
        <is>
          <t>Detenção</t>
        </is>
      </c>
      <c r="G940" s="7" t="inlineStr">
        <is>
          <t>Pública Incondicionada</t>
        </is>
      </c>
      <c r="H940" s="7" t="inlineStr">
        <is>
          <t>Não</t>
        </is>
      </c>
      <c r="I940" s="7" t="inlineStr">
        <is>
          <t>Doloso</t>
        </is>
      </c>
      <c r="J940" s="7" t="inlineStr">
        <is>
          <t>Sim</t>
        </is>
      </c>
      <c r="K940" s="7" t="inlineStr">
        <is>
          <t>Não</t>
        </is>
      </c>
      <c r="L940" s="7" t="inlineStr">
        <is>
          <t>Não</t>
        </is>
      </c>
      <c r="M940" s="7" t="inlineStr">
        <is>
          <t>Sim</t>
        </is>
      </c>
      <c r="N940" s="7" t="inlineStr">
        <is>
          <t>Sim</t>
        </is>
      </c>
      <c r="O940" s="7" t="inlineStr">
        <is>
          <t>Sim</t>
        </is>
      </c>
      <c r="P940" s="16" t="inlineStr">
        <is>
          <t>3 meses a 1 ano detenção + multa</t>
        </is>
      </c>
    </row>
    <row r="941">
      <c r="A941" s="7" t="inlineStr">
        <is>
          <t>CP</t>
        </is>
      </c>
      <c r="B941" s="7" t="inlineStr">
        <is>
          <t>Art. 319-A</t>
        </is>
      </c>
      <c r="C941" s="16" t="inlineStr">
        <is>
          <t>Prevaricação imprópria (permitir preso/internado utilizar celular ou meio eletrônico de comunicação em presídio/estabelecimento penal — funcionário público que permite ou dá acesso)</t>
        </is>
      </c>
      <c r="D941" s="7" t="n">
        <v>3</v>
      </c>
      <c r="E941" s="7" t="n">
        <v>12</v>
      </c>
      <c r="F941" s="7" t="inlineStr">
        <is>
          <t>Detenção</t>
        </is>
      </c>
      <c r="G941" s="7" t="inlineStr">
        <is>
          <t>Pública Incondicionada</t>
        </is>
      </c>
      <c r="H941" s="7" t="inlineStr">
        <is>
          <t>Não</t>
        </is>
      </c>
      <c r="I941" s="7" t="inlineStr">
        <is>
          <t>Doloso</t>
        </is>
      </c>
      <c r="J941" s="7" t="inlineStr">
        <is>
          <t>Sim</t>
        </is>
      </c>
      <c r="K941" s="7" t="inlineStr">
        <is>
          <t>Não</t>
        </is>
      </c>
      <c r="L941" s="7" t="inlineStr">
        <is>
          <t>Não</t>
        </is>
      </c>
      <c r="M941" s="7" t="inlineStr">
        <is>
          <t>Sim</t>
        </is>
      </c>
      <c r="N941" s="7" t="inlineStr">
        <is>
          <t>Sim</t>
        </is>
      </c>
      <c r="O941" s="7" t="inlineStr">
        <is>
          <t>Sim</t>
        </is>
      </c>
      <c r="P941" s="16" t="inlineStr">
        <is>
          <t>3 meses a 1 ano detenção</t>
        </is>
      </c>
    </row>
    <row r="942">
      <c r="A942" s="7" t="inlineStr">
        <is>
          <t>CP</t>
        </is>
      </c>
      <c r="B942" s="7" t="inlineStr">
        <is>
          <t>Art. 320</t>
        </is>
      </c>
      <c r="C942" s="16" t="inlineStr">
        <is>
          <t>Condescendência criminosa (funcionário público que deixa de responsabilizar subordinado que cometeu infração no exercício do cargo, ou quando lhe falte competência, não leva o fato ao conhecimento da autoridade competente)</t>
        </is>
      </c>
      <c r="D942" s="7" t="n">
        <v>15</v>
      </c>
      <c r="E942" s="7" t="n">
        <v>1</v>
      </c>
      <c r="F942" s="7" t="inlineStr">
        <is>
          <t>Detenção</t>
        </is>
      </c>
      <c r="G942" s="7" t="inlineStr">
        <is>
          <t>Pública Incondicionada</t>
        </is>
      </c>
      <c r="H942" s="7" t="inlineStr">
        <is>
          <t>Não</t>
        </is>
      </c>
      <c r="I942" s="7" t="inlineStr">
        <is>
          <t>Doloso</t>
        </is>
      </c>
      <c r="J942" s="7" t="inlineStr">
        <is>
          <t>Sim</t>
        </is>
      </c>
      <c r="K942" s="7" t="inlineStr">
        <is>
          <t>Não</t>
        </is>
      </c>
      <c r="L942" s="7" t="inlineStr">
        <is>
          <t>Não</t>
        </is>
      </c>
      <c r="M942" s="7" t="inlineStr">
        <is>
          <t>Sim</t>
        </is>
      </c>
      <c r="N942" s="7" t="inlineStr">
        <is>
          <t>Não</t>
        </is>
      </c>
      <c r="O942" s="7" t="inlineStr">
        <is>
          <t>Sim</t>
        </is>
      </c>
      <c r="P942" s="16" t="inlineStr">
        <is>
          <t>15 dias a 1 mês detenção</t>
        </is>
      </c>
    </row>
    <row r="943">
      <c r="A943" s="7" t="inlineStr">
        <is>
          <t>CP</t>
        </is>
      </c>
      <c r="B943" s="7" t="inlineStr">
        <is>
          <t>Art. 321</t>
        </is>
      </c>
      <c r="C943" s="16" t="inlineStr">
        <is>
          <t>Advocacia administrativa (patrocinar interesse privado perante a administração pública, valendo-se da qualidade de funcionário)</t>
        </is>
      </c>
      <c r="D943" s="7" t="n">
        <v>1</v>
      </c>
      <c r="E943" s="7" t="n">
        <v>3</v>
      </c>
      <c r="F943" s="7" t="inlineStr">
        <is>
          <t>Detenção</t>
        </is>
      </c>
      <c r="G943" s="7" t="inlineStr">
        <is>
          <t>Pública Incondicionada</t>
        </is>
      </c>
      <c r="H943" s="7" t="inlineStr">
        <is>
          <t>Não</t>
        </is>
      </c>
      <c r="I943" s="7" t="inlineStr">
        <is>
          <t>Doloso</t>
        </is>
      </c>
      <c r="J943" s="7" t="inlineStr">
        <is>
          <t>Sim</t>
        </is>
      </c>
      <c r="K943" s="7" t="inlineStr">
        <is>
          <t>Não</t>
        </is>
      </c>
      <c r="L943" s="7" t="inlineStr">
        <is>
          <t>Não</t>
        </is>
      </c>
      <c r="M943" s="7" t="inlineStr">
        <is>
          <t>Sim</t>
        </is>
      </c>
      <c r="N943" s="7" t="inlineStr">
        <is>
          <t>Sim</t>
        </is>
      </c>
      <c r="O943" s="7" t="inlineStr">
        <is>
          <t>Sim</t>
        </is>
      </c>
      <c r="P943" s="16" t="inlineStr">
        <is>
          <t>1-3 meses detenção + multa. §único: se interesse é ilegítimo: 3m-1a detenção + multa</t>
        </is>
      </c>
    </row>
    <row r="944">
      <c r="A944" s="7" t="inlineStr">
        <is>
          <t>CP</t>
        </is>
      </c>
      <c r="B944" s="7" t="inlineStr">
        <is>
          <t>Art. 325</t>
        </is>
      </c>
      <c r="C944" s="16" t="inlineStr">
        <is>
          <t>Violação de sigilo funcional (revelar fato de que tem ciência em razão do cargo e que deva permanecer em segredo, ou facilitar-lhe a revelação)</t>
        </is>
      </c>
      <c r="D944" s="7" t="n">
        <v>6</v>
      </c>
      <c r="E944" s="7" t="n">
        <v>24</v>
      </c>
      <c r="F944" s="7" t="inlineStr">
        <is>
          <t>Detenção</t>
        </is>
      </c>
      <c r="G944" s="7" t="inlineStr">
        <is>
          <t>Pública Incondicionada</t>
        </is>
      </c>
      <c r="H944" s="7" t="inlineStr">
        <is>
          <t>Não</t>
        </is>
      </c>
      <c r="I944" s="7" t="inlineStr">
        <is>
          <t>Doloso</t>
        </is>
      </c>
      <c r="J944" s="7" t="inlineStr">
        <is>
          <t>Sim</t>
        </is>
      </c>
      <c r="K944" s="7" t="inlineStr">
        <is>
          <t>Não</t>
        </is>
      </c>
      <c r="L944" s="7" t="inlineStr">
        <is>
          <t>Não</t>
        </is>
      </c>
      <c r="M944" s="7" t="inlineStr">
        <is>
          <t>Sim</t>
        </is>
      </c>
      <c r="N944" s="7" t="inlineStr">
        <is>
          <t>Sim</t>
        </is>
      </c>
      <c r="O944" s="7" t="inlineStr">
        <is>
          <t>Sim</t>
        </is>
      </c>
      <c r="P944" s="16" t="inlineStr">
        <is>
          <t>6 meses a 2 anos detenção + multa. §1º: se por meio informático: 1-4 anos reclusão + multa. §2º: se resultar dano à administração ou vantagem ao agente: 2-6 anos reclusão + multa</t>
        </is>
      </c>
    </row>
    <row r="945">
      <c r="A945" s="7" t="inlineStr">
        <is>
          <t>CP</t>
        </is>
      </c>
      <c r="B945" s="7" t="inlineStr">
        <is>
          <t>Art. 326</t>
        </is>
      </c>
      <c r="C945" s="16" t="inlineStr">
        <is>
          <t>Violação do sigilo de proposta de concorrência (devassar o sigilo de proposta de concorrência pública ou proporcionar a terceiro o ensejo de devassá-lo)</t>
        </is>
      </c>
      <c r="D945" s="7" t="n">
        <v>3</v>
      </c>
      <c r="E945" s="7" t="n">
        <v>12</v>
      </c>
      <c r="F945" s="7" t="inlineStr">
        <is>
          <t>Detenção</t>
        </is>
      </c>
      <c r="G945" s="7" t="inlineStr">
        <is>
          <t>Pública Incondicionada</t>
        </is>
      </c>
      <c r="H945" s="7" t="inlineStr">
        <is>
          <t>Não</t>
        </is>
      </c>
      <c r="I945" s="7" t="inlineStr">
        <is>
          <t>Doloso</t>
        </is>
      </c>
      <c r="J945" s="7" t="inlineStr">
        <is>
          <t>Sim</t>
        </is>
      </c>
      <c r="K945" s="7" t="inlineStr">
        <is>
          <t>Não</t>
        </is>
      </c>
      <c r="L945" s="7" t="inlineStr">
        <is>
          <t>Não</t>
        </is>
      </c>
      <c r="M945" s="7" t="inlineStr">
        <is>
          <t>Sim</t>
        </is>
      </c>
      <c r="N945" s="7" t="inlineStr">
        <is>
          <t>Sim</t>
        </is>
      </c>
      <c r="O945" s="7" t="inlineStr">
        <is>
          <t>Sim</t>
        </is>
      </c>
      <c r="P945" s="16" t="inlineStr">
        <is>
          <t>3 meses a 1 ano detenção + multa</t>
        </is>
      </c>
    </row>
    <row r="946">
      <c r="A946" s="7" t="inlineStr">
        <is>
          <t>CP</t>
        </is>
      </c>
      <c r="B946" s="7" t="inlineStr">
        <is>
          <t>Art. 328</t>
        </is>
      </c>
      <c r="C946" s="16" t="inlineStr">
        <is>
          <t>Usurpação de função pública (usurpar exercício de função pública)</t>
        </is>
      </c>
      <c r="D946" s="7" t="n">
        <v>3</v>
      </c>
      <c r="E946" s="7" t="n">
        <v>24</v>
      </c>
      <c r="F946" s="7" t="inlineStr">
        <is>
          <t>Detenção</t>
        </is>
      </c>
      <c r="G946" s="7" t="inlineStr">
        <is>
          <t>Pública Incondicionada</t>
        </is>
      </c>
      <c r="H946" s="7" t="inlineStr">
        <is>
          <t>Não</t>
        </is>
      </c>
      <c r="I946" s="7" t="inlineStr">
        <is>
          <t>Doloso</t>
        </is>
      </c>
      <c r="J946" s="7" t="inlineStr">
        <is>
          <t>Sim</t>
        </is>
      </c>
      <c r="K946" s="7" t="inlineStr">
        <is>
          <t>Não</t>
        </is>
      </c>
      <c r="L946" s="7" t="inlineStr">
        <is>
          <t>Não</t>
        </is>
      </c>
      <c r="M946" s="7" t="inlineStr">
        <is>
          <t>Sim</t>
        </is>
      </c>
      <c r="N946" s="7" t="inlineStr">
        <is>
          <t>Sim</t>
        </is>
      </c>
      <c r="O946" s="7" t="inlineStr">
        <is>
          <t>Sim</t>
        </is>
      </c>
      <c r="P946" s="16" t="inlineStr">
        <is>
          <t>3 meses a 2 anos detenção + multa. §único: se obtém vantagem: 2-5 anos reclusão + multa</t>
        </is>
      </c>
    </row>
    <row r="947">
      <c r="A947" s="26" t="inlineStr">
        <is>
          <t>CP</t>
        </is>
      </c>
      <c r="B947" s="26" t="inlineStr">
        <is>
          <t>Art. 329</t>
        </is>
      </c>
      <c r="C947" s="27" t="inlineStr">
        <is>
          <t>Resistência (opor-se à execução de ato legal mediante violência ou ameaça a funcionário competente para executá-lo)</t>
        </is>
      </c>
      <c r="D947" s="26" t="n">
        <v>2</v>
      </c>
      <c r="E947" s="26" t="n">
        <v>24</v>
      </c>
      <c r="F947" s="26" t="inlineStr">
        <is>
          <t>Detenção</t>
        </is>
      </c>
      <c r="G947" s="26" t="inlineStr">
        <is>
          <t>Pública Incondicionada</t>
        </is>
      </c>
      <c r="H947" s="26" t="inlineStr">
        <is>
          <t>Não</t>
        </is>
      </c>
      <c r="I947" s="26" t="inlineStr">
        <is>
          <t>Doloso</t>
        </is>
      </c>
      <c r="J947" s="26" t="inlineStr">
        <is>
          <t>Sim</t>
        </is>
      </c>
      <c r="K947" s="26" t="inlineStr">
        <is>
          <t>Sim</t>
        </is>
      </c>
      <c r="L947" s="26" t="inlineStr">
        <is>
          <t>Sim</t>
        </is>
      </c>
      <c r="M947" s="26" t="inlineStr">
        <is>
          <t>Não</t>
        </is>
      </c>
      <c r="N947" s="26" t="inlineStr">
        <is>
          <t>Sim</t>
        </is>
      </c>
      <c r="O947" s="26" t="inlineStr">
        <is>
          <t>Sim</t>
        </is>
      </c>
      <c r="P947" s="27" t="inlineStr">
        <is>
          <t>2 meses a 2 anos detenção. §1º: se ato não executado: 1-3 anos reclusão. §2º: penas cumuláveis com as de violência</t>
        </is>
      </c>
    </row>
    <row r="948">
      <c r="A948" s="7" t="inlineStr">
        <is>
          <t>CP</t>
        </is>
      </c>
      <c r="B948" s="7" t="inlineStr">
        <is>
          <t>Art. 330</t>
        </is>
      </c>
      <c r="C948" s="16" t="inlineStr">
        <is>
          <t>Desobediência (desobedecer a ordem legal de funcionário público)</t>
        </is>
      </c>
      <c r="D948" s="7" t="n">
        <v>15</v>
      </c>
      <c r="E948" s="7" t="n">
        <v>6</v>
      </c>
      <c r="F948" s="7" t="inlineStr">
        <is>
          <t>Detenção</t>
        </is>
      </c>
      <c r="G948" s="7" t="inlineStr">
        <is>
          <t>Pública Incondicionada</t>
        </is>
      </c>
      <c r="H948" s="7" t="inlineStr">
        <is>
          <t>Não</t>
        </is>
      </c>
      <c r="I948" s="7" t="inlineStr">
        <is>
          <t>Doloso</t>
        </is>
      </c>
      <c r="J948" s="7" t="inlineStr">
        <is>
          <t>Sim</t>
        </is>
      </c>
      <c r="K948" s="7" t="inlineStr">
        <is>
          <t>Não</t>
        </is>
      </c>
      <c r="L948" s="7" t="inlineStr">
        <is>
          <t>Não</t>
        </is>
      </c>
      <c r="M948" s="7" t="inlineStr">
        <is>
          <t>Sim</t>
        </is>
      </c>
      <c r="N948" s="7" t="inlineStr">
        <is>
          <t>Não</t>
        </is>
      </c>
      <c r="O948" s="7" t="inlineStr">
        <is>
          <t>Sim</t>
        </is>
      </c>
      <c r="P948" s="16" t="inlineStr">
        <is>
          <t>15 dias a 6 meses detenção + multa</t>
        </is>
      </c>
    </row>
    <row r="949">
      <c r="A949" s="7" t="inlineStr">
        <is>
          <t>CP</t>
        </is>
      </c>
      <c r="B949" s="7" t="inlineStr">
        <is>
          <t>Art. 331</t>
        </is>
      </c>
      <c r="C949" s="16" t="inlineStr">
        <is>
          <t>Desacato (desacatar funcionário público no exercício da função ou em razão dela)</t>
        </is>
      </c>
      <c r="D949" s="7" t="n">
        <v>6</v>
      </c>
      <c r="E949" s="7" t="n">
        <v>24</v>
      </c>
      <c r="F949" s="7" t="inlineStr">
        <is>
          <t>Detenção</t>
        </is>
      </c>
      <c r="G949" s="7" t="inlineStr">
        <is>
          <t>Pública Incondicionada</t>
        </is>
      </c>
      <c r="H949" s="7" t="inlineStr">
        <is>
          <t>Não</t>
        </is>
      </c>
      <c r="I949" s="7" t="inlineStr">
        <is>
          <t>Doloso</t>
        </is>
      </c>
      <c r="J949" s="7" t="inlineStr">
        <is>
          <t>Sim</t>
        </is>
      </c>
      <c r="K949" s="7" t="inlineStr">
        <is>
          <t>Não</t>
        </is>
      </c>
      <c r="L949" s="7" t="inlineStr">
        <is>
          <t>Não</t>
        </is>
      </c>
      <c r="M949" s="7" t="inlineStr">
        <is>
          <t>Sim</t>
        </is>
      </c>
      <c r="N949" s="7" t="inlineStr">
        <is>
          <t>Sim</t>
        </is>
      </c>
      <c r="O949" s="7" t="inlineStr">
        <is>
          <t>Sim</t>
        </is>
      </c>
      <c r="P949" s="16" t="inlineStr">
        <is>
          <t>6 meses a 2 anos detenção + multa</t>
        </is>
      </c>
    </row>
    <row r="950">
      <c r="A950" s="7" t="inlineStr">
        <is>
          <t>CP</t>
        </is>
      </c>
      <c r="B950" s="7" t="inlineStr">
        <is>
          <t>Art. 332</t>
        </is>
      </c>
      <c r="C950" s="16" t="inlineStr">
        <is>
          <t>Tráfico de influência (solicitar/exigir/cobrar/obter vantagem ou promessa, a pretexto de influir em ato praticado por funcionário público)</t>
        </is>
      </c>
      <c r="D950" s="7" t="n">
        <v>24</v>
      </c>
      <c r="E950" s="7" t="n">
        <v>60</v>
      </c>
      <c r="F950" s="7" t="inlineStr">
        <is>
          <t>Reclusão</t>
        </is>
      </c>
      <c r="G950" s="7" t="inlineStr">
        <is>
          <t>Pública Incondicionada</t>
        </is>
      </c>
      <c r="H950" s="7" t="inlineStr">
        <is>
          <t>Não</t>
        </is>
      </c>
      <c r="I950" s="7" t="inlineStr">
        <is>
          <t>Doloso</t>
        </is>
      </c>
      <c r="J950" s="7" t="inlineStr">
        <is>
          <t>Sim</t>
        </is>
      </c>
      <c r="K950" s="7" t="inlineStr">
        <is>
          <t>Não</t>
        </is>
      </c>
      <c r="L950" s="7" t="inlineStr">
        <is>
          <t>Não</t>
        </is>
      </c>
      <c r="M950" s="7" t="inlineStr">
        <is>
          <t>Sim</t>
        </is>
      </c>
      <c r="N950" s="7" t="inlineStr">
        <is>
          <t>Não</t>
        </is>
      </c>
      <c r="O950" s="7" t="inlineStr">
        <is>
          <t>Sim</t>
        </is>
      </c>
      <c r="P950" s="16" t="inlineStr">
        <is>
          <t>2-5 anos reclusão + multa. §único: aumento de 1/2 se a pretexto de que a vantagem seja para funcionário</t>
        </is>
      </c>
    </row>
    <row r="951">
      <c r="A951" s="7" t="inlineStr">
        <is>
          <t>CP</t>
        </is>
      </c>
      <c r="B951" s="7" t="inlineStr">
        <is>
          <t>Art. 335</t>
        </is>
      </c>
      <c r="C951" s="16" t="inlineStr">
        <is>
          <t>Impedimento/perturbação/fraude de concorrência pública (impedir/perturbar/fraudar concorrência pública ou venda em hasta pública)</t>
        </is>
      </c>
      <c r="D951" s="7" t="n">
        <v>6</v>
      </c>
      <c r="E951" s="7" t="n">
        <v>24</v>
      </c>
      <c r="F951" s="7" t="inlineStr">
        <is>
          <t>Detenção</t>
        </is>
      </c>
      <c r="G951" s="7" t="inlineStr">
        <is>
          <t>Pública Incondicionada</t>
        </is>
      </c>
      <c r="H951" s="7" t="inlineStr">
        <is>
          <t>Não</t>
        </is>
      </c>
      <c r="I951" s="7" t="inlineStr">
        <is>
          <t>Doloso</t>
        </is>
      </c>
      <c r="J951" s="7" t="inlineStr">
        <is>
          <t>Sim</t>
        </is>
      </c>
      <c r="K951" s="7" t="inlineStr">
        <is>
          <t>Não</t>
        </is>
      </c>
      <c r="L951" s="7" t="inlineStr">
        <is>
          <t>Não</t>
        </is>
      </c>
      <c r="M951" s="7" t="inlineStr">
        <is>
          <t>Sim</t>
        </is>
      </c>
      <c r="N951" s="7" t="inlineStr">
        <is>
          <t>Sim</t>
        </is>
      </c>
      <c r="O951" s="7" t="inlineStr">
        <is>
          <t>Sim</t>
        </is>
      </c>
      <c r="P951" s="16" t="inlineStr">
        <is>
          <t>6 meses a 2 anos detenção + multa. §único: aumento de 1/3 se funcional</t>
        </is>
      </c>
    </row>
    <row r="952">
      <c r="A952" s="7" t="inlineStr">
        <is>
          <t>CP</t>
        </is>
      </c>
      <c r="B952" s="7" t="inlineStr">
        <is>
          <t>Art. 336</t>
        </is>
      </c>
      <c r="C952" s="16" t="inlineStr">
        <is>
          <t>Inutilização de edital ou de sinal (rasgar/inutilizar edital afixado por ordem de funcionário público / violar/inutilizar selo ou sinal empregado por autoridade para identificar/cerrar qualquer objeto)</t>
        </is>
      </c>
      <c r="D952" s="7" t="n">
        <v>1</v>
      </c>
      <c r="E952" s="7" t="n">
        <v>12</v>
      </c>
      <c r="F952" s="7" t="inlineStr">
        <is>
          <t>Detenção</t>
        </is>
      </c>
      <c r="G952" s="7" t="inlineStr">
        <is>
          <t>Pública Incondicionada</t>
        </is>
      </c>
      <c r="H952" s="7" t="inlineStr">
        <is>
          <t>Não</t>
        </is>
      </c>
      <c r="I952" s="7" t="inlineStr">
        <is>
          <t>Doloso</t>
        </is>
      </c>
      <c r="J952" s="7" t="inlineStr">
        <is>
          <t>Sim</t>
        </is>
      </c>
      <c r="K952" s="7" t="inlineStr">
        <is>
          <t>Não</t>
        </is>
      </c>
      <c r="L952" s="7" t="inlineStr">
        <is>
          <t>Não</t>
        </is>
      </c>
      <c r="M952" s="7" t="inlineStr">
        <is>
          <t>Sim</t>
        </is>
      </c>
      <c r="N952" s="7" t="inlineStr">
        <is>
          <t>Sim</t>
        </is>
      </c>
      <c r="O952" s="7" t="inlineStr">
        <is>
          <t>Sim</t>
        </is>
      </c>
      <c r="P952" s="16" t="inlineStr">
        <is>
          <t>1 mês a 1 ano detenção + multa</t>
        </is>
      </c>
    </row>
    <row r="953">
      <c r="A953" s="7" t="inlineStr">
        <is>
          <t>CP</t>
        </is>
      </c>
      <c r="B953" s="7" t="inlineStr">
        <is>
          <t>Art. 337</t>
        </is>
      </c>
      <c r="C953" s="16" t="inlineStr">
        <is>
          <t>Subtração ou inutilização de livro ou documento (subtrair/suprimir/inutilizar documento que se acha em poder da administração/cartório/arquivo)</t>
        </is>
      </c>
      <c r="D953" s="7" t="n">
        <v>24</v>
      </c>
      <c r="E953" s="7" t="n">
        <v>60</v>
      </c>
      <c r="F953" s="7" t="inlineStr">
        <is>
          <t>Reclusão</t>
        </is>
      </c>
      <c r="G953" s="7" t="inlineStr">
        <is>
          <t>Pública Incondicionada</t>
        </is>
      </c>
      <c r="H953" s="7" t="inlineStr">
        <is>
          <t>Não</t>
        </is>
      </c>
      <c r="I953" s="7" t="inlineStr">
        <is>
          <t>Doloso</t>
        </is>
      </c>
      <c r="J953" s="7" t="inlineStr">
        <is>
          <t>Sim</t>
        </is>
      </c>
      <c r="K953" s="7" t="inlineStr">
        <is>
          <t>Não</t>
        </is>
      </c>
      <c r="L953" s="7" t="inlineStr">
        <is>
          <t>Não</t>
        </is>
      </c>
      <c r="M953" s="7" t="inlineStr">
        <is>
          <t>Sim</t>
        </is>
      </c>
      <c r="N953" s="7" t="inlineStr">
        <is>
          <t>Não</t>
        </is>
      </c>
      <c r="O953" s="7" t="inlineStr">
        <is>
          <t>Sim</t>
        </is>
      </c>
      <c r="P953" s="16" t="inlineStr">
        <is>
          <t>2-5 anos reclusão. Se particular: 2-5 anos. Se funcionário público: a pena será aplicada em triplo</t>
        </is>
      </c>
    </row>
    <row r="954">
      <c r="A954" s="7" t="inlineStr">
        <is>
          <t>CP</t>
        </is>
      </c>
      <c r="B954" s="7" t="inlineStr">
        <is>
          <t>Art. 338</t>
        </is>
      </c>
      <c r="C954" s="16" t="inlineStr">
        <is>
          <t>Sonegação de contribuição previdenciária (suprimir/reduzir contribuição social previdenciária mediante condutas fraudulentas)</t>
        </is>
      </c>
      <c r="D954" s="7" t="n">
        <v>24</v>
      </c>
      <c r="E954" s="7" t="n">
        <v>60</v>
      </c>
      <c r="F954" s="7" t="inlineStr">
        <is>
          <t>Reclusão</t>
        </is>
      </c>
      <c r="G954" s="7" t="inlineStr">
        <is>
          <t>Pública Incondicionada</t>
        </is>
      </c>
      <c r="H954" s="7" t="inlineStr">
        <is>
          <t>Não</t>
        </is>
      </c>
      <c r="I954" s="7" t="inlineStr">
        <is>
          <t>Doloso</t>
        </is>
      </c>
      <c r="J954" s="7" t="inlineStr">
        <is>
          <t>Sim</t>
        </is>
      </c>
      <c r="K954" s="7" t="inlineStr">
        <is>
          <t>Não</t>
        </is>
      </c>
      <c r="L954" s="7" t="inlineStr">
        <is>
          <t>Não</t>
        </is>
      </c>
      <c r="M954" s="7" t="inlineStr">
        <is>
          <t>Sim</t>
        </is>
      </c>
      <c r="N954" s="7" t="inlineStr">
        <is>
          <t>Não</t>
        </is>
      </c>
      <c r="O954" s="7" t="inlineStr">
        <is>
          <t>Sim</t>
        </is>
      </c>
      <c r="P954" s="16" t="inlineStr">
        <is>
          <t>2-5 anos reclusão + multa. Lei 9.983/00</t>
        </is>
      </c>
    </row>
    <row r="955">
      <c r="A955" s="7" t="inlineStr">
        <is>
          <t>CP</t>
        </is>
      </c>
      <c r="B955" s="7" t="inlineStr">
        <is>
          <t>Art. 339</t>
        </is>
      </c>
      <c r="C955" s="16" t="inlineStr">
        <is>
          <t>Denunciação caluniosa (dar causa à instauração de investigação, processo, instauração de investigação administrativa, inquérito civil ou ação de improbidade contra alguém, imputando-lhe crime de que o sabe inocente)</t>
        </is>
      </c>
      <c r="D955" s="7" t="n">
        <v>24</v>
      </c>
      <c r="E955" s="7" t="n">
        <v>96</v>
      </c>
      <c r="F955" s="7" t="inlineStr">
        <is>
          <t>Reclusão</t>
        </is>
      </c>
      <c r="G955" s="7" t="inlineStr">
        <is>
          <t>Pública Incondicionada</t>
        </is>
      </c>
      <c r="H955" s="7" t="inlineStr">
        <is>
          <t>Não</t>
        </is>
      </c>
      <c r="I955" s="7" t="inlineStr">
        <is>
          <t>Doloso</t>
        </is>
      </c>
      <c r="J955" s="7" t="inlineStr">
        <is>
          <t>Sim</t>
        </is>
      </c>
      <c r="K955" s="7" t="inlineStr">
        <is>
          <t>Não</t>
        </is>
      </c>
      <c r="L955" s="7" t="inlineStr">
        <is>
          <t>Não</t>
        </is>
      </c>
      <c r="M955" s="7" t="inlineStr">
        <is>
          <t>Sim</t>
        </is>
      </c>
      <c r="N955" s="7" t="inlineStr">
        <is>
          <t>Não</t>
        </is>
      </c>
      <c r="O955" s="7" t="inlineStr">
        <is>
          <t>Sim</t>
        </is>
      </c>
      <c r="P955" s="16" t="inlineStr">
        <is>
          <t>2-8 anos reclusão + multa. §1º: aumento de 1/6 se utiliza anonimato ou nome suposto. §2º: diminuição se contravenção</t>
        </is>
      </c>
    </row>
    <row r="956">
      <c r="A956" s="7" t="inlineStr">
        <is>
          <t>CP</t>
        </is>
      </c>
      <c r="B956" s="7" t="inlineStr">
        <is>
          <t>Art. 340</t>
        </is>
      </c>
      <c r="C956" s="16" t="inlineStr">
        <is>
          <t>Comunicação falsa de crime ou contravenção (provocar ação de autoridade comunicando crime ou contravenção que sabe não se ter verificado)</t>
        </is>
      </c>
      <c r="D956" s="7" t="n">
        <v>1</v>
      </c>
      <c r="E956" s="7" t="n">
        <v>6</v>
      </c>
      <c r="F956" s="7" t="inlineStr">
        <is>
          <t>Detenção</t>
        </is>
      </c>
      <c r="G956" s="7" t="inlineStr">
        <is>
          <t>Pública Incondicionada</t>
        </is>
      </c>
      <c r="H956" s="7" t="inlineStr">
        <is>
          <t>Não</t>
        </is>
      </c>
      <c r="I956" s="7" t="inlineStr">
        <is>
          <t>Doloso</t>
        </is>
      </c>
      <c r="J956" s="7" t="inlineStr">
        <is>
          <t>Sim</t>
        </is>
      </c>
      <c r="K956" s="7" t="inlineStr">
        <is>
          <t>Não</t>
        </is>
      </c>
      <c r="L956" s="7" t="inlineStr">
        <is>
          <t>Não</t>
        </is>
      </c>
      <c r="M956" s="7" t="inlineStr">
        <is>
          <t>Sim</t>
        </is>
      </c>
      <c r="N956" s="7" t="inlineStr">
        <is>
          <t>Sim</t>
        </is>
      </c>
      <c r="O956" s="7" t="inlineStr">
        <is>
          <t>Sim</t>
        </is>
      </c>
      <c r="P956" s="16" t="inlineStr">
        <is>
          <t>1-6 meses detenção + multa</t>
        </is>
      </c>
    </row>
    <row r="957">
      <c r="A957" s="7" t="inlineStr">
        <is>
          <t>CP</t>
        </is>
      </c>
      <c r="B957" s="7" t="inlineStr">
        <is>
          <t>Art. 341</t>
        </is>
      </c>
      <c r="C957" s="16" t="inlineStr">
        <is>
          <t>Auto-acusação falsa (acusar-se perante a autoridade de crime inexistente ou praticado por outrem)</t>
        </is>
      </c>
      <c r="D957" s="7" t="n">
        <v>3</v>
      </c>
      <c r="E957" s="7" t="n">
        <v>24</v>
      </c>
      <c r="F957" s="7" t="inlineStr">
        <is>
          <t>Detenção</t>
        </is>
      </c>
      <c r="G957" s="7" t="inlineStr">
        <is>
          <t>Pública Incondicionada</t>
        </is>
      </c>
      <c r="H957" s="7" t="inlineStr">
        <is>
          <t>Não</t>
        </is>
      </c>
      <c r="I957" s="7" t="inlineStr">
        <is>
          <t>Doloso</t>
        </is>
      </c>
      <c r="J957" s="7" t="inlineStr">
        <is>
          <t>Sim</t>
        </is>
      </c>
      <c r="K957" s="7" t="inlineStr">
        <is>
          <t>Não</t>
        </is>
      </c>
      <c r="L957" s="7" t="inlineStr">
        <is>
          <t>Não</t>
        </is>
      </c>
      <c r="M957" s="7" t="inlineStr">
        <is>
          <t>Sim</t>
        </is>
      </c>
      <c r="N957" s="7" t="inlineStr">
        <is>
          <t>Sim</t>
        </is>
      </c>
      <c r="O957" s="7" t="inlineStr">
        <is>
          <t>Sim</t>
        </is>
      </c>
      <c r="P957" s="16" t="inlineStr">
        <is>
          <t>3 meses a 2 anos detenção + multa</t>
        </is>
      </c>
    </row>
    <row r="958">
      <c r="A958" s="7" t="inlineStr">
        <is>
          <t>CP</t>
        </is>
      </c>
      <c r="B958" s="7" t="inlineStr">
        <is>
          <t>Art. 342</t>
        </is>
      </c>
      <c r="C958" s="16" t="inlineStr">
        <is>
          <t>Falso testemunho ou falsa perícia (fazer afirmação falsa/negar/calar a verdade como testemunha, perito, contador, tradutor ou intérprete em processo judicial/administrativo/inquérito/CPI)</t>
        </is>
      </c>
      <c r="D958" s="7" t="n">
        <v>24</v>
      </c>
      <c r="E958" s="7" t="n">
        <v>48</v>
      </c>
      <c r="F958" s="7" t="inlineStr">
        <is>
          <t>Reclusão</t>
        </is>
      </c>
      <c r="G958" s="7" t="inlineStr">
        <is>
          <t>Pública Incondicionada</t>
        </is>
      </c>
      <c r="H958" s="7" t="inlineStr">
        <is>
          <t>Não</t>
        </is>
      </c>
      <c r="I958" s="7" t="inlineStr">
        <is>
          <t>Doloso</t>
        </is>
      </c>
      <c r="J958" s="7" t="inlineStr">
        <is>
          <t>Sim</t>
        </is>
      </c>
      <c r="K958" s="7" t="inlineStr">
        <is>
          <t>Não</t>
        </is>
      </c>
      <c r="L958" s="7" t="inlineStr">
        <is>
          <t>Não</t>
        </is>
      </c>
      <c r="M958" s="7" t="inlineStr">
        <is>
          <t>Sim</t>
        </is>
      </c>
      <c r="N958" s="7" t="inlineStr">
        <is>
          <t>Não</t>
        </is>
      </c>
      <c r="O958" s="7" t="inlineStr">
        <is>
          <t>Sim</t>
        </is>
      </c>
      <c r="P958" s="16" t="inlineStr">
        <is>
          <t>2-4 anos reclusão + multa. §1º: aumento de 1/6 a 1/3 se praticado mediante suborno ou se destinado a produzir efeito em processo penal ou civil em que se litiga coisa de grande valor. §2º: retratação antes da sentença extingue a punibilidade</t>
        </is>
      </c>
    </row>
    <row r="959">
      <c r="A959" s="7" t="inlineStr">
        <is>
          <t>CP</t>
        </is>
      </c>
      <c r="B959" s="7" t="inlineStr">
        <is>
          <t>Art. 343</t>
        </is>
      </c>
      <c r="C959" s="16" t="inlineStr">
        <is>
          <t>Suborno de testemunha/perito (dar/prometer/oferecer dinheiro ou qualquer outra vantagem a testemunha, perito, contador, tradutor ou intérprete para que faça afirmação falsa)</t>
        </is>
      </c>
      <c r="D959" s="7" t="n">
        <v>36</v>
      </c>
      <c r="E959" s="7" t="n">
        <v>48</v>
      </c>
      <c r="F959" s="7" t="inlineStr">
        <is>
          <t>Reclusão</t>
        </is>
      </c>
      <c r="G959" s="7" t="inlineStr">
        <is>
          <t>Pública Incondicionada</t>
        </is>
      </c>
      <c r="H959" s="7" t="inlineStr">
        <is>
          <t>Não</t>
        </is>
      </c>
      <c r="I959" s="7" t="inlineStr">
        <is>
          <t>Doloso</t>
        </is>
      </c>
      <c r="J959" s="7" t="inlineStr">
        <is>
          <t>Sim</t>
        </is>
      </c>
      <c r="K959" s="7" t="inlineStr">
        <is>
          <t>Não</t>
        </is>
      </c>
      <c r="L959" s="7" t="inlineStr">
        <is>
          <t>Não</t>
        </is>
      </c>
      <c r="M959" s="7" t="inlineStr">
        <is>
          <t>Sim</t>
        </is>
      </c>
      <c r="N959" s="7" t="inlineStr">
        <is>
          <t>Não</t>
        </is>
      </c>
      <c r="O959" s="7" t="inlineStr">
        <is>
          <t>Verificar</t>
        </is>
      </c>
      <c r="P959" s="16" t="inlineStr">
        <is>
          <t>3-4 anos reclusão + multa</t>
        </is>
      </c>
    </row>
    <row r="960">
      <c r="A960" s="26" t="inlineStr">
        <is>
          <t>CP</t>
        </is>
      </c>
      <c r="B960" s="26" t="inlineStr">
        <is>
          <t>Art. 344</t>
        </is>
      </c>
      <c r="C960" s="27" t="inlineStr">
        <is>
          <t>Coação no curso do processo (usar de violência ou grave ameaça com fim de favorecer interesse próprio ou alheio contra autoridade/parte/perito/testemunha em processo judicial/administrativo/inquérito/juízo arbitral)</t>
        </is>
      </c>
      <c r="D960" s="26" t="n">
        <v>12</v>
      </c>
      <c r="E960" s="26" t="n">
        <v>48</v>
      </c>
      <c r="F960" s="26" t="inlineStr">
        <is>
          <t>Reclusão</t>
        </is>
      </c>
      <c r="G960" s="26" t="inlineStr">
        <is>
          <t>Pública Incondicionada</t>
        </is>
      </c>
      <c r="H960" s="26" t="inlineStr">
        <is>
          <t>Não</t>
        </is>
      </c>
      <c r="I960" s="26" t="inlineStr">
        <is>
          <t>Doloso</t>
        </is>
      </c>
      <c r="J960" s="26" t="inlineStr">
        <is>
          <t>Sim</t>
        </is>
      </c>
      <c r="K960" s="26" t="inlineStr">
        <is>
          <t>Sim</t>
        </is>
      </c>
      <c r="L960" s="26" t="inlineStr">
        <is>
          <t>Sim</t>
        </is>
      </c>
      <c r="M960" s="26" t="inlineStr">
        <is>
          <t>Não</t>
        </is>
      </c>
      <c r="N960" s="26" t="inlineStr">
        <is>
          <t>Sim</t>
        </is>
      </c>
      <c r="O960" s="26" t="inlineStr">
        <is>
          <t>Sim</t>
        </is>
      </c>
      <c r="P960" s="27" t="inlineStr">
        <is>
          <t>1-4 anos reclusão + multa. Sem prejuízo das penas de violência</t>
        </is>
      </c>
    </row>
    <row r="961">
      <c r="A961" s="26" t="inlineStr">
        <is>
          <t>CP</t>
        </is>
      </c>
      <c r="B961" s="26" t="inlineStr">
        <is>
          <t>Art. 345</t>
        </is>
      </c>
      <c r="C961" s="27" t="inlineStr">
        <is>
          <t>Exercício arbitrário das próprias razões (fazer justiça pelas próprias mãos para satisfazer pretensão legítima, embora podendo recorrer ao poder público)</t>
        </is>
      </c>
      <c r="D961" s="26" t="n">
        <v>15</v>
      </c>
      <c r="E961" s="26" t="n">
        <v>12</v>
      </c>
      <c r="F961" s="26" t="inlineStr">
        <is>
          <t>Detenção</t>
        </is>
      </c>
      <c r="G961" s="26" t="inlineStr">
        <is>
          <t>Privada</t>
        </is>
      </c>
      <c r="H961" s="26" t="inlineStr">
        <is>
          <t>Não</t>
        </is>
      </c>
      <c r="I961" s="26" t="inlineStr">
        <is>
          <t>Doloso</t>
        </is>
      </c>
      <c r="J961" s="26" t="inlineStr">
        <is>
          <t>Sim</t>
        </is>
      </c>
      <c r="K961" s="26" t="inlineStr">
        <is>
          <t>Sim</t>
        </is>
      </c>
      <c r="L961" s="26" t="inlineStr">
        <is>
          <t>Não</t>
        </is>
      </c>
      <c r="M961" s="26" t="inlineStr">
        <is>
          <t>Não</t>
        </is>
      </c>
      <c r="N961" s="26" t="inlineStr">
        <is>
          <t>Não</t>
        </is>
      </c>
      <c r="O961" s="26" t="inlineStr">
        <is>
          <t>Sim</t>
        </is>
      </c>
      <c r="P961" s="27" t="inlineStr">
        <is>
          <t>15 dias a 1 mês detenção + multa. §único: se emprego de violência: 1m-1a detenção + multa</t>
        </is>
      </c>
    </row>
    <row r="962">
      <c r="A962" s="7" t="inlineStr">
        <is>
          <t>CP</t>
        </is>
      </c>
      <c r="B962" s="7" t="inlineStr">
        <is>
          <t>Art. 346</t>
        </is>
      </c>
      <c r="C962" s="16" t="inlineStr">
        <is>
          <t>Tirar/suprimir/destruir/danificar coisa própria em poder de terceiro por determinação judicial (fraude à execução)</t>
        </is>
      </c>
      <c r="D962" s="7" t="n">
        <v>6</v>
      </c>
      <c r="E962" s="7" t="n">
        <v>24</v>
      </c>
      <c r="F962" s="7" t="inlineStr">
        <is>
          <t>Detenção</t>
        </is>
      </c>
      <c r="G962" s="7" t="inlineStr">
        <is>
          <t>Pública Incondicionada</t>
        </is>
      </c>
      <c r="H962" s="7" t="inlineStr">
        <is>
          <t>Não</t>
        </is>
      </c>
      <c r="I962" s="7" t="inlineStr">
        <is>
          <t>Doloso</t>
        </is>
      </c>
      <c r="J962" s="7" t="inlineStr">
        <is>
          <t>Sim</t>
        </is>
      </c>
      <c r="K962" s="7" t="inlineStr">
        <is>
          <t>Não</t>
        </is>
      </c>
      <c r="L962" s="7" t="inlineStr">
        <is>
          <t>Não</t>
        </is>
      </c>
      <c r="M962" s="7" t="inlineStr">
        <is>
          <t>Sim</t>
        </is>
      </c>
      <c r="N962" s="7" t="inlineStr">
        <is>
          <t>Sim</t>
        </is>
      </c>
      <c r="O962" s="7" t="inlineStr">
        <is>
          <t>Sim</t>
        </is>
      </c>
      <c r="P962" s="16" t="inlineStr">
        <is>
          <t>6 meses a 2 anos detenção + multa</t>
        </is>
      </c>
    </row>
    <row r="963">
      <c r="A963" s="7" t="inlineStr">
        <is>
          <t>CP</t>
        </is>
      </c>
      <c r="B963" s="7" t="inlineStr">
        <is>
          <t>Art. 347</t>
        </is>
      </c>
      <c r="C963" s="16" t="inlineStr">
        <is>
          <t>Fraude processual (inovar artificiosamente, na pendência de processo civil/administrativo, o estado de lugar/coisa/pessoa com fim de induzir a erro o juiz ou o perito)</t>
        </is>
      </c>
      <c r="D963" s="7" t="n">
        <v>3</v>
      </c>
      <c r="E963" s="7" t="n">
        <v>24</v>
      </c>
      <c r="F963" s="7" t="inlineStr">
        <is>
          <t>Detenção</t>
        </is>
      </c>
      <c r="G963" s="7" t="inlineStr">
        <is>
          <t>Pública Incondicionada</t>
        </is>
      </c>
      <c r="H963" s="7" t="inlineStr">
        <is>
          <t>Não</t>
        </is>
      </c>
      <c r="I963" s="7" t="inlineStr">
        <is>
          <t>Doloso</t>
        </is>
      </c>
      <c r="J963" s="7" t="inlineStr">
        <is>
          <t>Sim</t>
        </is>
      </c>
      <c r="K963" s="7" t="inlineStr">
        <is>
          <t>Não</t>
        </is>
      </c>
      <c r="L963" s="7" t="inlineStr">
        <is>
          <t>Não</t>
        </is>
      </c>
      <c r="M963" s="7" t="inlineStr">
        <is>
          <t>Sim</t>
        </is>
      </c>
      <c r="N963" s="7" t="inlineStr">
        <is>
          <t>Sim</t>
        </is>
      </c>
      <c r="O963" s="7" t="inlineStr">
        <is>
          <t>Sim</t>
        </is>
      </c>
      <c r="P963" s="16" t="inlineStr">
        <is>
          <t>3 meses a 2 anos detenção + multa. §único: se em processo penal: 6m-2a detenção + multa</t>
        </is>
      </c>
    </row>
    <row r="964">
      <c r="A964" s="7" t="inlineStr">
        <is>
          <t>CP</t>
        </is>
      </c>
      <c r="B964" s="7" t="inlineStr">
        <is>
          <t>Art. 348</t>
        </is>
      </c>
      <c r="C964" s="16" t="inlineStr">
        <is>
          <t>Favorecimento pessoal (auxiliar a subtrair-se à ação de autoridade pública autor de crime a que é cominada pena de reclusão)</t>
        </is>
      </c>
      <c r="D964" s="7" t="n">
        <v>1</v>
      </c>
      <c r="E964" s="7" t="n">
        <v>6</v>
      </c>
      <c r="F964" s="7" t="inlineStr">
        <is>
          <t>Detenção</t>
        </is>
      </c>
      <c r="G964" s="7" t="inlineStr">
        <is>
          <t>Pública Incondicionada</t>
        </is>
      </c>
      <c r="H964" s="7" t="inlineStr">
        <is>
          <t>Não</t>
        </is>
      </c>
      <c r="I964" s="7" t="inlineStr">
        <is>
          <t>Doloso</t>
        </is>
      </c>
      <c r="J964" s="7" t="inlineStr">
        <is>
          <t>Sim</t>
        </is>
      </c>
      <c r="K964" s="7" t="inlineStr">
        <is>
          <t>Não</t>
        </is>
      </c>
      <c r="L964" s="7" t="inlineStr">
        <is>
          <t>Não</t>
        </is>
      </c>
      <c r="M964" s="7" t="inlineStr">
        <is>
          <t>Sim</t>
        </is>
      </c>
      <c r="N964" s="7" t="inlineStr">
        <is>
          <t>Sim</t>
        </is>
      </c>
      <c r="O964" s="7" t="inlineStr">
        <is>
          <t>Sim</t>
        </is>
      </c>
      <c r="P964" s="16" t="inlineStr">
        <is>
          <t>1-6 meses detenção + multa. §1º: se crime punido com detenção: 15d-3m detenção. §2º: isento de pena se ascendente/descendente/cônjuge/irmão</t>
        </is>
      </c>
    </row>
    <row r="965">
      <c r="A965" s="7" t="inlineStr">
        <is>
          <t>CP</t>
        </is>
      </c>
      <c r="B965" s="7" t="inlineStr">
        <is>
          <t>Art. 349</t>
        </is>
      </c>
      <c r="C965" s="16" t="inlineStr">
        <is>
          <t>Favorecimento real (prestar ao criminoso, fora dos casos de co-autoria ou receptação, auxílio destinado a tornar seguro o proveito do crime)</t>
        </is>
      </c>
      <c r="D965" s="7" t="n">
        <v>12</v>
      </c>
      <c r="E965" s="7" t="n">
        <v>60</v>
      </c>
      <c r="F965" s="7" t="inlineStr">
        <is>
          <t>Reclusão</t>
        </is>
      </c>
      <c r="G965" s="7" t="inlineStr">
        <is>
          <t>Pública Incondicionada</t>
        </is>
      </c>
      <c r="H965" s="7" t="inlineStr">
        <is>
          <t>Não</t>
        </is>
      </c>
      <c r="I965" s="7" t="inlineStr">
        <is>
          <t>Doloso</t>
        </is>
      </c>
      <c r="J965" s="7" t="inlineStr">
        <is>
          <t>Sim</t>
        </is>
      </c>
      <c r="K965" s="7" t="inlineStr">
        <is>
          <t>Não</t>
        </is>
      </c>
      <c r="L965" s="7" t="inlineStr">
        <is>
          <t>Não</t>
        </is>
      </c>
      <c r="M965" s="7" t="inlineStr">
        <is>
          <t>Sim</t>
        </is>
      </c>
      <c r="N965" s="7" t="inlineStr">
        <is>
          <t>Sim</t>
        </is>
      </c>
      <c r="O965" s="7" t="inlineStr">
        <is>
          <t>Sim</t>
        </is>
      </c>
      <c r="P965" s="16" t="inlineStr">
        <is>
          <t>1-5 anos reclusão + multa</t>
        </is>
      </c>
    </row>
    <row r="966">
      <c r="A966" s="7" t="inlineStr">
        <is>
          <t>CP</t>
        </is>
      </c>
      <c r="B966" s="7" t="inlineStr">
        <is>
          <t>Art. 349-A</t>
        </is>
      </c>
      <c r="C966" s="16" t="inlineStr">
        <is>
          <t>Ingresso de aparelho telefônico/comunicação/componente em estabelecimento prisional (ingressar, promover, intermediar, auxiliar ou facilitar)</t>
        </is>
      </c>
      <c r="D966" s="7" t="n">
        <v>36</v>
      </c>
      <c r="E966" s="7" t="n">
        <v>72</v>
      </c>
      <c r="F966" s="7" t="inlineStr">
        <is>
          <t>Detenção</t>
        </is>
      </c>
      <c r="G966" s="7" t="inlineStr">
        <is>
          <t>Pública Incondicionada</t>
        </is>
      </c>
      <c r="H966" s="7" t="inlineStr">
        <is>
          <t>Não</t>
        </is>
      </c>
      <c r="I966" s="7" t="inlineStr">
        <is>
          <t>Doloso</t>
        </is>
      </c>
      <c r="J966" s="7" t="inlineStr">
        <is>
          <t>Sim</t>
        </is>
      </c>
      <c r="K966" s="7" t="inlineStr">
        <is>
          <t>Não</t>
        </is>
      </c>
      <c r="L966" s="7" t="inlineStr">
        <is>
          <t>Não</t>
        </is>
      </c>
      <c r="M966" s="7" t="inlineStr">
        <is>
          <t>Sim</t>
        </is>
      </c>
      <c r="N966" s="7" t="inlineStr">
        <is>
          <t>Não</t>
        </is>
      </c>
      <c r="O966" s="7" t="inlineStr">
        <is>
          <t>Verificar</t>
        </is>
      </c>
      <c r="P966" s="16" t="inlineStr">
        <is>
          <t>3-6 meses detenção</t>
        </is>
      </c>
    </row>
    <row r="967">
      <c r="A967" s="7" t="inlineStr">
        <is>
          <t>CP</t>
        </is>
      </c>
      <c r="B967" s="7" t="inlineStr">
        <is>
          <t>Art. 350</t>
        </is>
      </c>
      <c r="C967" s="16" t="inlineStr">
        <is>
          <t>Exercício arbitrário ou abuso de poder (exercer funções de outro ou praticar ato vedado sem competência legal)</t>
        </is>
      </c>
      <c r="D967" s="7" t="n">
        <v>3</v>
      </c>
      <c r="E967" s="7" t="n">
        <v>12</v>
      </c>
      <c r="F967" s="7" t="inlineStr">
        <is>
          <t>Detenção</t>
        </is>
      </c>
      <c r="G967" s="7" t="inlineStr">
        <is>
          <t>Pública Incondicionada</t>
        </is>
      </c>
      <c r="H967" s="7" t="inlineStr">
        <is>
          <t>Não</t>
        </is>
      </c>
      <c r="I967" s="7" t="inlineStr">
        <is>
          <t>Doloso</t>
        </is>
      </c>
      <c r="J967" s="7" t="inlineStr">
        <is>
          <t>Sim</t>
        </is>
      </c>
      <c r="K967" s="7" t="inlineStr">
        <is>
          <t>Não</t>
        </is>
      </c>
      <c r="L967" s="7" t="inlineStr">
        <is>
          <t>Não</t>
        </is>
      </c>
      <c r="M967" s="7" t="inlineStr">
        <is>
          <t>Sim</t>
        </is>
      </c>
      <c r="N967" s="7" t="inlineStr">
        <is>
          <t>Sim</t>
        </is>
      </c>
      <c r="O967" s="7" t="inlineStr">
        <is>
          <t>Sim</t>
        </is>
      </c>
      <c r="P967" s="16" t="inlineStr">
        <is>
          <t>3 meses a 1 ano detenção + multa. Revogado parcialmente pela Lei 13.869/19 (Abuso de Autoridade)</t>
        </is>
      </c>
    </row>
    <row r="968">
      <c r="A968" s="7" t="inlineStr">
        <is>
          <t>CP</t>
        </is>
      </c>
      <c r="B968" s="7" t="inlineStr">
        <is>
          <t>Art. 351</t>
        </is>
      </c>
      <c r="C968" s="16" t="inlineStr">
        <is>
          <t>Fuga de pessoa presa ou submetida a medida de segurança (promover ou facilitar a fuga de pessoa legalmente presa ou submetida a medida de segurança detentiva)</t>
        </is>
      </c>
      <c r="D968" s="7" t="n">
        <v>6</v>
      </c>
      <c r="E968" s="7" t="n">
        <v>24</v>
      </c>
      <c r="F968" s="7" t="inlineStr">
        <is>
          <t>Detenção</t>
        </is>
      </c>
      <c r="G968" s="7" t="inlineStr">
        <is>
          <t>Pública Incondicionada</t>
        </is>
      </c>
      <c r="H968" s="7" t="inlineStr">
        <is>
          <t>Não</t>
        </is>
      </c>
      <c r="I968" s="7" t="inlineStr">
        <is>
          <t>Doloso</t>
        </is>
      </c>
      <c r="J968" s="7" t="inlineStr">
        <is>
          <t>Sim</t>
        </is>
      </c>
      <c r="K968" s="7" t="inlineStr">
        <is>
          <t>Não</t>
        </is>
      </c>
      <c r="L968" s="7" t="inlineStr">
        <is>
          <t>Não</t>
        </is>
      </c>
      <c r="M968" s="7" t="inlineStr">
        <is>
          <t>Sim</t>
        </is>
      </c>
      <c r="N968" s="7" t="inlineStr">
        <is>
          <t>Sim</t>
        </is>
      </c>
      <c r="O968" s="7" t="inlineStr">
        <is>
          <t>Sim</t>
        </is>
      </c>
      <c r="P968" s="16" t="inlineStr">
        <is>
          <t>6 meses a 2 anos detenção. §1º: se emprego de violência: 1-3 anos reclusão. §2º: se por pessoa sob custódia: 3m-1a detenção. §3º: aumento de 1/3 se concurso/arma/por mais de 3 pessoas. §4º: se culposo: 3m-1a detenção</t>
        </is>
      </c>
    </row>
    <row r="969">
      <c r="A969" s="26" t="inlineStr">
        <is>
          <t>CP</t>
        </is>
      </c>
      <c r="B969" s="26" t="inlineStr">
        <is>
          <t>Art. 352</t>
        </is>
      </c>
      <c r="C969" s="27" t="inlineStr">
        <is>
          <t>Evasão mediante violência contra a pessoa (evadir-se ou tentar evadir-se o preso ou internado usando violência contra a pessoa)</t>
        </is>
      </c>
      <c r="D969" s="26" t="n">
        <v>3</v>
      </c>
      <c r="E969" s="26" t="n">
        <v>12</v>
      </c>
      <c r="F969" s="26" t="inlineStr">
        <is>
          <t>Detenção</t>
        </is>
      </c>
      <c r="G969" s="26" t="inlineStr">
        <is>
          <t>Pública Incondicionada</t>
        </is>
      </c>
      <c r="H969" s="26" t="inlineStr">
        <is>
          <t>Não</t>
        </is>
      </c>
      <c r="I969" s="26" t="inlineStr">
        <is>
          <t>Doloso</t>
        </is>
      </c>
      <c r="J969" s="26" t="inlineStr">
        <is>
          <t>Sim</t>
        </is>
      </c>
      <c r="K969" s="26" t="inlineStr">
        <is>
          <t>Sim</t>
        </is>
      </c>
      <c r="L969" s="26" t="inlineStr">
        <is>
          <t>Não</t>
        </is>
      </c>
      <c r="M969" s="26" t="inlineStr">
        <is>
          <t>Não</t>
        </is>
      </c>
      <c r="N969" s="26" t="inlineStr">
        <is>
          <t>Sim</t>
        </is>
      </c>
      <c r="O969" s="26" t="inlineStr">
        <is>
          <t>Sim</t>
        </is>
      </c>
      <c r="P969" s="27" t="inlineStr">
        <is>
          <t>3 meses a 1 ano detenção. Sem prejuízo da pena de violência</t>
        </is>
      </c>
    </row>
    <row r="970">
      <c r="A970" s="26" t="inlineStr">
        <is>
          <t>CP</t>
        </is>
      </c>
      <c r="B970" s="26" t="inlineStr">
        <is>
          <t>Art. 353</t>
        </is>
      </c>
      <c r="C970" s="27" t="inlineStr">
        <is>
          <t>Arrebatamento de preso (arrebatar preso a fim de maltratá-lo, do poder de quem o tenha sob custódia ou guarda)</t>
        </is>
      </c>
      <c r="D970" s="26" t="n">
        <v>12</v>
      </c>
      <c r="E970" s="26" t="n">
        <v>48</v>
      </c>
      <c r="F970" s="26" t="inlineStr">
        <is>
          <t>Reclusão</t>
        </is>
      </c>
      <c r="G970" s="26" t="inlineStr">
        <is>
          <t>Pública Incondicionada</t>
        </is>
      </c>
      <c r="H970" s="26" t="inlineStr">
        <is>
          <t>Não</t>
        </is>
      </c>
      <c r="I970" s="26" t="inlineStr">
        <is>
          <t>Doloso</t>
        </is>
      </c>
      <c r="J970" s="26" t="inlineStr">
        <is>
          <t>Sim</t>
        </is>
      </c>
      <c r="K970" s="26" t="inlineStr">
        <is>
          <t>Sim</t>
        </is>
      </c>
      <c r="L970" s="26" t="inlineStr">
        <is>
          <t>Não</t>
        </is>
      </c>
      <c r="M970" s="26" t="inlineStr">
        <is>
          <t>Não</t>
        </is>
      </c>
      <c r="N970" s="26" t="inlineStr">
        <is>
          <t>Sim</t>
        </is>
      </c>
      <c r="O970" s="26" t="inlineStr">
        <is>
          <t>Sim</t>
        </is>
      </c>
      <c r="P970" s="27" t="inlineStr">
        <is>
          <t>1-4 anos reclusão. Sem prejuízo da pena de violência</t>
        </is>
      </c>
    </row>
    <row r="971">
      <c r="A971" s="26" t="inlineStr">
        <is>
          <t>CP</t>
        </is>
      </c>
      <c r="B971" s="26" t="inlineStr">
        <is>
          <t>Art. 354</t>
        </is>
      </c>
      <c r="C971" s="27" t="inlineStr">
        <is>
          <t>Motim de presos (amotinarem-se presos perturbando a ordem ou disciplina da prisão)</t>
        </is>
      </c>
      <c r="D971" s="26" t="n">
        <v>6</v>
      </c>
      <c r="E971" s="26" t="n">
        <v>24</v>
      </c>
      <c r="F971" s="26" t="inlineStr">
        <is>
          <t>Detenção</t>
        </is>
      </c>
      <c r="G971" s="26" t="inlineStr">
        <is>
          <t>Pública Incondicionada</t>
        </is>
      </c>
      <c r="H971" s="26" t="inlineStr">
        <is>
          <t>Não</t>
        </is>
      </c>
      <c r="I971" s="26" t="inlineStr">
        <is>
          <t>Doloso</t>
        </is>
      </c>
      <c r="J971" s="26" t="inlineStr">
        <is>
          <t>Sim</t>
        </is>
      </c>
      <c r="K971" s="26" t="inlineStr">
        <is>
          <t>Sim</t>
        </is>
      </c>
      <c r="L971" s="26" t="inlineStr">
        <is>
          <t>Não</t>
        </is>
      </c>
      <c r="M971" s="26" t="inlineStr">
        <is>
          <t>Não</t>
        </is>
      </c>
      <c r="N971" s="26" t="inlineStr">
        <is>
          <t>Sim</t>
        </is>
      </c>
      <c r="O971" s="26" t="inlineStr">
        <is>
          <t>Sim</t>
        </is>
      </c>
      <c r="P971" s="27" t="inlineStr">
        <is>
          <t>6 meses a 2 anos detenção</t>
        </is>
      </c>
    </row>
    <row r="972">
      <c r="A972" s="7" t="inlineStr">
        <is>
          <t>CPM (DL 1.001/69)</t>
        </is>
      </c>
      <c r="B972" s="7" t="inlineStr">
        <is>
          <t>Art. 214</t>
        </is>
      </c>
      <c r="C972" s="16" t="inlineStr">
        <is>
          <t>Calúnia militar (imputar falsamente fato definido como crime)</t>
        </is>
      </c>
      <c r="D972" s="7" t="n">
        <v>6</v>
      </c>
      <c r="E972" s="7" t="n">
        <v>24</v>
      </c>
      <c r="F972" s="7" t="inlineStr">
        <is>
          <t>Detenção</t>
        </is>
      </c>
      <c r="G972" s="7" t="inlineStr">
        <is>
          <t>Pública Incondicionada</t>
        </is>
      </c>
      <c r="H972" s="7" t="inlineStr">
        <is>
          <t>Não</t>
        </is>
      </c>
      <c r="I972" s="7" t="inlineStr">
        <is>
          <t>Doloso</t>
        </is>
      </c>
      <c r="J972" s="7" t="inlineStr">
        <is>
          <t>Sim</t>
        </is>
      </c>
      <c r="K972" s="7" t="inlineStr">
        <is>
          <t>Não</t>
        </is>
      </c>
      <c r="L972" s="7" t="inlineStr">
        <is>
          <t>Não</t>
        </is>
      </c>
      <c r="M972" s="7" t="inlineStr">
        <is>
          <t>Sim</t>
        </is>
      </c>
      <c r="N972" s="7" t="inlineStr">
        <is>
          <t>Sim</t>
        </is>
      </c>
      <c r="O972" s="7" t="inlineStr">
        <is>
          <t>Sim</t>
        </is>
      </c>
      <c r="P972" s="16" t="inlineStr">
        <is>
          <t>6 meses a 2 anos detenção militar</t>
        </is>
      </c>
    </row>
    <row r="973">
      <c r="A973" s="7" t="inlineStr">
        <is>
          <t>CPM (DL 1.001/69)</t>
        </is>
      </c>
      <c r="B973" s="7" t="inlineStr">
        <is>
          <t>Art. 215</t>
        </is>
      </c>
      <c r="C973" s="16" t="inlineStr">
        <is>
          <t>Difamação militar (imputar fato ofensivo à reputação)</t>
        </is>
      </c>
      <c r="D973" s="7" t="n">
        <v>3</v>
      </c>
      <c r="E973" s="7" t="n">
        <v>12</v>
      </c>
      <c r="F973" s="7" t="inlineStr">
        <is>
          <t>Detenção</t>
        </is>
      </c>
      <c r="G973" s="7" t="inlineStr">
        <is>
          <t>Pública Incondicionada</t>
        </is>
      </c>
      <c r="H973" s="7" t="inlineStr">
        <is>
          <t>Não</t>
        </is>
      </c>
      <c r="I973" s="7" t="inlineStr">
        <is>
          <t>Doloso</t>
        </is>
      </c>
      <c r="J973" s="7" t="inlineStr">
        <is>
          <t>Sim</t>
        </is>
      </c>
      <c r="K973" s="7" t="inlineStr">
        <is>
          <t>Não</t>
        </is>
      </c>
      <c r="L973" s="7" t="inlineStr">
        <is>
          <t>Não</t>
        </is>
      </c>
      <c r="M973" s="7" t="inlineStr">
        <is>
          <t>Sim</t>
        </is>
      </c>
      <c r="N973" s="7" t="inlineStr">
        <is>
          <t>Sim</t>
        </is>
      </c>
      <c r="O973" s="7" t="inlineStr">
        <is>
          <t>Sim</t>
        </is>
      </c>
      <c r="P973" s="16" t="inlineStr">
        <is>
          <t>3 meses a 1 ano detenção militar</t>
        </is>
      </c>
    </row>
    <row r="974">
      <c r="A974" s="7" t="inlineStr">
        <is>
          <t>CPM (DL 1.001/69)</t>
        </is>
      </c>
      <c r="B974" s="7" t="inlineStr">
        <is>
          <t>Art. 216</t>
        </is>
      </c>
      <c r="C974" s="16" t="inlineStr">
        <is>
          <t>Injúria militar (ofender a dignidade ou decoro)</t>
        </is>
      </c>
      <c r="D974" s="7" t="n">
        <v>3</v>
      </c>
      <c r="E974" s="7" t="n">
        <v>6</v>
      </c>
      <c r="F974" s="7" t="inlineStr">
        <is>
          <t>Detenção</t>
        </is>
      </c>
      <c r="G974" s="7" t="inlineStr">
        <is>
          <t>Pública Incondicionada</t>
        </is>
      </c>
      <c r="H974" s="7" t="inlineStr">
        <is>
          <t>Não</t>
        </is>
      </c>
      <c r="I974" s="7" t="inlineStr">
        <is>
          <t>Doloso</t>
        </is>
      </c>
      <c r="J974" s="7" t="inlineStr">
        <is>
          <t>Sim</t>
        </is>
      </c>
      <c r="K974" s="7" t="inlineStr">
        <is>
          <t>Não</t>
        </is>
      </c>
      <c r="L974" s="7" t="inlineStr">
        <is>
          <t>Não</t>
        </is>
      </c>
      <c r="M974" s="7" t="inlineStr">
        <is>
          <t>Sim</t>
        </is>
      </c>
      <c r="N974" s="7" t="inlineStr">
        <is>
          <t>Sim</t>
        </is>
      </c>
      <c r="O974" s="7" t="inlineStr">
        <is>
          <t>Sim</t>
        </is>
      </c>
      <c r="P974" s="16" t="inlineStr">
        <is>
          <t>3-6 meses detenção militar</t>
        </is>
      </c>
    </row>
    <row r="975">
      <c r="A975" s="26" t="inlineStr">
        <is>
          <t>CPM (DL 1.001/69)</t>
        </is>
      </c>
      <c r="B975" s="26" t="inlineStr">
        <is>
          <t>Art. 222</t>
        </is>
      </c>
      <c r="C975" s="27" t="inlineStr">
        <is>
          <t>Constrangimento ilegal militar</t>
        </is>
      </c>
      <c r="D975" s="26" t="n">
        <v>3</v>
      </c>
      <c r="E975" s="26" t="n">
        <v>12</v>
      </c>
      <c r="F975" s="26" t="inlineStr">
        <is>
          <t>Detenção</t>
        </is>
      </c>
      <c r="G975" s="26" t="inlineStr">
        <is>
          <t>Pública Incondicionada</t>
        </is>
      </c>
      <c r="H975" s="26" t="inlineStr">
        <is>
          <t>Não</t>
        </is>
      </c>
      <c r="I975" s="26" t="inlineStr">
        <is>
          <t>Doloso</t>
        </is>
      </c>
      <c r="J975" s="26" t="inlineStr">
        <is>
          <t>Sim</t>
        </is>
      </c>
      <c r="K975" s="26" t="inlineStr">
        <is>
          <t>Sim</t>
        </is>
      </c>
      <c r="L975" s="26" t="inlineStr">
        <is>
          <t>Sim</t>
        </is>
      </c>
      <c r="M975" s="26" t="inlineStr">
        <is>
          <t>Não</t>
        </is>
      </c>
      <c r="N975" s="26" t="inlineStr">
        <is>
          <t>Sim</t>
        </is>
      </c>
      <c r="O975" s="26" t="inlineStr">
        <is>
          <t>Sim</t>
        </is>
      </c>
      <c r="P975" s="27" t="inlineStr">
        <is>
          <t>3 meses a 1 ano detenção militar</t>
        </is>
      </c>
    </row>
    <row r="976">
      <c r="A976" s="26" t="inlineStr">
        <is>
          <t>CPM (DL 1.001/69)</t>
        </is>
      </c>
      <c r="B976" s="26" t="inlineStr">
        <is>
          <t>Art. 223</t>
        </is>
      </c>
      <c r="C976" s="27" t="inlineStr">
        <is>
          <t>Ameaça militar</t>
        </is>
      </c>
      <c r="D976" s="26" t="n">
        <v>1</v>
      </c>
      <c r="E976" s="26" t="n">
        <v>6</v>
      </c>
      <c r="F976" s="26" t="inlineStr">
        <is>
          <t>Detenção</t>
        </is>
      </c>
      <c r="G976" s="26" t="inlineStr">
        <is>
          <t>Pública Incondicionada</t>
        </is>
      </c>
      <c r="H976" s="26" t="inlineStr">
        <is>
          <t>Não</t>
        </is>
      </c>
      <c r="I976" s="26" t="inlineStr">
        <is>
          <t>Doloso</t>
        </is>
      </c>
      <c r="J976" s="26" t="inlineStr">
        <is>
          <t>Sim</t>
        </is>
      </c>
      <c r="K976" s="26" t="inlineStr">
        <is>
          <t>Não</t>
        </is>
      </c>
      <c r="L976" s="26" t="inlineStr">
        <is>
          <t>Sim</t>
        </is>
      </c>
      <c r="M976" s="26" t="inlineStr">
        <is>
          <t>Não</t>
        </is>
      </c>
      <c r="N976" s="26" t="inlineStr">
        <is>
          <t>Sim</t>
        </is>
      </c>
      <c r="O976" s="26" t="inlineStr">
        <is>
          <t>Sim</t>
        </is>
      </c>
      <c r="P976" s="27" t="inlineStr">
        <is>
          <t>1-6 meses detenção militar</t>
        </is>
      </c>
    </row>
    <row r="977">
      <c r="A977" s="7" t="inlineStr">
        <is>
          <t>CPM (DL 1.001/69)</t>
        </is>
      </c>
      <c r="B977" s="7" t="inlineStr">
        <is>
          <t>Art. 224</t>
        </is>
      </c>
      <c r="C977" s="16" t="inlineStr">
        <is>
          <t>Desafio para duelo militar</t>
        </is>
      </c>
      <c r="D977" s="7" t="n">
        <v>3</v>
      </c>
      <c r="E977" s="7" t="n">
        <v>6</v>
      </c>
      <c r="F977" s="7" t="inlineStr">
        <is>
          <t>Detenção</t>
        </is>
      </c>
      <c r="G977" s="7" t="inlineStr">
        <is>
          <t>Pública Incondicionada</t>
        </is>
      </c>
      <c r="H977" s="7" t="inlineStr">
        <is>
          <t>Não</t>
        </is>
      </c>
      <c r="I977" s="7" t="inlineStr">
        <is>
          <t>Doloso</t>
        </is>
      </c>
      <c r="J977" s="7" t="inlineStr">
        <is>
          <t>Sim</t>
        </is>
      </c>
      <c r="K977" s="7" t="inlineStr">
        <is>
          <t>Não</t>
        </is>
      </c>
      <c r="L977" s="7" t="inlineStr">
        <is>
          <t>Não</t>
        </is>
      </c>
      <c r="M977" s="7" t="inlineStr">
        <is>
          <t>Sim</t>
        </is>
      </c>
      <c r="N977" s="7" t="inlineStr">
        <is>
          <t>Sim</t>
        </is>
      </c>
      <c r="O977" s="7" t="inlineStr">
        <is>
          <t>Sim</t>
        </is>
      </c>
      <c r="P977" s="16" t="inlineStr">
        <is>
          <t>3-6 meses detenção militar. Crime militar próprio</t>
        </is>
      </c>
    </row>
    <row r="978">
      <c r="A978" s="26" t="inlineStr">
        <is>
          <t>CPM (DL 1.001/69)</t>
        </is>
      </c>
      <c r="B978" s="26" t="inlineStr">
        <is>
          <t>Art. 225</t>
        </is>
      </c>
      <c r="C978" s="27" t="inlineStr">
        <is>
          <t>Sequestro/cárcere privado militar</t>
        </is>
      </c>
      <c r="D978" s="26" t="n">
        <v>12</v>
      </c>
      <c r="E978" s="26" t="n">
        <v>48</v>
      </c>
      <c r="F978" s="26" t="inlineStr">
        <is>
          <t>Reclusão</t>
        </is>
      </c>
      <c r="G978" s="26" t="inlineStr">
        <is>
          <t>Pública Incondicionada</t>
        </is>
      </c>
      <c r="H978" s="26" t="inlineStr">
        <is>
          <t>Não</t>
        </is>
      </c>
      <c r="I978" s="26" t="inlineStr">
        <is>
          <t>Doloso</t>
        </is>
      </c>
      <c r="J978" s="26" t="inlineStr">
        <is>
          <t>Sim</t>
        </is>
      </c>
      <c r="K978" s="26" t="inlineStr">
        <is>
          <t>Sim</t>
        </is>
      </c>
      <c r="L978" s="26" t="inlineStr">
        <is>
          <t>Não</t>
        </is>
      </c>
      <c r="M978" s="26" t="inlineStr">
        <is>
          <t>Não</t>
        </is>
      </c>
      <c r="N978" s="26" t="inlineStr">
        <is>
          <t>Sim</t>
        </is>
      </c>
      <c r="O978" s="26" t="inlineStr">
        <is>
          <t>Sim</t>
        </is>
      </c>
      <c r="P978" s="27" t="inlineStr">
        <is>
          <t>1-4 anos reclusão militar</t>
        </is>
      </c>
    </row>
    <row r="979">
      <c r="A979" s="7" t="inlineStr">
        <is>
          <t>CPM (DL 1.001/69)</t>
        </is>
      </c>
      <c r="B979" s="7" t="inlineStr">
        <is>
          <t>Art. 199</t>
        </is>
      </c>
      <c r="C979" s="16" t="inlineStr">
        <is>
          <t>Omissão de eficiência da força (deixar o comandante de manter a força sob seu comando em estado de eficiência)</t>
        </is>
      </c>
      <c r="D979" s="7" t="n">
        <v>6</v>
      </c>
      <c r="E979" s="7" t="n">
        <v>24</v>
      </c>
      <c r="F979" s="7" t="inlineStr">
        <is>
          <t>Detenção</t>
        </is>
      </c>
      <c r="G979" s="7" t="inlineStr">
        <is>
          <t>Pública Incondicionada</t>
        </is>
      </c>
      <c r="H979" s="7" t="inlineStr">
        <is>
          <t>Não</t>
        </is>
      </c>
      <c r="I979" s="7" t="inlineStr">
        <is>
          <t>Doloso</t>
        </is>
      </c>
      <c r="J979" s="7" t="inlineStr">
        <is>
          <t>Não</t>
        </is>
      </c>
      <c r="K979" s="7" t="inlineStr">
        <is>
          <t>Não</t>
        </is>
      </c>
      <c r="L979" s="7" t="inlineStr">
        <is>
          <t>Não</t>
        </is>
      </c>
      <c r="M979" s="7" t="inlineStr">
        <is>
          <t>Sim</t>
        </is>
      </c>
      <c r="N979" s="7" t="inlineStr">
        <is>
          <t>Sim</t>
        </is>
      </c>
      <c r="O979" s="7" t="inlineStr">
        <is>
          <t>Sim</t>
        </is>
      </c>
      <c r="P979" s="16" t="inlineStr">
        <is>
          <t>6 meses a 2 anos detenção militar</t>
        </is>
      </c>
    </row>
    <row r="980">
      <c r="A980" s="7" t="inlineStr">
        <is>
          <t>CPM (DL 1.001/69)</t>
        </is>
      </c>
      <c r="B980" s="7" t="inlineStr">
        <is>
          <t>Art. 200</t>
        </is>
      </c>
      <c r="C980" s="16" t="inlineStr">
        <is>
          <t>Omissão de providências para evitar danos (deixar o comandante de empregar todos os meios ao seu alcance para evitar perda/destruição/dano de material)</t>
        </is>
      </c>
      <c r="D980" s="7" t="n">
        <v>6</v>
      </c>
      <c r="E980" s="7" t="n">
        <v>24</v>
      </c>
      <c r="F980" s="7" t="inlineStr">
        <is>
          <t>Detenção</t>
        </is>
      </c>
      <c r="G980" s="7" t="inlineStr">
        <is>
          <t>Pública Incondicionada</t>
        </is>
      </c>
      <c r="H980" s="7" t="inlineStr">
        <is>
          <t>Não</t>
        </is>
      </c>
      <c r="I980" s="7" t="inlineStr">
        <is>
          <t>Doloso</t>
        </is>
      </c>
      <c r="J980" s="7" t="inlineStr">
        <is>
          <t>Não</t>
        </is>
      </c>
      <c r="K980" s="7" t="inlineStr">
        <is>
          <t>Não</t>
        </is>
      </c>
      <c r="L980" s="7" t="inlineStr">
        <is>
          <t>Não</t>
        </is>
      </c>
      <c r="M980" s="7" t="inlineStr">
        <is>
          <t>Sim</t>
        </is>
      </c>
      <c r="N980" s="7" t="inlineStr">
        <is>
          <t>Sim</t>
        </is>
      </c>
      <c r="O980" s="7" t="inlineStr">
        <is>
          <t>Sim</t>
        </is>
      </c>
      <c r="P980" s="16" t="inlineStr">
        <is>
          <t>6 meses a 2 anos detenção militar</t>
        </is>
      </c>
    </row>
    <row r="981">
      <c r="A981" s="7" t="inlineStr">
        <is>
          <t>CPM (DL 1.001/69)</t>
        </is>
      </c>
      <c r="B981" s="7" t="inlineStr">
        <is>
          <t>Art. 201</t>
        </is>
      </c>
      <c r="C981" s="16" t="inlineStr">
        <is>
          <t>Omissão de providências para salvar comandados (deixar o comandante de tomar todas as providências a seu alcance para salvar guarnição/tripulação/passageiro de navio/aeronave/força sob seu comando)</t>
        </is>
      </c>
      <c r="D981" s="7" t="n">
        <v>12</v>
      </c>
      <c r="E981" s="7" t="n">
        <v>24</v>
      </c>
      <c r="F981" s="7" t="inlineStr">
        <is>
          <t>Detenção</t>
        </is>
      </c>
      <c r="G981" s="7" t="inlineStr">
        <is>
          <t>Pública Incondicionada</t>
        </is>
      </c>
      <c r="H981" s="7" t="inlineStr">
        <is>
          <t>Não</t>
        </is>
      </c>
      <c r="I981" s="7" t="inlineStr">
        <is>
          <t>Doloso</t>
        </is>
      </c>
      <c r="J981" s="7" t="inlineStr">
        <is>
          <t>Não</t>
        </is>
      </c>
      <c r="K981" s="7" t="inlineStr">
        <is>
          <t>Não</t>
        </is>
      </c>
      <c r="L981" s="7" t="inlineStr">
        <is>
          <t>Não</t>
        </is>
      </c>
      <c r="M981" s="7" t="inlineStr">
        <is>
          <t>Sim</t>
        </is>
      </c>
      <c r="N981" s="7" t="inlineStr">
        <is>
          <t>Sim</t>
        </is>
      </c>
      <c r="O981" s="7" t="inlineStr">
        <is>
          <t>Sim</t>
        </is>
      </c>
      <c r="P981" s="16" t="inlineStr">
        <is>
          <t>1-2 anos detenção militar</t>
        </is>
      </c>
    </row>
    <row r="982">
      <c r="A982" s="7" t="inlineStr">
        <is>
          <t>CPM (DL 1.001/69)</t>
        </is>
      </c>
      <c r="B982" s="7" t="inlineStr">
        <is>
          <t>Art. 202</t>
        </is>
      </c>
      <c r="C982" s="16" t="inlineStr">
        <is>
          <t>Omissão de socorro militar (deixar o comandante de socorrer sem justa causa navio/aeronave/força em perigo)</t>
        </is>
      </c>
      <c r="D982" s="7" t="n">
        <v>12</v>
      </c>
      <c r="E982" s="7" t="n">
        <v>24</v>
      </c>
      <c r="F982" s="7" t="inlineStr">
        <is>
          <t>Detenção</t>
        </is>
      </c>
      <c r="G982" s="7" t="inlineStr">
        <is>
          <t>Pública Incondicionada</t>
        </is>
      </c>
      <c r="H982" s="7" t="inlineStr">
        <is>
          <t>Não</t>
        </is>
      </c>
      <c r="I982" s="7" t="inlineStr">
        <is>
          <t>Doloso</t>
        </is>
      </c>
      <c r="J982" s="7" t="inlineStr">
        <is>
          <t>Não</t>
        </is>
      </c>
      <c r="K982" s="7" t="inlineStr">
        <is>
          <t>Não</t>
        </is>
      </c>
      <c r="L982" s="7" t="inlineStr">
        <is>
          <t>Não</t>
        </is>
      </c>
      <c r="M982" s="7" t="inlineStr">
        <is>
          <t>Sim</t>
        </is>
      </c>
      <c r="N982" s="7" t="inlineStr">
        <is>
          <t>Sim</t>
        </is>
      </c>
      <c r="O982" s="7" t="inlineStr">
        <is>
          <t>Sim</t>
        </is>
      </c>
      <c r="P982" s="16" t="inlineStr">
        <is>
          <t>1-2 anos detenção militar</t>
        </is>
      </c>
    </row>
    <row r="983">
      <c r="A983" s="7" t="inlineStr">
        <is>
          <t>CPM (DL 1.001/69)</t>
        </is>
      </c>
      <c r="B983" s="7" t="inlineStr">
        <is>
          <t>Art. 203</t>
        </is>
      </c>
      <c r="C983" s="16" t="inlineStr">
        <is>
          <t>Embriaguez em serviço (forma grave — comando)</t>
        </is>
      </c>
      <c r="D983" s="7" t="n">
        <v>6</v>
      </c>
      <c r="E983" s="7" t="n">
        <v>12</v>
      </c>
      <c r="F983" s="7" t="inlineStr">
        <is>
          <t>Detenção</t>
        </is>
      </c>
      <c r="G983" s="7" t="inlineStr">
        <is>
          <t>Pública Incondicionada</t>
        </is>
      </c>
      <c r="H983" s="7" t="inlineStr">
        <is>
          <t>Não</t>
        </is>
      </c>
      <c r="I983" s="7" t="inlineStr">
        <is>
          <t>Doloso</t>
        </is>
      </c>
      <c r="J983" s="7" t="inlineStr">
        <is>
          <t>Não</t>
        </is>
      </c>
      <c r="K983" s="7" t="inlineStr">
        <is>
          <t>Não</t>
        </is>
      </c>
      <c r="L983" s="7" t="inlineStr">
        <is>
          <t>Não</t>
        </is>
      </c>
      <c r="M983" s="7" t="inlineStr">
        <is>
          <t>Sim</t>
        </is>
      </c>
      <c r="N983" s="7" t="inlineStr">
        <is>
          <t>Sim</t>
        </is>
      </c>
      <c r="O983" s="7" t="inlineStr">
        <is>
          <t>Sim</t>
        </is>
      </c>
      <c r="P983" s="16" t="inlineStr">
        <is>
          <t>6 meses a 1 ano detenção militar. Quando no exercício de comando</t>
        </is>
      </c>
    </row>
    <row r="984">
      <c r="A984" s="7" t="inlineStr">
        <is>
          <t>CPM (DL 1.001/69)</t>
        </is>
      </c>
      <c r="B984" s="7" t="inlineStr">
        <is>
          <t>Art. 204</t>
        </is>
      </c>
      <c r="C984" s="16" t="inlineStr">
        <is>
          <t>Dormir em serviço de natureza militar em campanha</t>
        </is>
      </c>
      <c r="D984" s="7" t="n">
        <v>12</v>
      </c>
      <c r="E984" s="7" t="n">
        <v>24</v>
      </c>
      <c r="F984" s="7" t="inlineStr">
        <is>
          <t>Detenção</t>
        </is>
      </c>
      <c r="G984" s="7" t="inlineStr">
        <is>
          <t>Pública Incondicionada</t>
        </is>
      </c>
      <c r="H984" s="7" t="inlineStr">
        <is>
          <t>Não</t>
        </is>
      </c>
      <c r="I984" s="7" t="inlineStr">
        <is>
          <t>Culposo</t>
        </is>
      </c>
      <c r="J984" s="7" t="inlineStr">
        <is>
          <t>Não</t>
        </is>
      </c>
      <c r="K984" s="7" t="inlineStr">
        <is>
          <t>Não</t>
        </is>
      </c>
      <c r="L984" s="7" t="inlineStr">
        <is>
          <t>Não</t>
        </is>
      </c>
      <c r="M984" s="7" t="inlineStr">
        <is>
          <t>Sim</t>
        </is>
      </c>
      <c r="N984" s="7" t="inlineStr">
        <is>
          <t>Sim</t>
        </is>
      </c>
      <c r="O984" s="7" t="inlineStr">
        <is>
          <t>Sim</t>
        </is>
      </c>
      <c r="P984" s="16" t="inlineStr">
        <is>
          <t>1-2 anos detenção militar. Em situação de campanha/combate</t>
        </is>
      </c>
    </row>
    <row r="985">
      <c r="A985" s="7" t="inlineStr">
        <is>
          <t>CPM (DL 1.001/69)</t>
        </is>
      </c>
      <c r="B985" s="7" t="inlineStr">
        <is>
          <t>Art. 293</t>
        </is>
      </c>
      <c r="C985" s="16" t="inlineStr">
        <is>
          <t>Falsificação de documento militar (fabricar/alterar/falsificar documento militar)</t>
        </is>
      </c>
      <c r="D985" s="7" t="n">
        <v>24</v>
      </c>
      <c r="E985" s="7" t="n">
        <v>72</v>
      </c>
      <c r="F985" s="7" t="inlineStr">
        <is>
          <t>Reclusão</t>
        </is>
      </c>
      <c r="G985" s="7" t="inlineStr">
        <is>
          <t>Pública Incondicionada</t>
        </is>
      </c>
      <c r="H985" s="7" t="inlineStr">
        <is>
          <t>Não</t>
        </is>
      </c>
      <c r="I985" s="7" t="inlineStr">
        <is>
          <t>Doloso</t>
        </is>
      </c>
      <c r="J985" s="7" t="inlineStr">
        <is>
          <t>Sim</t>
        </is>
      </c>
      <c r="K985" s="7" t="inlineStr">
        <is>
          <t>Não</t>
        </is>
      </c>
      <c r="L985" s="7" t="inlineStr">
        <is>
          <t>Não</t>
        </is>
      </c>
      <c r="M985" s="7" t="inlineStr">
        <is>
          <t>Sim</t>
        </is>
      </c>
      <c r="N985" s="7" t="inlineStr">
        <is>
          <t>Não</t>
        </is>
      </c>
      <c r="O985" s="7" t="inlineStr">
        <is>
          <t>Sim</t>
        </is>
      </c>
      <c r="P985" s="16" t="inlineStr">
        <is>
          <t>2-6 anos reclusão militar</t>
        </is>
      </c>
    </row>
    <row r="986">
      <c r="A986" s="7" t="inlineStr">
        <is>
          <t>CPM (DL 1.001/69)</t>
        </is>
      </c>
      <c r="B986" s="7" t="inlineStr">
        <is>
          <t>Art. 296</t>
        </is>
      </c>
      <c r="C986" s="16" t="inlineStr">
        <is>
          <t>Falsificação de sinal, selo, carimbo ou marca de comando militar</t>
        </is>
      </c>
      <c r="D986" s="7" t="n">
        <v>12</v>
      </c>
      <c r="E986" s="7" t="n">
        <v>36</v>
      </c>
      <c r="F986" s="7" t="inlineStr">
        <is>
          <t>Reclusão</t>
        </is>
      </c>
      <c r="G986" s="7" t="inlineStr">
        <is>
          <t>Pública Incondicionada</t>
        </is>
      </c>
      <c r="H986" s="7" t="inlineStr">
        <is>
          <t>Não</t>
        </is>
      </c>
      <c r="I986" s="7" t="inlineStr">
        <is>
          <t>Doloso</t>
        </is>
      </c>
      <c r="J986" s="7" t="inlineStr">
        <is>
          <t>Sim</t>
        </is>
      </c>
      <c r="K986" s="7" t="inlineStr">
        <is>
          <t>Não</t>
        </is>
      </c>
      <c r="L986" s="7" t="inlineStr">
        <is>
          <t>Não</t>
        </is>
      </c>
      <c r="M986" s="7" t="inlineStr">
        <is>
          <t>Sim</t>
        </is>
      </c>
      <c r="N986" s="7" t="inlineStr">
        <is>
          <t>Sim</t>
        </is>
      </c>
      <c r="O986" s="7" t="inlineStr">
        <is>
          <t>Sim</t>
        </is>
      </c>
      <c r="P986" s="16" t="inlineStr">
        <is>
          <t>1-3 anos reclusão militar</t>
        </is>
      </c>
    </row>
    <row r="987">
      <c r="A987" s="26" t="inlineStr">
        <is>
          <t>CPM (DL 1.001/69)</t>
        </is>
      </c>
      <c r="B987" s="26" t="inlineStr">
        <is>
          <t>Art. 281</t>
        </is>
      </c>
      <c r="C987" s="27" t="inlineStr">
        <is>
          <t>Dano em material ou aparelhamento de guerra (danificar/destruir/inutilizar material de guerra/comunicações/transporte, ou de instalação militar)</t>
        </is>
      </c>
      <c r="D987" s="26" t="n">
        <v>24</v>
      </c>
      <c r="E987" s="26" t="n">
        <v>72</v>
      </c>
      <c r="F987" s="26" t="inlineStr">
        <is>
          <t>Reclusão</t>
        </is>
      </c>
      <c r="G987" s="26" t="inlineStr">
        <is>
          <t>Pública Incondicionada</t>
        </is>
      </c>
      <c r="H987" s="26" t="inlineStr">
        <is>
          <t>Não</t>
        </is>
      </c>
      <c r="I987" s="26" t="inlineStr">
        <is>
          <t>Doloso</t>
        </is>
      </c>
      <c r="J987" s="26" t="inlineStr">
        <is>
          <t>Sim</t>
        </is>
      </c>
      <c r="K987" s="26" t="inlineStr">
        <is>
          <t>Sim</t>
        </is>
      </c>
      <c r="L987" s="26" t="inlineStr">
        <is>
          <t>Não</t>
        </is>
      </c>
      <c r="M987" s="26" t="inlineStr">
        <is>
          <t>Não</t>
        </is>
      </c>
      <c r="N987" s="26" t="inlineStr">
        <is>
          <t>Não</t>
        </is>
      </c>
      <c r="O987" s="26" t="inlineStr">
        <is>
          <t>Sim</t>
        </is>
      </c>
      <c r="P987" s="27" t="inlineStr">
        <is>
          <t>2-6 anos reclusão militar. Se culposo: 6m-2a detenção</t>
        </is>
      </c>
    </row>
    <row r="988">
      <c r="A988" s="26" t="inlineStr">
        <is>
          <t>CPM (DL 1.001/69)</t>
        </is>
      </c>
      <c r="B988" s="26" t="inlineStr">
        <is>
          <t>Art. 282</t>
        </is>
      </c>
      <c r="C988" s="27" t="inlineStr">
        <is>
          <t>Dano em navio de guerra ou mercante em serviço militar</t>
        </is>
      </c>
      <c r="D988" s="26" t="n">
        <v>36</v>
      </c>
      <c r="E988" s="26" t="n">
        <v>96</v>
      </c>
      <c r="F988" s="26" t="inlineStr">
        <is>
          <t>Reclusão</t>
        </is>
      </c>
      <c r="G988" s="26" t="inlineStr">
        <is>
          <t>Pública Incondicionada</t>
        </is>
      </c>
      <c r="H988" s="26" t="inlineStr">
        <is>
          <t>Não</t>
        </is>
      </c>
      <c r="I988" s="26" t="inlineStr">
        <is>
          <t>Doloso</t>
        </is>
      </c>
      <c r="J988" s="26" t="inlineStr">
        <is>
          <t>Sim</t>
        </is>
      </c>
      <c r="K988" s="26" t="inlineStr">
        <is>
          <t>Sim</t>
        </is>
      </c>
      <c r="L988" s="26" t="inlineStr">
        <is>
          <t>Não</t>
        </is>
      </c>
      <c r="M988" s="26" t="inlineStr">
        <is>
          <t>Não</t>
        </is>
      </c>
      <c r="N988" s="26" t="inlineStr">
        <is>
          <t>Não</t>
        </is>
      </c>
      <c r="O988" s="26" t="inlineStr">
        <is>
          <t>Verificar</t>
        </is>
      </c>
      <c r="P988" s="27" t="inlineStr">
        <is>
          <t>3-8 anos reclusão militar</t>
        </is>
      </c>
    </row>
    <row r="989">
      <c r="A989" s="7" t="inlineStr">
        <is>
          <t>CPM (DL 1.001/69)</t>
        </is>
      </c>
      <c r="B989" s="7" t="inlineStr">
        <is>
          <t>Art. 283</t>
        </is>
      </c>
      <c r="C989" s="16" t="inlineStr">
        <is>
          <t>Recusa de retorno ao Brasil de comandante de navio (recusar retornar a porto nacional quando para isso tenha recebido ordem)</t>
        </is>
      </c>
      <c r="D989" s="7" t="n">
        <v>36</v>
      </c>
      <c r="E989" s="7" t="n">
        <v>72</v>
      </c>
      <c r="F989" s="7" t="inlineStr">
        <is>
          <t>Reclusão</t>
        </is>
      </c>
      <c r="G989" s="7" t="inlineStr">
        <is>
          <t>Pública Incondicionada</t>
        </is>
      </c>
      <c r="H989" s="7" t="inlineStr">
        <is>
          <t>Não</t>
        </is>
      </c>
      <c r="I989" s="7" t="inlineStr">
        <is>
          <t>Doloso</t>
        </is>
      </c>
      <c r="J989" s="7" t="inlineStr">
        <is>
          <t>Sim</t>
        </is>
      </c>
      <c r="K989" s="7" t="inlineStr">
        <is>
          <t>Não</t>
        </is>
      </c>
      <c r="L989" s="7" t="inlineStr">
        <is>
          <t>Não</t>
        </is>
      </c>
      <c r="M989" s="7" t="inlineStr">
        <is>
          <t>Sim</t>
        </is>
      </c>
      <c r="N989" s="7" t="inlineStr">
        <is>
          <t>Não</t>
        </is>
      </c>
      <c r="O989" s="7" t="inlineStr">
        <is>
          <t>Verificar</t>
        </is>
      </c>
      <c r="P989" s="16" t="inlineStr">
        <is>
          <t>3-6 anos reclusão militar</t>
        </is>
      </c>
    </row>
    <row r="990">
      <c r="A990" s="26" t="inlineStr">
        <is>
          <t>CPM (DL 1.001/69)</t>
        </is>
      </c>
      <c r="B990" s="26" t="inlineStr">
        <is>
          <t>Art. 175</t>
        </is>
      </c>
      <c r="C990" s="27" t="inlineStr">
        <is>
          <t>Violência contra inferior hierárquico (praticar violência contra inferior)</t>
        </is>
      </c>
      <c r="D990" s="26" t="n">
        <v>3</v>
      </c>
      <c r="E990" s="26" t="n">
        <v>12</v>
      </c>
      <c r="F990" s="26" t="inlineStr">
        <is>
          <t>Detenção</t>
        </is>
      </c>
      <c r="G990" s="26" t="inlineStr">
        <is>
          <t>Pública Incondicionada</t>
        </is>
      </c>
      <c r="H990" s="26" t="inlineStr">
        <is>
          <t>Não</t>
        </is>
      </c>
      <c r="I990" s="26" t="inlineStr">
        <is>
          <t>Doloso</t>
        </is>
      </c>
      <c r="J990" s="26" t="inlineStr">
        <is>
          <t>Sim</t>
        </is>
      </c>
      <c r="K990" s="26" t="inlineStr">
        <is>
          <t>Sim</t>
        </is>
      </c>
      <c r="L990" s="26" t="inlineStr">
        <is>
          <t>Não</t>
        </is>
      </c>
      <c r="M990" s="26" t="inlineStr">
        <is>
          <t>Não</t>
        </is>
      </c>
      <c r="N990" s="26" t="inlineStr">
        <is>
          <t>Sim</t>
        </is>
      </c>
      <c r="O990" s="26" t="inlineStr">
        <is>
          <t>Sim</t>
        </is>
      </c>
      <c r="P990" s="27" t="inlineStr">
        <is>
          <t>3 meses a 1 ano detenção militar. Se resultar lesão grave: pena do crime mais grave</t>
        </is>
      </c>
    </row>
    <row r="991">
      <c r="A991" s="26" t="inlineStr">
        <is>
          <t>CPM (DL 1.001/69)</t>
        </is>
      </c>
      <c r="B991" s="26" t="inlineStr">
        <is>
          <t>Art. 176</t>
        </is>
      </c>
      <c r="C991" s="27" t="inlineStr">
        <is>
          <t>Ofensa aviltante a inferior (ofender inferior mediante ato de violência que o atinja na honra/dignidade ou que se não constitui crime mais grave)</t>
        </is>
      </c>
      <c r="D991" s="26" t="n">
        <v>3</v>
      </c>
      <c r="E991" s="26" t="n">
        <v>6</v>
      </c>
      <c r="F991" s="26" t="inlineStr">
        <is>
          <t>Detenção</t>
        </is>
      </c>
      <c r="G991" s="26" t="inlineStr">
        <is>
          <t>Pública Incondicionada</t>
        </is>
      </c>
      <c r="H991" s="26" t="inlineStr">
        <is>
          <t>Não</t>
        </is>
      </c>
      <c r="I991" s="26" t="inlineStr">
        <is>
          <t>Doloso</t>
        </is>
      </c>
      <c r="J991" s="26" t="inlineStr">
        <is>
          <t>Sim</t>
        </is>
      </c>
      <c r="K991" s="26" t="inlineStr">
        <is>
          <t>Sim</t>
        </is>
      </c>
      <c r="L991" s="26" t="inlineStr">
        <is>
          <t>Não</t>
        </is>
      </c>
      <c r="M991" s="26" t="inlineStr">
        <is>
          <t>Não</t>
        </is>
      </c>
      <c r="N991" s="26" t="inlineStr">
        <is>
          <t>Sim</t>
        </is>
      </c>
      <c r="O991" s="26" t="inlineStr">
        <is>
          <t>Sim</t>
        </is>
      </c>
      <c r="P991" s="27" t="inlineStr">
        <is>
          <t>3-6 meses detenção militar</t>
        </is>
      </c>
    </row>
    <row r="992">
      <c r="A992" s="7" t="inlineStr">
        <is>
          <t>LCP (DL 3.688/41)</t>
        </is>
      </c>
      <c r="B992" s="7" t="inlineStr">
        <is>
          <t>Art. 18</t>
        </is>
      </c>
      <c r="C992" s="16" t="inlineStr">
        <is>
          <t>Desobediência a decisão judicial sobre perda ou suspensão de direito</t>
        </is>
      </c>
      <c r="D992" s="7" t="n">
        <v>15</v>
      </c>
      <c r="E992" s="7" t="n">
        <v>6</v>
      </c>
      <c r="F992" s="7" t="inlineStr">
        <is>
          <t>Prisão simples</t>
        </is>
      </c>
      <c r="G992" s="7" t="inlineStr">
        <is>
          <t>Pública Incondicionada</t>
        </is>
      </c>
      <c r="H992" s="7" t="inlineStr">
        <is>
          <t>Não</t>
        </is>
      </c>
      <c r="I992" s="7" t="inlineStr">
        <is>
          <t>Doloso</t>
        </is>
      </c>
      <c r="J992" s="7" t="inlineStr">
        <is>
          <t>Não</t>
        </is>
      </c>
      <c r="K992" s="7" t="inlineStr">
        <is>
          <t>Não</t>
        </is>
      </c>
      <c r="L992" s="7" t="inlineStr">
        <is>
          <t>Não</t>
        </is>
      </c>
      <c r="M992" s="7" t="inlineStr">
        <is>
          <t>Sim</t>
        </is>
      </c>
      <c r="N992" s="7" t="inlineStr">
        <is>
          <t>Não</t>
        </is>
      </c>
      <c r="O992" s="7" t="inlineStr">
        <is>
          <t>Sim</t>
        </is>
      </c>
      <c r="P992" s="16" t="inlineStr">
        <is>
          <t>15 dias a 6 meses prisão simples + multa</t>
        </is>
      </c>
    </row>
    <row r="993">
      <c r="A993" s="7" t="inlineStr">
        <is>
          <t>LCP (DL 3.688/41)</t>
        </is>
      </c>
      <c r="B993" s="7" t="inlineStr">
        <is>
          <t>Art. 19</t>
        </is>
      </c>
      <c r="C993" s="16" t="inlineStr">
        <is>
          <t>Trazer consigo arma fora de casa ou de dependência desta, sem licença da autoridade</t>
        </is>
      </c>
      <c r="D993" s="7" t="n">
        <v>15</v>
      </c>
      <c r="E993" s="7" t="n">
        <v>6</v>
      </c>
      <c r="F993" s="7" t="inlineStr">
        <is>
          <t>Prisão simples</t>
        </is>
      </c>
      <c r="G993" s="7" t="inlineStr">
        <is>
          <t>Pública Incondicionada</t>
        </is>
      </c>
      <c r="H993" s="7" t="inlineStr">
        <is>
          <t>Não</t>
        </is>
      </c>
      <c r="I993" s="7" t="inlineStr">
        <is>
          <t>Doloso</t>
        </is>
      </c>
      <c r="J993" s="7" t="inlineStr">
        <is>
          <t>Não</t>
        </is>
      </c>
      <c r="K993" s="7" t="inlineStr">
        <is>
          <t>Não</t>
        </is>
      </c>
      <c r="L993" s="7" t="inlineStr">
        <is>
          <t>Não</t>
        </is>
      </c>
      <c r="M993" s="7" t="inlineStr">
        <is>
          <t>Sim</t>
        </is>
      </c>
      <c r="N993" s="7" t="inlineStr">
        <is>
          <t>Não</t>
        </is>
      </c>
      <c r="O993" s="7" t="inlineStr">
        <is>
          <t>Sim</t>
        </is>
      </c>
      <c r="P993" s="16" t="inlineStr">
        <is>
          <t>15 dias a 6 meses prisão simples + multa. Absorvido parcialmente pelo Estatuto do Desarmamento (Lei 10.826/03) para armas de fogo</t>
        </is>
      </c>
    </row>
    <row r="994">
      <c r="A994" s="26" t="inlineStr">
        <is>
          <t>LCP (DL 3.688/41)</t>
        </is>
      </c>
      <c r="B994" s="26" t="inlineStr">
        <is>
          <t>Art. 21</t>
        </is>
      </c>
      <c r="C994" s="27" t="inlineStr">
        <is>
          <t>Praticar vias de fato contra alguém (agressão física leve)</t>
        </is>
      </c>
      <c r="D994" s="26" t="n">
        <v>15</v>
      </c>
      <c r="E994" s="26" t="n">
        <v>3</v>
      </c>
      <c r="F994" s="26" t="inlineStr">
        <is>
          <t>Prisão simples</t>
        </is>
      </c>
      <c r="G994" s="26" t="inlineStr">
        <is>
          <t>Pública Incondicionada</t>
        </is>
      </c>
      <c r="H994" s="26" t="inlineStr">
        <is>
          <t>Não</t>
        </is>
      </c>
      <c r="I994" s="26" t="inlineStr">
        <is>
          <t>Doloso</t>
        </is>
      </c>
      <c r="J994" s="26" t="inlineStr">
        <is>
          <t>Sim</t>
        </is>
      </c>
      <c r="K994" s="26" t="inlineStr">
        <is>
          <t>Sim</t>
        </is>
      </c>
      <c r="L994" s="26" t="inlineStr">
        <is>
          <t>Não</t>
        </is>
      </c>
      <c r="M994" s="26" t="inlineStr">
        <is>
          <t>Não</t>
        </is>
      </c>
      <c r="N994" s="26" t="inlineStr">
        <is>
          <t>Não</t>
        </is>
      </c>
      <c r="O994" s="26" t="inlineStr">
        <is>
          <t>Sim</t>
        </is>
      </c>
      <c r="P994" s="27" t="inlineStr">
        <is>
          <t>15 dias a 3 meses prisão simples. Vias de fato: empurrão, tapa, puxão. Se deixar lesão: Art. 129 CP</t>
        </is>
      </c>
    </row>
    <row r="995">
      <c r="A995" s="7" t="inlineStr">
        <is>
          <t>LCP (DL 3.688/41)</t>
        </is>
      </c>
      <c r="B995" s="7" t="inlineStr">
        <is>
          <t>Art. 25</t>
        </is>
      </c>
      <c r="C995" s="16" t="inlineStr">
        <is>
          <t>Ter em seu poder, depois de intimado pela autoridade, animal perigoso, sem as devidas cautelas</t>
        </is>
      </c>
      <c r="D995" s="7" t="n">
        <v>10</v>
      </c>
      <c r="E995" s="7" t="n">
        <v>2</v>
      </c>
      <c r="F995" s="7" t="inlineStr">
        <is>
          <t>Prisão simples</t>
        </is>
      </c>
      <c r="G995" s="7" t="inlineStr">
        <is>
          <t>Pública Incondicionada</t>
        </is>
      </c>
      <c r="H995" s="7" t="inlineStr">
        <is>
          <t>Não</t>
        </is>
      </c>
      <c r="I995" s="7" t="inlineStr">
        <is>
          <t>Doloso</t>
        </is>
      </c>
      <c r="J995" s="7" t="inlineStr">
        <is>
          <t>Não</t>
        </is>
      </c>
      <c r="K995" s="7" t="inlineStr">
        <is>
          <t>Não</t>
        </is>
      </c>
      <c r="L995" s="7" t="inlineStr">
        <is>
          <t>Não</t>
        </is>
      </c>
      <c r="M995" s="7" t="inlineStr">
        <is>
          <t>Sim</t>
        </is>
      </c>
      <c r="N995" s="7" t="inlineStr">
        <is>
          <t>Sim</t>
        </is>
      </c>
      <c r="O995" s="7" t="inlineStr">
        <is>
          <t>Sim</t>
        </is>
      </c>
      <c r="P995" s="16" t="inlineStr">
        <is>
          <t>10 dias a 2 meses prisão simples + multa</t>
        </is>
      </c>
    </row>
    <row r="996">
      <c r="A996" s="7" t="inlineStr">
        <is>
          <t>LCP (DL 3.688/41)</t>
        </is>
      </c>
      <c r="B996" s="7" t="inlineStr">
        <is>
          <t>Art. 26</t>
        </is>
      </c>
      <c r="C996" s="16" t="inlineStr">
        <is>
          <t>Abrir valas ou escavações que ponham em perigo a vida, a integridade física ou o patrimônio de outrem, sem as devidas sinalizações</t>
        </is>
      </c>
      <c r="D996" s="7" t="n">
        <v>15</v>
      </c>
      <c r="E996" s="7" t="n">
        <v>3</v>
      </c>
      <c r="F996" s="7" t="inlineStr">
        <is>
          <t>Prisão simples</t>
        </is>
      </c>
      <c r="G996" s="7" t="inlineStr">
        <is>
          <t>Pública Incondicionada</t>
        </is>
      </c>
      <c r="H996" s="7" t="inlineStr">
        <is>
          <t>Não</t>
        </is>
      </c>
      <c r="I996" s="7" t="inlineStr">
        <is>
          <t>Doloso</t>
        </is>
      </c>
      <c r="J996" s="7" t="inlineStr">
        <is>
          <t>Não</t>
        </is>
      </c>
      <c r="K996" s="7" t="inlineStr">
        <is>
          <t>Não</t>
        </is>
      </c>
      <c r="L996" s="7" t="inlineStr">
        <is>
          <t>Não</t>
        </is>
      </c>
      <c r="M996" s="7" t="inlineStr">
        <is>
          <t>Sim</t>
        </is>
      </c>
      <c r="N996" s="7" t="inlineStr">
        <is>
          <t>Não</t>
        </is>
      </c>
      <c r="O996" s="7" t="inlineStr">
        <is>
          <t>Sim</t>
        </is>
      </c>
      <c r="P996" s="16" t="inlineStr">
        <is>
          <t>15 dias a 3 meses prisão simples + multa</t>
        </is>
      </c>
    </row>
    <row r="997">
      <c r="A997" s="26" t="inlineStr">
        <is>
          <t>LCP (DL 3.688/41)</t>
        </is>
      </c>
      <c r="B997" s="26" t="inlineStr">
        <is>
          <t>Art. 28</t>
        </is>
      </c>
      <c r="C997" s="27" t="inlineStr">
        <is>
          <t>Disparar arma de fogo em lugar habitado ou nas suas adjacências, em via pública ou em direção a ela</t>
        </is>
      </c>
      <c r="D997" s="26" t="n">
        <v>1</v>
      </c>
      <c r="E997" s="26" t="n">
        <v>3</v>
      </c>
      <c r="F997" s="26" t="inlineStr">
        <is>
          <t>Prisão simples</t>
        </is>
      </c>
      <c r="G997" s="26" t="inlineStr">
        <is>
          <t>Pública Incondicionada</t>
        </is>
      </c>
      <c r="H997" s="26" t="inlineStr">
        <is>
          <t>Não</t>
        </is>
      </c>
      <c r="I997" s="26" t="inlineStr">
        <is>
          <t>Doloso</t>
        </is>
      </c>
      <c r="J997" s="26" t="inlineStr">
        <is>
          <t>Não</t>
        </is>
      </c>
      <c r="K997" s="26" t="inlineStr">
        <is>
          <t>Sim</t>
        </is>
      </c>
      <c r="L997" s="26" t="inlineStr">
        <is>
          <t>Não</t>
        </is>
      </c>
      <c r="M997" s="26" t="inlineStr">
        <is>
          <t>Não</t>
        </is>
      </c>
      <c r="N997" s="26" t="inlineStr">
        <is>
          <t>Sim</t>
        </is>
      </c>
      <c r="O997" s="26" t="inlineStr">
        <is>
          <t>Sim</t>
        </is>
      </c>
      <c r="P997" s="27" t="inlineStr">
        <is>
          <t>1-3 meses prisão simples + multa. Absorvido pelo Art. 15 da Lei 10.826/03 para armas de fogo</t>
        </is>
      </c>
    </row>
    <row r="998">
      <c r="A998" s="7" t="inlineStr">
        <is>
          <t>LCP (DL 3.688/41)</t>
        </is>
      </c>
      <c r="B998" s="7" t="inlineStr">
        <is>
          <t>Art. 31</t>
        </is>
      </c>
      <c r="C998" s="16" t="inlineStr">
        <is>
          <t>Deixar em liberdade, confiar à guarda de pessoa inexperiente, ou não guardar com a devida cautela animal perigoso</t>
        </is>
      </c>
      <c r="D998" s="7" t="n">
        <v>10</v>
      </c>
      <c r="E998" s="7" t="n">
        <v>2</v>
      </c>
      <c r="F998" s="7" t="inlineStr">
        <is>
          <t>Prisão simples</t>
        </is>
      </c>
      <c r="G998" s="7" t="inlineStr">
        <is>
          <t>Pública Incondicionada</t>
        </is>
      </c>
      <c r="H998" s="7" t="inlineStr">
        <is>
          <t>Não</t>
        </is>
      </c>
      <c r="I998" s="7" t="inlineStr">
        <is>
          <t>Culposo</t>
        </is>
      </c>
      <c r="J998" s="7" t="inlineStr">
        <is>
          <t>Não</t>
        </is>
      </c>
      <c r="K998" s="7" t="inlineStr">
        <is>
          <t>Não</t>
        </is>
      </c>
      <c r="L998" s="7" t="inlineStr">
        <is>
          <t>Não</t>
        </is>
      </c>
      <c r="M998" s="7" t="inlineStr">
        <is>
          <t>Sim</t>
        </is>
      </c>
      <c r="N998" s="7" t="inlineStr">
        <is>
          <t>Sim</t>
        </is>
      </c>
      <c r="O998" s="7" t="inlineStr">
        <is>
          <t>Sim</t>
        </is>
      </c>
      <c r="P998" s="16" t="inlineStr">
        <is>
          <t>10 dias a 2 meses prisão simples + multa</t>
        </is>
      </c>
    </row>
    <row r="999">
      <c r="A999" s="7" t="inlineStr">
        <is>
          <t>LCP (DL 3.688/41)</t>
        </is>
      </c>
      <c r="B999" s="7" t="inlineStr">
        <is>
          <t>Art. 32</t>
        </is>
      </c>
      <c r="C999" s="16" t="inlineStr">
        <is>
          <t>Dirigir veículos na via pública ou embarcações em águas públicas pondo em perigo a segurança alheia ou sem habilitação</t>
        </is>
      </c>
      <c r="D999" s="7" t="n">
        <v>15</v>
      </c>
      <c r="E999" s="7" t="n">
        <v>3</v>
      </c>
      <c r="F999" s="7" t="inlineStr">
        <is>
          <t>Prisão simples</t>
        </is>
      </c>
      <c r="G999" s="7" t="inlineStr">
        <is>
          <t>Pública Incondicionada</t>
        </is>
      </c>
      <c r="H999" s="7" t="inlineStr">
        <is>
          <t>Não</t>
        </is>
      </c>
      <c r="I999" s="7" t="inlineStr">
        <is>
          <t>Doloso</t>
        </is>
      </c>
      <c r="J999" s="7" t="inlineStr">
        <is>
          <t>Não</t>
        </is>
      </c>
      <c r="K999" s="7" t="inlineStr">
        <is>
          <t>Não</t>
        </is>
      </c>
      <c r="L999" s="7" t="inlineStr">
        <is>
          <t>Não</t>
        </is>
      </c>
      <c r="M999" s="7" t="inlineStr">
        <is>
          <t>Sim</t>
        </is>
      </c>
      <c r="N999" s="7" t="inlineStr">
        <is>
          <t>Não</t>
        </is>
      </c>
      <c r="O999" s="7" t="inlineStr">
        <is>
          <t>Sim</t>
        </is>
      </c>
      <c r="P999" s="16" t="inlineStr">
        <is>
          <t>15 dias a 3 meses prisão simples + multa. Parcialmente absorvido pelo CTB (9.503/97)</t>
        </is>
      </c>
    </row>
    <row r="1000">
      <c r="A1000" s="7" t="inlineStr">
        <is>
          <t>LCP (DL 3.688/41)</t>
        </is>
      </c>
      <c r="B1000" s="7" t="inlineStr">
        <is>
          <t>Art. 34</t>
        </is>
      </c>
      <c r="C1000" s="16" t="inlineStr">
        <is>
          <t>Dirigir veículos em via pública ou embarcações em águas públicas em estado de embriaguez</t>
        </is>
      </c>
      <c r="D1000" s="7" t="n">
        <v>15</v>
      </c>
      <c r="E1000" s="7" t="n">
        <v>3</v>
      </c>
      <c r="F1000" s="7" t="inlineStr">
        <is>
          <t>Prisão simples</t>
        </is>
      </c>
      <c r="G1000" s="7" t="inlineStr">
        <is>
          <t>Pública Incondicionada</t>
        </is>
      </c>
      <c r="H1000" s="7" t="inlineStr">
        <is>
          <t>Não</t>
        </is>
      </c>
      <c r="I1000" s="7" t="inlineStr">
        <is>
          <t>Doloso</t>
        </is>
      </c>
      <c r="J1000" s="7" t="inlineStr">
        <is>
          <t>Não</t>
        </is>
      </c>
      <c r="K1000" s="7" t="inlineStr">
        <is>
          <t>Não</t>
        </is>
      </c>
      <c r="L1000" s="7" t="inlineStr">
        <is>
          <t>Não</t>
        </is>
      </c>
      <c r="M1000" s="7" t="inlineStr">
        <is>
          <t>Sim</t>
        </is>
      </c>
      <c r="N1000" s="7" t="inlineStr">
        <is>
          <t>Não</t>
        </is>
      </c>
      <c r="O1000" s="7" t="inlineStr">
        <is>
          <t>Sim</t>
        </is>
      </c>
      <c r="P1000" s="16" t="inlineStr">
        <is>
          <t>15 dias a 3 meses prisão simples + multa. Absorvido pelo Art. 306 CTB para veículos automotores</t>
        </is>
      </c>
    </row>
    <row r="1001">
      <c r="A1001" s="7" t="inlineStr">
        <is>
          <t>LCP (DL 3.688/41)</t>
        </is>
      </c>
      <c r="B1001" s="7" t="inlineStr">
        <is>
          <t>Art. 42</t>
        </is>
      </c>
      <c r="C1001" s="16" t="inlineStr">
        <is>
          <t>Perturbar alguém o trabalho ou o sossego alheios com gritaria/algazarra, exercendo profissão incômoda/ruidosa, abusando de instrumentos sonoros ou sinais acústicos, provocando/não procurando impedir barulho produzido por animal de que tem guarda</t>
        </is>
      </c>
      <c r="D1001" s="7" t="n">
        <v>15</v>
      </c>
      <c r="E1001" s="7" t="n">
        <v>3</v>
      </c>
      <c r="F1001" s="7" t="inlineStr">
        <is>
          <t>Prisão simples</t>
        </is>
      </c>
      <c r="G1001" s="7" t="inlineStr">
        <is>
          <t>Pública Incondicionada</t>
        </is>
      </c>
      <c r="H1001" s="7" t="inlineStr">
        <is>
          <t>Não</t>
        </is>
      </c>
      <c r="I1001" s="7" t="inlineStr">
        <is>
          <t>Doloso</t>
        </is>
      </c>
      <c r="J1001" s="7" t="inlineStr">
        <is>
          <t>Não</t>
        </is>
      </c>
      <c r="K1001" s="7" t="inlineStr">
        <is>
          <t>Não</t>
        </is>
      </c>
      <c r="L1001" s="7" t="inlineStr">
        <is>
          <t>Não</t>
        </is>
      </c>
      <c r="M1001" s="7" t="inlineStr">
        <is>
          <t>Sim</t>
        </is>
      </c>
      <c r="N1001" s="7" t="inlineStr">
        <is>
          <t>Não</t>
        </is>
      </c>
      <c r="O1001" s="7" t="inlineStr">
        <is>
          <t>Sim</t>
        </is>
      </c>
      <c r="P1001" s="16" t="inlineStr">
        <is>
          <t>15 dias a 3 meses prisão simples + multa. Perturbação do sossego</t>
        </is>
      </c>
    </row>
    <row r="1002">
      <c r="A1002" s="7" t="inlineStr">
        <is>
          <t>LCP (DL 3.688/41)</t>
        </is>
      </c>
      <c r="B1002" s="7" t="inlineStr">
        <is>
          <t>Art. 46</t>
        </is>
      </c>
      <c r="C1002" s="16" t="inlineStr">
        <is>
          <t>Participar de jogo de azar em lugar público ou acessível ao público, mediante aposta em dinheiro</t>
        </is>
      </c>
      <c r="D1002" s="7" t="n">
        <v>15</v>
      </c>
      <c r="E1002" s="7" t="n">
        <v>3</v>
      </c>
      <c r="F1002" s="7" t="inlineStr">
        <is>
          <t>Prisão simples</t>
        </is>
      </c>
      <c r="G1002" s="7" t="inlineStr">
        <is>
          <t>Pública Incondicionada</t>
        </is>
      </c>
      <c r="H1002" s="7" t="inlineStr">
        <is>
          <t>Não</t>
        </is>
      </c>
      <c r="I1002" s="7" t="inlineStr">
        <is>
          <t>Doloso</t>
        </is>
      </c>
      <c r="J1002" s="7" t="inlineStr">
        <is>
          <t>Não</t>
        </is>
      </c>
      <c r="K1002" s="7" t="inlineStr">
        <is>
          <t>Não</t>
        </is>
      </c>
      <c r="L1002" s="7" t="inlineStr">
        <is>
          <t>Não</t>
        </is>
      </c>
      <c r="M1002" s="7" t="inlineStr">
        <is>
          <t>Sim</t>
        </is>
      </c>
      <c r="N1002" s="7" t="inlineStr">
        <is>
          <t>Não</t>
        </is>
      </c>
      <c r="O1002" s="7" t="inlineStr">
        <is>
          <t>Sim</t>
        </is>
      </c>
      <c r="P1002" s="16" t="inlineStr">
        <is>
          <t>15 dias a 3 meses prisão simples + multa</t>
        </is>
      </c>
    </row>
    <row r="1003">
      <c r="A1003" s="7" t="inlineStr">
        <is>
          <t>LCP (DL 3.688/41)</t>
        </is>
      </c>
      <c r="B1003" s="7" t="inlineStr">
        <is>
          <t>Art. 47</t>
        </is>
      </c>
      <c r="C1003" s="16" t="inlineStr">
        <is>
          <t>Exercer profissão/atividade sem preencher condições a que por lei está subordinado o seu exercício</t>
        </is>
      </c>
      <c r="D1003" s="7" t="n">
        <v>15</v>
      </c>
      <c r="E1003" s="7" t="n">
        <v>3</v>
      </c>
      <c r="F1003" s="7" t="inlineStr">
        <is>
          <t>Prisão simples</t>
        </is>
      </c>
      <c r="G1003" s="7" t="inlineStr">
        <is>
          <t>Pública Incondicionada</t>
        </is>
      </c>
      <c r="H1003" s="7" t="inlineStr">
        <is>
          <t>Não</t>
        </is>
      </c>
      <c r="I1003" s="7" t="inlineStr">
        <is>
          <t>Doloso</t>
        </is>
      </c>
      <c r="J1003" s="7" t="inlineStr">
        <is>
          <t>Não</t>
        </is>
      </c>
      <c r="K1003" s="7" t="inlineStr">
        <is>
          <t>Não</t>
        </is>
      </c>
      <c r="L1003" s="7" t="inlineStr">
        <is>
          <t>Não</t>
        </is>
      </c>
      <c r="M1003" s="7" t="inlineStr">
        <is>
          <t>Sim</t>
        </is>
      </c>
      <c r="N1003" s="7" t="inlineStr">
        <is>
          <t>Não</t>
        </is>
      </c>
      <c r="O1003" s="7" t="inlineStr">
        <is>
          <t>Sim</t>
        </is>
      </c>
      <c r="P1003" s="16" t="inlineStr">
        <is>
          <t>15 dias a 3 meses prisão simples + multa</t>
        </is>
      </c>
    </row>
    <row r="1004">
      <c r="A1004" s="7" t="inlineStr">
        <is>
          <t>LCP (DL 3.688/41)</t>
        </is>
      </c>
      <c r="B1004" s="7" t="inlineStr">
        <is>
          <t>Art. 50</t>
        </is>
      </c>
      <c r="C1004" s="16" t="inlineStr">
        <is>
          <t>Estabelecer ou explorar jogo de azar em lugar público ou acessível ao público</t>
        </is>
      </c>
      <c r="D1004" s="7" t="n">
        <v>3</v>
      </c>
      <c r="E1004" s="7" t="n">
        <v>12</v>
      </c>
      <c r="F1004" s="7" t="inlineStr">
        <is>
          <t>Prisão simples</t>
        </is>
      </c>
      <c r="G1004" s="7" t="inlineStr">
        <is>
          <t>Pública Incondicionada</t>
        </is>
      </c>
      <c r="H1004" s="7" t="inlineStr">
        <is>
          <t>Não</t>
        </is>
      </c>
      <c r="I1004" s="7" t="inlineStr">
        <is>
          <t>Doloso</t>
        </is>
      </c>
      <c r="J1004" s="7" t="inlineStr">
        <is>
          <t>Não</t>
        </is>
      </c>
      <c r="K1004" s="7" t="inlineStr">
        <is>
          <t>Não</t>
        </is>
      </c>
      <c r="L1004" s="7" t="inlineStr">
        <is>
          <t>Não</t>
        </is>
      </c>
      <c r="M1004" s="7" t="inlineStr">
        <is>
          <t>Sim</t>
        </is>
      </c>
      <c r="N1004" s="7" t="inlineStr">
        <is>
          <t>Sim</t>
        </is>
      </c>
      <c r="O1004" s="7" t="inlineStr">
        <is>
          <t>Sim</t>
        </is>
      </c>
      <c r="P1004" s="16" t="inlineStr">
        <is>
          <t>3 meses a 1 ano prisão simples + multa. Banca de jogo de azar</t>
        </is>
      </c>
    </row>
    <row r="1005">
      <c r="A1005" s="7" t="inlineStr">
        <is>
          <t>LCP (DL 3.688/41)</t>
        </is>
      </c>
      <c r="B1005" s="7" t="inlineStr">
        <is>
          <t>Art. 58</t>
        </is>
      </c>
      <c r="C1005" s="16" t="inlineStr">
        <is>
          <t>Explorar ou realizar a loteria denominada jogo do bicho, ou praticar qualquer ato relativo à sua realização ou exploração</t>
        </is>
      </c>
      <c r="D1005" s="7" t="n">
        <v>4</v>
      </c>
      <c r="E1005" s="7" t="n">
        <v>12</v>
      </c>
      <c r="F1005" s="7" t="inlineStr">
        <is>
          <t>Prisão simples</t>
        </is>
      </c>
      <c r="G1005" s="7" t="inlineStr">
        <is>
          <t>Pública Incondicionada</t>
        </is>
      </c>
      <c r="H1005" s="7" t="inlineStr">
        <is>
          <t>Não</t>
        </is>
      </c>
      <c r="I1005" s="7" t="inlineStr">
        <is>
          <t>Doloso</t>
        </is>
      </c>
      <c r="J1005" s="7" t="inlineStr">
        <is>
          <t>Não</t>
        </is>
      </c>
      <c r="K1005" s="7" t="inlineStr">
        <is>
          <t>Não</t>
        </is>
      </c>
      <c r="L1005" s="7" t="inlineStr">
        <is>
          <t>Não</t>
        </is>
      </c>
      <c r="M1005" s="7" t="inlineStr">
        <is>
          <t>Sim</t>
        </is>
      </c>
      <c r="N1005" s="7" t="inlineStr">
        <is>
          <t>Sim</t>
        </is>
      </c>
      <c r="O1005" s="7" t="inlineStr">
        <is>
          <t>Sim</t>
        </is>
      </c>
      <c r="P1005" s="16" t="inlineStr">
        <is>
          <t>4 meses a 1 ano prisão simples + multa. Jogo do bicho</t>
        </is>
      </c>
    </row>
    <row r="1006">
      <c r="A1006" s="7" t="inlineStr">
        <is>
          <t>LCP (DL 3.688/41)</t>
        </is>
      </c>
      <c r="B1006" s="7" t="inlineStr">
        <is>
          <t>Art. 59</t>
        </is>
      </c>
      <c r="C1006" s="16" t="inlineStr">
        <is>
          <t>Entregar-se habitualmente à ociosidade, sendo válido para o trabalho (vadiagem)</t>
        </is>
      </c>
      <c r="D1006" s="7" t="n">
        <v>15</v>
      </c>
      <c r="E1006" s="7" t="n">
        <v>3</v>
      </c>
      <c r="F1006" s="7" t="inlineStr">
        <is>
          <t>Prisão simples</t>
        </is>
      </c>
      <c r="G1006" s="7" t="inlineStr">
        <is>
          <t>Pública Incondicionada</t>
        </is>
      </c>
      <c r="H1006" s="7" t="inlineStr">
        <is>
          <t>Não</t>
        </is>
      </c>
      <c r="I1006" s="7" t="inlineStr">
        <is>
          <t>Doloso</t>
        </is>
      </c>
      <c r="J1006" s="7" t="inlineStr">
        <is>
          <t>Não</t>
        </is>
      </c>
      <c r="K1006" s="7" t="inlineStr">
        <is>
          <t>Não</t>
        </is>
      </c>
      <c r="L1006" s="7" t="inlineStr">
        <is>
          <t>Não</t>
        </is>
      </c>
      <c r="M1006" s="7" t="inlineStr">
        <is>
          <t>Sim</t>
        </is>
      </c>
      <c r="N1006" s="7" t="inlineStr">
        <is>
          <t>Não</t>
        </is>
      </c>
      <c r="O1006" s="7" t="inlineStr">
        <is>
          <t>Sim</t>
        </is>
      </c>
      <c r="P1006" s="16" t="inlineStr">
        <is>
          <t>15 dias a 3 meses prisão simples. Controversa — questionada à luz da CF/88 (liberdade de trabalho). Muitos consideram não recepcionada</t>
        </is>
      </c>
    </row>
    <row r="1007">
      <c r="A1007" s="7" t="inlineStr">
        <is>
          <t>LCP (DL 3.688/41)</t>
        </is>
      </c>
      <c r="B1007" s="7" t="inlineStr">
        <is>
          <t>Art. 60</t>
        </is>
      </c>
      <c r="C1007" s="16" t="inlineStr">
        <is>
          <t>Mendicância (mendigar por ociosidade ou cupidez)</t>
        </is>
      </c>
      <c r="D1007" s="7" t="n">
        <v>15</v>
      </c>
      <c r="E1007" s="7" t="n">
        <v>3</v>
      </c>
      <c r="F1007" s="7" t="inlineStr">
        <is>
          <t>Prisão simples</t>
        </is>
      </c>
      <c r="G1007" s="7" t="inlineStr">
        <is>
          <t>Pública Incondicionada</t>
        </is>
      </c>
      <c r="H1007" s="7" t="inlineStr">
        <is>
          <t>Não</t>
        </is>
      </c>
      <c r="I1007" s="7" t="inlineStr">
        <is>
          <t>Doloso</t>
        </is>
      </c>
      <c r="J1007" s="7" t="inlineStr">
        <is>
          <t>Não</t>
        </is>
      </c>
      <c r="K1007" s="7" t="inlineStr">
        <is>
          <t>Não</t>
        </is>
      </c>
      <c r="L1007" s="7" t="inlineStr">
        <is>
          <t>Não</t>
        </is>
      </c>
      <c r="M1007" s="7" t="inlineStr">
        <is>
          <t>Sim</t>
        </is>
      </c>
      <c r="N1007" s="7" t="inlineStr">
        <is>
          <t>Não</t>
        </is>
      </c>
      <c r="O1007" s="7" t="inlineStr">
        <is>
          <t>Sim</t>
        </is>
      </c>
      <c r="P1007" s="16" t="inlineStr">
        <is>
          <t>15 dias a 3 meses prisão simples. Amplamente considerada não recepcionada pela CF/88</t>
        </is>
      </c>
    </row>
    <row r="1008">
      <c r="A1008" s="7" t="inlineStr">
        <is>
          <t>LCP (DL 3.688/41)</t>
        </is>
      </c>
      <c r="B1008" s="7" t="inlineStr">
        <is>
          <t>Art. 61</t>
        </is>
      </c>
      <c r="C1008" s="16" t="inlineStr">
        <is>
          <t>Importunação ofensiva ao pudor (importunar alguém em lugar público ou acessível ao público de modo ofensivo ao pudor)</t>
        </is>
      </c>
      <c r="D1008" s="7" t="n">
        <v>15</v>
      </c>
      <c r="E1008" s="7" t="n">
        <v>2</v>
      </c>
      <c r="F1008" s="7" t="inlineStr">
        <is>
          <t>Prisão simples</t>
        </is>
      </c>
      <c r="G1008" s="7" t="inlineStr">
        <is>
          <t>Pública Incondicionada</t>
        </is>
      </c>
      <c r="H1008" s="7" t="inlineStr">
        <is>
          <t>Não</t>
        </is>
      </c>
      <c r="I1008" s="7" t="inlineStr">
        <is>
          <t>Doloso</t>
        </is>
      </c>
      <c r="J1008" s="7" t="inlineStr">
        <is>
          <t>Não</t>
        </is>
      </c>
      <c r="K1008" s="7" t="inlineStr">
        <is>
          <t>Não</t>
        </is>
      </c>
      <c r="L1008" s="7" t="inlineStr">
        <is>
          <t>Não</t>
        </is>
      </c>
      <c r="M1008" s="7" t="inlineStr">
        <is>
          <t>Sim</t>
        </is>
      </c>
      <c r="N1008" s="7" t="inlineStr">
        <is>
          <t>Não</t>
        </is>
      </c>
      <c r="O1008" s="7" t="inlineStr">
        <is>
          <t>Sim</t>
        </is>
      </c>
      <c r="P1008" s="16" t="inlineStr">
        <is>
          <t>15 dias a 2 meses prisão simples + multa. Parcialmente absorvido pelo Art. 215-A CP (importunação sexual, Lei 13.718/18)</t>
        </is>
      </c>
    </row>
    <row r="1009">
      <c r="A1009" s="7" t="inlineStr">
        <is>
          <t>LCP (DL 3.688/41)</t>
        </is>
      </c>
      <c r="B1009" s="7" t="inlineStr">
        <is>
          <t>Art. 62</t>
        </is>
      </c>
      <c r="C1009" s="16" t="inlineStr">
        <is>
          <t>Apresentação ao público de peça teatral, filme ou espetáculo que tenha conteúdo ofensivo à moral pública ou aos bons costumes</t>
        </is>
      </c>
      <c r="D1009" s="7" t="n">
        <v>15</v>
      </c>
      <c r="E1009" s="7" t="n">
        <v>6</v>
      </c>
      <c r="F1009" s="7" t="inlineStr">
        <is>
          <t>Prisão simples</t>
        </is>
      </c>
      <c r="G1009" s="7" t="inlineStr">
        <is>
          <t>Pública Incondicionada</t>
        </is>
      </c>
      <c r="H1009" s="7" t="inlineStr">
        <is>
          <t>Não</t>
        </is>
      </c>
      <c r="I1009" s="7" t="inlineStr">
        <is>
          <t>Doloso</t>
        </is>
      </c>
      <c r="J1009" s="7" t="inlineStr">
        <is>
          <t>Não</t>
        </is>
      </c>
      <c r="K1009" s="7" t="inlineStr">
        <is>
          <t>Não</t>
        </is>
      </c>
      <c r="L1009" s="7" t="inlineStr">
        <is>
          <t>Não</t>
        </is>
      </c>
      <c r="M1009" s="7" t="inlineStr">
        <is>
          <t>Sim</t>
        </is>
      </c>
      <c r="N1009" s="7" t="inlineStr">
        <is>
          <t>Não</t>
        </is>
      </c>
      <c r="O1009" s="7" t="inlineStr">
        <is>
          <t>Sim</t>
        </is>
      </c>
      <c r="P1009" s="16" t="inlineStr">
        <is>
          <t>15 dias a 6 meses prisão simples + multa</t>
        </is>
      </c>
    </row>
    <row r="1010">
      <c r="A1010" s="7" t="inlineStr">
        <is>
          <t>LCP (DL 3.688/41)</t>
        </is>
      </c>
      <c r="B1010" s="7" t="inlineStr">
        <is>
          <t>Art. 65</t>
        </is>
      </c>
      <c r="C1010" s="16" t="inlineStr">
        <is>
          <t>Perturbação da tranquilidade (molestar alguém ou perturbar-lhe a tranquilidade por acinte ou por motivo reprovável)</t>
        </is>
      </c>
      <c r="D1010" s="7" t="n">
        <v>15</v>
      </c>
      <c r="E1010" s="7" t="n">
        <v>2</v>
      </c>
      <c r="F1010" s="7" t="inlineStr">
        <is>
          <t>Prisão simples</t>
        </is>
      </c>
      <c r="G1010" s="7" t="inlineStr">
        <is>
          <t>Pública Incondicionada</t>
        </is>
      </c>
      <c r="H1010" s="7" t="inlineStr">
        <is>
          <t>Não</t>
        </is>
      </c>
      <c r="I1010" s="7" t="inlineStr">
        <is>
          <t>Doloso</t>
        </is>
      </c>
      <c r="J1010" s="7" t="inlineStr">
        <is>
          <t>Não</t>
        </is>
      </c>
      <c r="K1010" s="7" t="inlineStr">
        <is>
          <t>Não</t>
        </is>
      </c>
      <c r="L1010" s="7" t="inlineStr">
        <is>
          <t>Não</t>
        </is>
      </c>
      <c r="M1010" s="7" t="inlineStr">
        <is>
          <t>Sim</t>
        </is>
      </c>
      <c r="N1010" s="7" t="inlineStr">
        <is>
          <t>Não</t>
        </is>
      </c>
      <c r="O1010" s="7" t="inlineStr">
        <is>
          <t>Sim</t>
        </is>
      </c>
      <c r="P1010" s="16" t="inlineStr">
        <is>
          <t>15 dias a 2 meses prisão simples + multa. Parcialmente absorvido pelo Art. 147-A CP (stalking)</t>
        </is>
      </c>
    </row>
    <row r="1011">
      <c r="A1011" s="7" t="inlineStr">
        <is>
          <t>LCP (DL 3.688/41)</t>
        </is>
      </c>
      <c r="B1011" s="7" t="inlineStr">
        <is>
          <t>Art. 68</t>
        </is>
      </c>
      <c r="C1011" s="16" t="inlineStr">
        <is>
          <t>Recusa de dados sobre própria identidade ou qualificação (recusar à autoridade competente informações sobre identidade pessoal, estado ou profissão)</t>
        </is>
      </c>
      <c r="D1011" s="7" t="n">
        <v>15</v>
      </c>
      <c r="E1011" s="7" t="n">
        <v>3</v>
      </c>
      <c r="F1011" s="7" t="inlineStr">
        <is>
          <t>Prisão simples</t>
        </is>
      </c>
      <c r="G1011" s="7" t="inlineStr">
        <is>
          <t>Pública Incondicionada</t>
        </is>
      </c>
      <c r="H1011" s="7" t="inlineStr">
        <is>
          <t>Não</t>
        </is>
      </c>
      <c r="I1011" s="7" t="inlineStr">
        <is>
          <t>Doloso</t>
        </is>
      </c>
      <c r="J1011" s="7" t="inlineStr">
        <is>
          <t>Não</t>
        </is>
      </c>
      <c r="K1011" s="7" t="inlineStr">
        <is>
          <t>Não</t>
        </is>
      </c>
      <c r="L1011" s="7" t="inlineStr">
        <is>
          <t>Não</t>
        </is>
      </c>
      <c r="M1011" s="7" t="inlineStr">
        <is>
          <t>Sim</t>
        </is>
      </c>
      <c r="N1011" s="7" t="inlineStr">
        <is>
          <t>Não</t>
        </is>
      </c>
      <c r="O1011" s="7" t="inlineStr">
        <is>
          <t>Sim</t>
        </is>
      </c>
      <c r="P1011" s="16" t="inlineStr">
        <is>
          <t>15 dias a 3 meses prisão simples + multa</t>
        </is>
      </c>
    </row>
    <row r="1012">
      <c r="A1012" s="7" t="inlineStr">
        <is>
          <t>CE (Lei 4.737/65)</t>
        </is>
      </c>
      <c r="B1012" s="7" t="inlineStr">
        <is>
          <t>Art. 289</t>
        </is>
      </c>
      <c r="C1012" s="16" t="inlineStr">
        <is>
          <t>Inscrever-se fraudulentamente como eleitor</t>
        </is>
      </c>
      <c r="D1012" s="7" t="n">
        <v>12</v>
      </c>
      <c r="E1012" s="7" t="n">
        <v>60</v>
      </c>
      <c r="F1012" s="7" t="inlineStr">
        <is>
          <t>Reclusão</t>
        </is>
      </c>
      <c r="G1012" s="7" t="inlineStr">
        <is>
          <t>Pública Incondicionada</t>
        </is>
      </c>
      <c r="H1012" s="7" t="inlineStr">
        <is>
          <t>Não</t>
        </is>
      </c>
      <c r="I1012" s="7" t="inlineStr">
        <is>
          <t>Doloso</t>
        </is>
      </c>
      <c r="J1012" s="7" t="inlineStr">
        <is>
          <t>Sim</t>
        </is>
      </c>
      <c r="K1012" s="7" t="inlineStr">
        <is>
          <t>Não</t>
        </is>
      </c>
      <c r="L1012" s="7" t="inlineStr">
        <is>
          <t>Não</t>
        </is>
      </c>
      <c r="M1012" s="7" t="inlineStr">
        <is>
          <t>Sim</t>
        </is>
      </c>
      <c r="N1012" s="7" t="inlineStr">
        <is>
          <t>Sim</t>
        </is>
      </c>
      <c r="O1012" s="7" t="inlineStr">
        <is>
          <t>Sim</t>
        </is>
      </c>
      <c r="P1012" s="16" t="inlineStr">
        <is>
          <t>1-5 anos reclusão + multa</t>
        </is>
      </c>
    </row>
    <row r="1013">
      <c r="A1013" s="7" t="inlineStr">
        <is>
          <t>CE (Lei 4.737/65)</t>
        </is>
      </c>
      <c r="B1013" s="7" t="inlineStr">
        <is>
          <t>Art. 290</t>
        </is>
      </c>
      <c r="C1013" s="16" t="inlineStr">
        <is>
          <t>Induzir alguém a inscrever-se fraudulentamente como eleitor</t>
        </is>
      </c>
      <c r="D1013" s="7" t="n">
        <v>12</v>
      </c>
      <c r="E1013" s="7" t="n">
        <v>60</v>
      </c>
      <c r="F1013" s="7" t="inlineStr">
        <is>
          <t>Reclusão</t>
        </is>
      </c>
      <c r="G1013" s="7" t="inlineStr">
        <is>
          <t>Pública Incondicionada</t>
        </is>
      </c>
      <c r="H1013" s="7" t="inlineStr">
        <is>
          <t>Não</t>
        </is>
      </c>
      <c r="I1013" s="7" t="inlineStr">
        <is>
          <t>Doloso</t>
        </is>
      </c>
      <c r="J1013" s="7" t="inlineStr">
        <is>
          <t>Sim</t>
        </is>
      </c>
      <c r="K1013" s="7" t="inlineStr">
        <is>
          <t>Não</t>
        </is>
      </c>
      <c r="L1013" s="7" t="inlineStr">
        <is>
          <t>Não</t>
        </is>
      </c>
      <c r="M1013" s="7" t="inlineStr">
        <is>
          <t>Sim</t>
        </is>
      </c>
      <c r="N1013" s="7" t="inlineStr">
        <is>
          <t>Sim</t>
        </is>
      </c>
      <c r="O1013" s="7" t="inlineStr">
        <is>
          <t>Sim</t>
        </is>
      </c>
      <c r="P1013" s="16" t="inlineStr">
        <is>
          <t>1-5 anos reclusão + multa</t>
        </is>
      </c>
    </row>
    <row r="1014">
      <c r="A1014" s="7" t="inlineStr">
        <is>
          <t>CE (Lei 4.737/65)</t>
        </is>
      </c>
      <c r="B1014" s="7" t="inlineStr">
        <is>
          <t>Art. 291</t>
        </is>
      </c>
      <c r="C1014" s="16" t="inlineStr">
        <is>
          <t>Efetuar registro/alistamento/atualização de eleitor com infração das disposições do Código Eleitoral</t>
        </is>
      </c>
      <c r="D1014" s="7" t="n">
        <v>1</v>
      </c>
      <c r="E1014" s="7" t="n">
        <v>6</v>
      </c>
      <c r="F1014" s="7" t="inlineStr">
        <is>
          <t>Detenção</t>
        </is>
      </c>
      <c r="G1014" s="7" t="inlineStr">
        <is>
          <t>Pública Incondicionada</t>
        </is>
      </c>
      <c r="H1014" s="7" t="inlineStr">
        <is>
          <t>Não</t>
        </is>
      </c>
      <c r="I1014" s="7" t="inlineStr">
        <is>
          <t>Doloso</t>
        </is>
      </c>
      <c r="J1014" s="7" t="inlineStr">
        <is>
          <t>Sim</t>
        </is>
      </c>
      <c r="K1014" s="7" t="inlineStr">
        <is>
          <t>Não</t>
        </is>
      </c>
      <c r="L1014" s="7" t="inlineStr">
        <is>
          <t>Não</t>
        </is>
      </c>
      <c r="M1014" s="7" t="inlineStr">
        <is>
          <t>Sim</t>
        </is>
      </c>
      <c r="N1014" s="7" t="inlineStr">
        <is>
          <t>Sim</t>
        </is>
      </c>
      <c r="O1014" s="7" t="inlineStr">
        <is>
          <t>Sim</t>
        </is>
      </c>
      <c r="P1014" s="16" t="inlineStr">
        <is>
          <t>1-6 meses detenção + multa. Se doloso. Se culposo: 15d-1m</t>
        </is>
      </c>
    </row>
    <row r="1015">
      <c r="A1015" s="7" t="inlineStr">
        <is>
          <t>CE (Lei 4.737/65)</t>
        </is>
      </c>
      <c r="B1015" s="7" t="inlineStr">
        <is>
          <t>Art. 293</t>
        </is>
      </c>
      <c r="C1015" s="16" t="inlineStr">
        <is>
          <t>Perturbar ou impedir alistamento eleitoral</t>
        </is>
      </c>
      <c r="D1015" s="7" t="n">
        <v>6</v>
      </c>
      <c r="E1015" s="7" t="n">
        <v>24</v>
      </c>
      <c r="F1015" s="7" t="inlineStr">
        <is>
          <t>Detenção</t>
        </is>
      </c>
      <c r="G1015" s="7" t="inlineStr">
        <is>
          <t>Pública Incondicionada</t>
        </is>
      </c>
      <c r="H1015" s="7" t="inlineStr">
        <is>
          <t>Não</t>
        </is>
      </c>
      <c r="I1015" s="7" t="inlineStr">
        <is>
          <t>Doloso</t>
        </is>
      </c>
      <c r="J1015" s="7" t="inlineStr">
        <is>
          <t>Sim</t>
        </is>
      </c>
      <c r="K1015" s="7" t="inlineStr">
        <is>
          <t>Não</t>
        </is>
      </c>
      <c r="L1015" s="7" t="inlineStr">
        <is>
          <t>Não</t>
        </is>
      </c>
      <c r="M1015" s="7" t="inlineStr">
        <is>
          <t>Sim</t>
        </is>
      </c>
      <c r="N1015" s="7" t="inlineStr">
        <is>
          <t>Sim</t>
        </is>
      </c>
      <c r="O1015" s="7" t="inlineStr">
        <is>
          <t>Sim</t>
        </is>
      </c>
      <c r="P1015" s="16" t="inlineStr">
        <is>
          <t>6 meses a 2 anos detenção + multa</t>
        </is>
      </c>
    </row>
    <row r="1016">
      <c r="A1016" s="26" t="inlineStr">
        <is>
          <t>CE (Lei 4.737/65)</t>
        </is>
      </c>
      <c r="B1016" s="26" t="inlineStr">
        <is>
          <t>Art. 297</t>
        </is>
      </c>
      <c r="C1016" s="27" t="inlineStr">
        <is>
          <t>Impedir/embaraçar exercício do sufrágio (impedir ou embaraçar o exercício do voto)</t>
        </is>
      </c>
      <c r="D1016" s="26" t="n">
        <v>6</v>
      </c>
      <c r="E1016" s="26" t="n">
        <v>24</v>
      </c>
      <c r="F1016" s="26" t="inlineStr">
        <is>
          <t>Detenção</t>
        </is>
      </c>
      <c r="G1016" s="26" t="inlineStr">
        <is>
          <t>Pública Incondicionada</t>
        </is>
      </c>
      <c r="H1016" s="26" t="inlineStr">
        <is>
          <t>Não</t>
        </is>
      </c>
      <c r="I1016" s="26" t="inlineStr">
        <is>
          <t>Doloso</t>
        </is>
      </c>
      <c r="J1016" s="26" t="inlineStr">
        <is>
          <t>Sim</t>
        </is>
      </c>
      <c r="K1016" s="26" t="inlineStr">
        <is>
          <t>Sim</t>
        </is>
      </c>
      <c r="L1016" s="26" t="inlineStr">
        <is>
          <t>Sim</t>
        </is>
      </c>
      <c r="M1016" s="26" t="inlineStr">
        <is>
          <t>Não</t>
        </is>
      </c>
      <c r="N1016" s="26" t="inlineStr">
        <is>
          <t>Sim</t>
        </is>
      </c>
      <c r="O1016" s="26" t="inlineStr">
        <is>
          <t>Sim</t>
        </is>
      </c>
      <c r="P1016" s="27" t="inlineStr">
        <is>
          <t>6 meses a 2 anos detenção + multa</t>
        </is>
      </c>
    </row>
    <row r="1017">
      <c r="A1017" s="26" t="inlineStr">
        <is>
          <t>CE (Lei 4.737/65)</t>
        </is>
      </c>
      <c r="B1017" s="26" t="inlineStr">
        <is>
          <t>Art. 298</t>
        </is>
      </c>
      <c r="C1017" s="27" t="inlineStr">
        <is>
          <t>Prender ou deter eleitor no período do dia da eleição até 48h após encerramento (sem flagrante/sentença penal condenatória)</t>
        </is>
      </c>
      <c r="D1017" s="26" t="n">
        <v>1</v>
      </c>
      <c r="E1017" s="26" t="n">
        <v>6</v>
      </c>
      <c r="F1017" s="26" t="inlineStr">
        <is>
          <t>Detenção</t>
        </is>
      </c>
      <c r="G1017" s="26" t="inlineStr">
        <is>
          <t>Pública Incondicionada</t>
        </is>
      </c>
      <c r="H1017" s="26" t="inlineStr">
        <is>
          <t>Não</t>
        </is>
      </c>
      <c r="I1017" s="26" t="inlineStr">
        <is>
          <t>Doloso</t>
        </is>
      </c>
      <c r="J1017" s="26" t="inlineStr">
        <is>
          <t>Sim</t>
        </is>
      </c>
      <c r="K1017" s="26" t="inlineStr">
        <is>
          <t>Sim</t>
        </is>
      </c>
      <c r="L1017" s="26" t="inlineStr">
        <is>
          <t>Não</t>
        </is>
      </c>
      <c r="M1017" s="26" t="inlineStr">
        <is>
          <t>Não</t>
        </is>
      </c>
      <c r="N1017" s="26" t="inlineStr">
        <is>
          <t>Sim</t>
        </is>
      </c>
      <c r="O1017" s="26" t="inlineStr">
        <is>
          <t>Sim</t>
        </is>
      </c>
      <c r="P1017" s="27" t="inlineStr">
        <is>
          <t>1-6 meses detenção + multa</t>
        </is>
      </c>
    </row>
    <row r="1018">
      <c r="A1018" s="7" t="inlineStr">
        <is>
          <t>CE (Lei 4.737/65)</t>
        </is>
      </c>
      <c r="B1018" s="7" t="inlineStr">
        <is>
          <t>Art. 299</t>
        </is>
      </c>
      <c r="C1018" s="16" t="inlineStr">
        <is>
          <t>Corrupção eleitoral (dar/oferecer/prometer/solicitar/receber dinheiro ou vantagem para obter/dar voto ou para se abster de votar)</t>
        </is>
      </c>
      <c r="D1018" s="7" t="n">
        <v>12</v>
      </c>
      <c r="E1018" s="7" t="n">
        <v>48</v>
      </c>
      <c r="F1018" s="7" t="inlineStr">
        <is>
          <t>Reclusão</t>
        </is>
      </c>
      <c r="G1018" s="7" t="inlineStr">
        <is>
          <t>Pública Incondicionada</t>
        </is>
      </c>
      <c r="H1018" s="7" t="inlineStr">
        <is>
          <t>Não</t>
        </is>
      </c>
      <c r="I1018" s="7" t="inlineStr">
        <is>
          <t>Doloso</t>
        </is>
      </c>
      <c r="J1018" s="7" t="inlineStr">
        <is>
          <t>Sim</t>
        </is>
      </c>
      <c r="K1018" s="7" t="inlineStr">
        <is>
          <t>Não</t>
        </is>
      </c>
      <c r="L1018" s="7" t="inlineStr">
        <is>
          <t>Não</t>
        </is>
      </c>
      <c r="M1018" s="7" t="inlineStr">
        <is>
          <t>Sim</t>
        </is>
      </c>
      <c r="N1018" s="7" t="inlineStr">
        <is>
          <t>Sim</t>
        </is>
      </c>
      <c r="O1018" s="7" t="inlineStr">
        <is>
          <t>Sim</t>
        </is>
      </c>
      <c r="P1018" s="16" t="inlineStr">
        <is>
          <t>1-4 anos reclusão + multa. Crime bilateral (corrompido + corruptor)</t>
        </is>
      </c>
    </row>
    <row r="1019">
      <c r="A1019" s="26" t="inlineStr">
        <is>
          <t>CE (Lei 4.737/65)</t>
        </is>
      </c>
      <c r="B1019" s="26" t="inlineStr">
        <is>
          <t>Art. 300</t>
        </is>
      </c>
      <c r="C1019" s="27" t="inlineStr">
        <is>
          <t>Coação eleitoral (valer-se de autoridade de cargo ou emprego para coagir alguém a votar ou não votar em determinado candidato/partido)</t>
        </is>
      </c>
      <c r="D1019" s="26" t="n">
        <v>12</v>
      </c>
      <c r="E1019" s="26" t="n">
        <v>48</v>
      </c>
      <c r="F1019" s="26" t="inlineStr">
        <is>
          <t>Reclusão</t>
        </is>
      </c>
      <c r="G1019" s="26" t="inlineStr">
        <is>
          <t>Pública Incondicionada</t>
        </is>
      </c>
      <c r="H1019" s="26" t="inlineStr">
        <is>
          <t>Não</t>
        </is>
      </c>
      <c r="I1019" s="26" t="inlineStr">
        <is>
          <t>Doloso</t>
        </is>
      </c>
      <c r="J1019" s="26" t="inlineStr">
        <is>
          <t>Sim</t>
        </is>
      </c>
      <c r="K1019" s="26" t="inlineStr">
        <is>
          <t>Não</t>
        </is>
      </c>
      <c r="L1019" s="26" t="inlineStr">
        <is>
          <t>Sim</t>
        </is>
      </c>
      <c r="M1019" s="26" t="inlineStr">
        <is>
          <t>Não</t>
        </is>
      </c>
      <c r="N1019" s="26" t="inlineStr">
        <is>
          <t>Sim</t>
        </is>
      </c>
      <c r="O1019" s="26" t="inlineStr">
        <is>
          <t>Sim</t>
        </is>
      </c>
      <c r="P1019" s="27" t="inlineStr">
        <is>
          <t>1-4 anos reclusão + multa</t>
        </is>
      </c>
    </row>
    <row r="1020">
      <c r="A1020" s="26" t="inlineStr">
        <is>
          <t>CE (Lei 4.737/65)</t>
        </is>
      </c>
      <c r="B1020" s="26" t="inlineStr">
        <is>
          <t>Art. 301</t>
        </is>
      </c>
      <c r="C1020" s="27" t="inlineStr">
        <is>
          <t>Uso de violência/grave ameaça para coagir alguém a votar ou não votar em determinado candidato/partido</t>
        </is>
      </c>
      <c r="D1020" s="26" t="n">
        <v>12</v>
      </c>
      <c r="E1020" s="26" t="n">
        <v>48</v>
      </c>
      <c r="F1020" s="26" t="inlineStr">
        <is>
          <t>Reclusão</t>
        </is>
      </c>
      <c r="G1020" s="26" t="inlineStr">
        <is>
          <t>Pública Incondicionada</t>
        </is>
      </c>
      <c r="H1020" s="26" t="inlineStr">
        <is>
          <t>Não</t>
        </is>
      </c>
      <c r="I1020" s="26" t="inlineStr">
        <is>
          <t>Doloso</t>
        </is>
      </c>
      <c r="J1020" s="26" t="inlineStr">
        <is>
          <t>Sim</t>
        </is>
      </c>
      <c r="K1020" s="26" t="inlineStr">
        <is>
          <t>Sim</t>
        </is>
      </c>
      <c r="L1020" s="26" t="inlineStr">
        <is>
          <t>Sim</t>
        </is>
      </c>
      <c r="M1020" s="26" t="inlineStr">
        <is>
          <t>Não</t>
        </is>
      </c>
      <c r="N1020" s="26" t="inlineStr">
        <is>
          <t>Sim</t>
        </is>
      </c>
      <c r="O1020" s="26" t="inlineStr">
        <is>
          <t>Sim</t>
        </is>
      </c>
      <c r="P1020" s="27" t="inlineStr">
        <is>
          <t>1-4 anos reclusão + multa + sem prejuízo das penas de violência</t>
        </is>
      </c>
    </row>
    <row r="1021">
      <c r="A1021" s="7" t="inlineStr">
        <is>
          <t>CE (Lei 4.737/65)</t>
        </is>
      </c>
      <c r="B1021" s="7" t="inlineStr">
        <is>
          <t>Art. 302</t>
        </is>
      </c>
      <c r="C1021" s="16" t="inlineStr">
        <is>
          <t>Promover concentração de eleitores, sob qualquer forma, no dia da eleição, com o objetivo de exercer influência sobre o eleitorado</t>
        </is>
      </c>
      <c r="D1021" s="7" t="n">
        <v>6</v>
      </c>
      <c r="E1021" s="7" t="n">
        <v>24</v>
      </c>
      <c r="F1021" s="7" t="inlineStr">
        <is>
          <t>Detenção</t>
        </is>
      </c>
      <c r="G1021" s="7" t="inlineStr">
        <is>
          <t>Pública Incondicionada</t>
        </is>
      </c>
      <c r="H1021" s="7" t="inlineStr">
        <is>
          <t>Não</t>
        </is>
      </c>
      <c r="I1021" s="7" t="inlineStr">
        <is>
          <t>Doloso</t>
        </is>
      </c>
      <c r="J1021" s="7" t="inlineStr">
        <is>
          <t>Sim</t>
        </is>
      </c>
      <c r="K1021" s="7" t="inlineStr">
        <is>
          <t>Não</t>
        </is>
      </c>
      <c r="L1021" s="7" t="inlineStr">
        <is>
          <t>Não</t>
        </is>
      </c>
      <c r="M1021" s="7" t="inlineStr">
        <is>
          <t>Sim</t>
        </is>
      </c>
      <c r="N1021" s="7" t="inlineStr">
        <is>
          <t>Sim</t>
        </is>
      </c>
      <c r="O1021" s="7" t="inlineStr">
        <is>
          <t>Sim</t>
        </is>
      </c>
      <c r="P1021" s="16" t="inlineStr">
        <is>
          <t>6 meses a 2 anos detenção + multa</t>
        </is>
      </c>
    </row>
    <row r="1022">
      <c r="A1022" s="7" t="inlineStr">
        <is>
          <t>CE (Lei 4.737/65)</t>
        </is>
      </c>
      <c r="B1022" s="7" t="inlineStr">
        <is>
          <t>Art. 303</t>
        </is>
      </c>
      <c r="C1022" s="16" t="inlineStr">
        <is>
          <t>Usar de meios publicitários no dia da eleição a fim de fazer propaganda de partido ou candidato</t>
        </is>
      </c>
      <c r="D1022" s="7" t="n">
        <v>6</v>
      </c>
      <c r="E1022" s="7" t="n">
        <v>24</v>
      </c>
      <c r="F1022" s="7" t="inlineStr">
        <is>
          <t>Detenção</t>
        </is>
      </c>
      <c r="G1022" s="7" t="inlineStr">
        <is>
          <t>Pública Incondicionada</t>
        </is>
      </c>
      <c r="H1022" s="7" t="inlineStr">
        <is>
          <t>Não</t>
        </is>
      </c>
      <c r="I1022" s="7" t="inlineStr">
        <is>
          <t>Doloso</t>
        </is>
      </c>
      <c r="J1022" s="7" t="inlineStr">
        <is>
          <t>Sim</t>
        </is>
      </c>
      <c r="K1022" s="7" t="inlineStr">
        <is>
          <t>Não</t>
        </is>
      </c>
      <c r="L1022" s="7" t="inlineStr">
        <is>
          <t>Não</t>
        </is>
      </c>
      <c r="M1022" s="7" t="inlineStr">
        <is>
          <t>Sim</t>
        </is>
      </c>
      <c r="N1022" s="7" t="inlineStr">
        <is>
          <t>Sim</t>
        </is>
      </c>
      <c r="O1022" s="7" t="inlineStr">
        <is>
          <t>Sim</t>
        </is>
      </c>
      <c r="P1022" s="16" t="inlineStr">
        <is>
          <t>6 meses a 2 anos detenção + multa</t>
        </is>
      </c>
    </row>
    <row r="1023">
      <c r="A1023" s="7" t="inlineStr">
        <is>
          <t>CE (Lei 4.737/65)</t>
        </is>
      </c>
      <c r="B1023" s="7" t="inlineStr">
        <is>
          <t>Art. 305</t>
        </is>
      </c>
      <c r="C1023" s="16" t="inlineStr">
        <is>
          <t>Interferir o juiz eleitoral na realização da eleição, a pretexto de manter a ordem, para favorecer candidato/partido</t>
        </is>
      </c>
      <c r="D1023" s="7" t="n">
        <v>6</v>
      </c>
      <c r="E1023" s="7" t="n">
        <v>24</v>
      </c>
      <c r="F1023" s="7" t="inlineStr">
        <is>
          <t>Detenção</t>
        </is>
      </c>
      <c r="G1023" s="7" t="inlineStr">
        <is>
          <t>Pública Incondicionada</t>
        </is>
      </c>
      <c r="H1023" s="7" t="inlineStr">
        <is>
          <t>Não</t>
        </is>
      </c>
      <c r="I1023" s="7" t="inlineStr">
        <is>
          <t>Doloso</t>
        </is>
      </c>
      <c r="J1023" s="7" t="inlineStr">
        <is>
          <t>Sim</t>
        </is>
      </c>
      <c r="K1023" s="7" t="inlineStr">
        <is>
          <t>Não</t>
        </is>
      </c>
      <c r="L1023" s="7" t="inlineStr">
        <is>
          <t>Não</t>
        </is>
      </c>
      <c r="M1023" s="7" t="inlineStr">
        <is>
          <t>Sim</t>
        </is>
      </c>
      <c r="N1023" s="7" t="inlineStr">
        <is>
          <t>Sim</t>
        </is>
      </c>
      <c r="O1023" s="7" t="inlineStr">
        <is>
          <t>Sim</t>
        </is>
      </c>
      <c r="P1023" s="16" t="inlineStr">
        <is>
          <t>6 meses a 2 anos detenção + multa</t>
        </is>
      </c>
    </row>
    <row r="1024">
      <c r="A1024" s="7" t="inlineStr">
        <is>
          <t>CE (Lei 4.737/65)</t>
        </is>
      </c>
      <c r="B1024" s="7" t="inlineStr">
        <is>
          <t>Art. 306</t>
        </is>
      </c>
      <c r="C1024" s="16" t="inlineStr">
        <is>
          <t>Votar ou instigar/solicitar votos em seção eleitoral diversa daquela em que é inscrito o eleitor ou por qualquer forma impedir/perturbar a votação</t>
        </is>
      </c>
      <c r="D1024" s="7" t="n">
        <v>1</v>
      </c>
      <c r="E1024" s="7" t="n">
        <v>6</v>
      </c>
      <c r="F1024" s="7" t="inlineStr">
        <is>
          <t>Detenção</t>
        </is>
      </c>
      <c r="G1024" s="7" t="inlineStr">
        <is>
          <t>Pública Incondicionada</t>
        </is>
      </c>
      <c r="H1024" s="7" t="inlineStr">
        <is>
          <t>Não</t>
        </is>
      </c>
      <c r="I1024" s="7" t="inlineStr">
        <is>
          <t>Doloso</t>
        </is>
      </c>
      <c r="J1024" s="7" t="inlineStr">
        <is>
          <t>Sim</t>
        </is>
      </c>
      <c r="K1024" s="7" t="inlineStr">
        <is>
          <t>Não</t>
        </is>
      </c>
      <c r="L1024" s="7" t="inlineStr">
        <is>
          <t>Não</t>
        </is>
      </c>
      <c r="M1024" s="7" t="inlineStr">
        <is>
          <t>Sim</t>
        </is>
      </c>
      <c r="N1024" s="7" t="inlineStr">
        <is>
          <t>Sim</t>
        </is>
      </c>
      <c r="O1024" s="7" t="inlineStr">
        <is>
          <t>Sim</t>
        </is>
      </c>
      <c r="P1024" s="16" t="inlineStr">
        <is>
          <t>1-6 meses detenção + multa</t>
        </is>
      </c>
    </row>
    <row r="1025">
      <c r="A1025" s="7" t="inlineStr">
        <is>
          <t>CE (Lei 4.737/65)</t>
        </is>
      </c>
      <c r="B1025" s="7" t="inlineStr">
        <is>
          <t>Art. 310</t>
        </is>
      </c>
      <c r="C1025" s="16" t="inlineStr">
        <is>
          <t>Violar ou tentar violar o sigilo do voto</t>
        </is>
      </c>
      <c r="D1025" s="7" t="n">
        <v>12</v>
      </c>
      <c r="E1025" s="7" t="n">
        <v>48</v>
      </c>
      <c r="F1025" s="7" t="inlineStr">
        <is>
          <t>Reclusão</t>
        </is>
      </c>
      <c r="G1025" s="7" t="inlineStr">
        <is>
          <t>Pública Incondicionada</t>
        </is>
      </c>
      <c r="H1025" s="7" t="inlineStr">
        <is>
          <t>Não</t>
        </is>
      </c>
      <c r="I1025" s="7" t="inlineStr">
        <is>
          <t>Doloso</t>
        </is>
      </c>
      <c r="J1025" s="7" t="inlineStr">
        <is>
          <t>Sim</t>
        </is>
      </c>
      <c r="K1025" s="7" t="inlineStr">
        <is>
          <t>Não</t>
        </is>
      </c>
      <c r="L1025" s="7" t="inlineStr">
        <is>
          <t>Não</t>
        </is>
      </c>
      <c r="M1025" s="7" t="inlineStr">
        <is>
          <t>Sim</t>
        </is>
      </c>
      <c r="N1025" s="7" t="inlineStr">
        <is>
          <t>Sim</t>
        </is>
      </c>
      <c r="O1025" s="7" t="inlineStr">
        <is>
          <t>Sim</t>
        </is>
      </c>
      <c r="P1025" s="16" t="inlineStr">
        <is>
          <t>1-4 anos reclusão + multa</t>
        </is>
      </c>
    </row>
    <row r="1026">
      <c r="A1026" s="7" t="inlineStr">
        <is>
          <t>CE (Lei 4.737/65)</t>
        </is>
      </c>
      <c r="B1026" s="7" t="inlineStr">
        <is>
          <t>Art. 312</t>
        </is>
      </c>
      <c r="C1026" s="16" t="inlineStr">
        <is>
          <t>Violar/perturbar/tentar violar ou perturbar os trabalhos da junta eleitoral</t>
        </is>
      </c>
      <c r="D1026" s="7" t="n">
        <v>1</v>
      </c>
      <c r="E1026" s="7" t="n">
        <v>6</v>
      </c>
      <c r="F1026" s="7" t="inlineStr">
        <is>
          <t>Detenção</t>
        </is>
      </c>
      <c r="G1026" s="7" t="inlineStr">
        <is>
          <t>Pública Incondicionada</t>
        </is>
      </c>
      <c r="H1026" s="7" t="inlineStr">
        <is>
          <t>Não</t>
        </is>
      </c>
      <c r="I1026" s="7" t="inlineStr">
        <is>
          <t>Doloso</t>
        </is>
      </c>
      <c r="J1026" s="7" t="inlineStr">
        <is>
          <t>Sim</t>
        </is>
      </c>
      <c r="K1026" s="7" t="inlineStr">
        <is>
          <t>Não</t>
        </is>
      </c>
      <c r="L1026" s="7" t="inlineStr">
        <is>
          <t>Não</t>
        </is>
      </c>
      <c r="M1026" s="7" t="inlineStr">
        <is>
          <t>Sim</t>
        </is>
      </c>
      <c r="N1026" s="7" t="inlineStr">
        <is>
          <t>Sim</t>
        </is>
      </c>
      <c r="O1026" s="7" t="inlineStr">
        <is>
          <t>Sim</t>
        </is>
      </c>
      <c r="P1026" s="16" t="inlineStr">
        <is>
          <t>1-6 meses detenção + multa</t>
        </is>
      </c>
    </row>
    <row r="1027">
      <c r="A1027" s="7" t="inlineStr">
        <is>
          <t>CE (Lei 4.737/65)</t>
        </is>
      </c>
      <c r="B1027" s="7" t="inlineStr">
        <is>
          <t>Art. 313</t>
        </is>
      </c>
      <c r="C1027" s="16" t="inlineStr">
        <is>
          <t>Falsificar no todo ou em parte documento público ou alterar documento público verdadeiro para fins eleitorais</t>
        </is>
      </c>
      <c r="D1027" s="7" t="n">
        <v>24</v>
      </c>
      <c r="E1027" s="7" t="n">
        <v>72</v>
      </c>
      <c r="F1027" s="7" t="inlineStr">
        <is>
          <t>Reclusão</t>
        </is>
      </c>
      <c r="G1027" s="7" t="inlineStr">
        <is>
          <t>Pública Incondicionada</t>
        </is>
      </c>
      <c r="H1027" s="7" t="inlineStr">
        <is>
          <t>Não</t>
        </is>
      </c>
      <c r="I1027" s="7" t="inlineStr">
        <is>
          <t>Doloso</t>
        </is>
      </c>
      <c r="J1027" s="7" t="inlineStr">
        <is>
          <t>Sim</t>
        </is>
      </c>
      <c r="K1027" s="7" t="inlineStr">
        <is>
          <t>Não</t>
        </is>
      </c>
      <c r="L1027" s="7" t="inlineStr">
        <is>
          <t>Não</t>
        </is>
      </c>
      <c r="M1027" s="7" t="inlineStr">
        <is>
          <t>Sim</t>
        </is>
      </c>
      <c r="N1027" s="7" t="inlineStr">
        <is>
          <t>Não</t>
        </is>
      </c>
      <c r="O1027" s="7" t="inlineStr">
        <is>
          <t>Sim</t>
        </is>
      </c>
      <c r="P1027" s="16" t="inlineStr">
        <is>
          <t>2-6 anos reclusão + multa</t>
        </is>
      </c>
    </row>
    <row r="1028">
      <c r="A1028" s="7" t="inlineStr">
        <is>
          <t>CE (Lei 4.737/65)</t>
        </is>
      </c>
      <c r="B1028" s="7" t="inlineStr">
        <is>
          <t>Art. 315</t>
        </is>
      </c>
      <c r="C1028" s="16" t="inlineStr">
        <is>
          <t>Divulgar na propaganda eleitoral fatos inverídicos em relação a partidos ou candidatos, capazes de exercer influência sobre o eleitorado</t>
        </is>
      </c>
      <c r="D1028" s="7" t="n">
        <v>2</v>
      </c>
      <c r="E1028" s="7" t="n">
        <v>12</v>
      </c>
      <c r="F1028" s="7" t="inlineStr">
        <is>
          <t>Detenção</t>
        </is>
      </c>
      <c r="G1028" s="7" t="inlineStr">
        <is>
          <t>Pública Incondicionada</t>
        </is>
      </c>
      <c r="H1028" s="7" t="inlineStr">
        <is>
          <t>Não</t>
        </is>
      </c>
      <c r="I1028" s="7" t="inlineStr">
        <is>
          <t>Doloso</t>
        </is>
      </c>
      <c r="J1028" s="7" t="inlineStr">
        <is>
          <t>Sim</t>
        </is>
      </c>
      <c r="K1028" s="7" t="inlineStr">
        <is>
          <t>Não</t>
        </is>
      </c>
      <c r="L1028" s="7" t="inlineStr">
        <is>
          <t>Não</t>
        </is>
      </c>
      <c r="M1028" s="7" t="inlineStr">
        <is>
          <t>Sim</t>
        </is>
      </c>
      <c r="N1028" s="7" t="inlineStr">
        <is>
          <t>Sim</t>
        </is>
      </c>
      <c r="O1028" s="7" t="inlineStr">
        <is>
          <t>Sim</t>
        </is>
      </c>
      <c r="P1028" s="16" t="inlineStr">
        <is>
          <t>2 meses a 1 ano detenção + multa</t>
        </is>
      </c>
    </row>
    <row r="1029">
      <c r="A1029" s="7" t="inlineStr">
        <is>
          <t>CE (Lei 4.737/65)</t>
        </is>
      </c>
      <c r="B1029" s="7" t="inlineStr">
        <is>
          <t>Art. 324</t>
        </is>
      </c>
      <c r="C1029" s="16" t="inlineStr">
        <is>
          <t>Calúnia eleitoral (caluniar alguém na propaganda eleitoral ou visando fins de propaganda)</t>
        </is>
      </c>
      <c r="D1029" s="7" t="n">
        <v>6</v>
      </c>
      <c r="E1029" s="7" t="n">
        <v>24</v>
      </c>
      <c r="F1029" s="7" t="inlineStr">
        <is>
          <t>Detenção</t>
        </is>
      </c>
      <c r="G1029" s="7" t="inlineStr">
        <is>
          <t>Pública Incondicionada</t>
        </is>
      </c>
      <c r="H1029" s="7" t="inlineStr">
        <is>
          <t>Não</t>
        </is>
      </c>
      <c r="I1029" s="7" t="inlineStr">
        <is>
          <t>Doloso</t>
        </is>
      </c>
      <c r="J1029" s="7" t="inlineStr">
        <is>
          <t>Sim</t>
        </is>
      </c>
      <c r="K1029" s="7" t="inlineStr">
        <is>
          <t>Não</t>
        </is>
      </c>
      <c r="L1029" s="7" t="inlineStr">
        <is>
          <t>Não</t>
        </is>
      </c>
      <c r="M1029" s="7" t="inlineStr">
        <is>
          <t>Sim</t>
        </is>
      </c>
      <c r="N1029" s="7" t="inlineStr">
        <is>
          <t>Sim</t>
        </is>
      </c>
      <c r="O1029" s="7" t="inlineStr">
        <is>
          <t>Sim</t>
        </is>
      </c>
      <c r="P1029" s="16" t="inlineStr">
        <is>
          <t>6 meses a 2 anos detenção + multa</t>
        </is>
      </c>
    </row>
    <row r="1030">
      <c r="A1030" s="7" t="inlineStr">
        <is>
          <t>CE (Lei 4.737/65)</t>
        </is>
      </c>
      <c r="B1030" s="7" t="inlineStr">
        <is>
          <t>Art. 325</t>
        </is>
      </c>
      <c r="C1030" s="16" t="inlineStr">
        <is>
          <t>Difamação eleitoral (difamar alguém na propaganda eleitoral ou visando fins de propaganda)</t>
        </is>
      </c>
      <c r="D1030" s="7" t="n">
        <v>3</v>
      </c>
      <c r="E1030" s="7" t="n">
        <v>12</v>
      </c>
      <c r="F1030" s="7" t="inlineStr">
        <is>
          <t>Detenção</t>
        </is>
      </c>
      <c r="G1030" s="7" t="inlineStr">
        <is>
          <t>Pública Incondicionada</t>
        </is>
      </c>
      <c r="H1030" s="7" t="inlineStr">
        <is>
          <t>Não</t>
        </is>
      </c>
      <c r="I1030" s="7" t="inlineStr">
        <is>
          <t>Doloso</t>
        </is>
      </c>
      <c r="J1030" s="7" t="inlineStr">
        <is>
          <t>Sim</t>
        </is>
      </c>
      <c r="K1030" s="7" t="inlineStr">
        <is>
          <t>Não</t>
        </is>
      </c>
      <c r="L1030" s="7" t="inlineStr">
        <is>
          <t>Não</t>
        </is>
      </c>
      <c r="M1030" s="7" t="inlineStr">
        <is>
          <t>Sim</t>
        </is>
      </c>
      <c r="N1030" s="7" t="inlineStr">
        <is>
          <t>Sim</t>
        </is>
      </c>
      <c r="O1030" s="7" t="inlineStr">
        <is>
          <t>Sim</t>
        </is>
      </c>
      <c r="P1030" s="16" t="inlineStr">
        <is>
          <t>3 meses a 1 ano detenção + multa</t>
        </is>
      </c>
    </row>
    <row r="1031">
      <c r="A1031" s="7" t="inlineStr">
        <is>
          <t>CE (Lei 4.737/65)</t>
        </is>
      </c>
      <c r="B1031" s="7" t="inlineStr">
        <is>
          <t>Art. 326</t>
        </is>
      </c>
      <c r="C1031" s="16" t="inlineStr">
        <is>
          <t>Injúria eleitoral (injuriar alguém na propaganda eleitoral ou visando fins de propaganda)</t>
        </is>
      </c>
      <c r="D1031" s="7" t="n">
        <v>1</v>
      </c>
      <c r="E1031" s="7" t="n">
        <v>6</v>
      </c>
      <c r="F1031" s="7" t="inlineStr">
        <is>
          <t>Detenção</t>
        </is>
      </c>
      <c r="G1031" s="7" t="inlineStr">
        <is>
          <t>Pública Incondicionada</t>
        </is>
      </c>
      <c r="H1031" s="7" t="inlineStr">
        <is>
          <t>Não</t>
        </is>
      </c>
      <c r="I1031" s="7" t="inlineStr">
        <is>
          <t>Doloso</t>
        </is>
      </c>
      <c r="J1031" s="7" t="inlineStr">
        <is>
          <t>Sim</t>
        </is>
      </c>
      <c r="K1031" s="7" t="inlineStr">
        <is>
          <t>Não</t>
        </is>
      </c>
      <c r="L1031" s="7" t="inlineStr">
        <is>
          <t>Não</t>
        </is>
      </c>
      <c r="M1031" s="7" t="inlineStr">
        <is>
          <t>Sim</t>
        </is>
      </c>
      <c r="N1031" s="7" t="inlineStr">
        <is>
          <t>Sim</t>
        </is>
      </c>
      <c r="O1031" s="7" t="inlineStr">
        <is>
          <t>Sim</t>
        </is>
      </c>
      <c r="P1031" s="16" t="inlineStr">
        <is>
          <t>1-6 meses detenção + multa</t>
        </is>
      </c>
    </row>
    <row r="1032">
      <c r="A1032" s="7" t="inlineStr">
        <is>
          <t>CE (Lei 4.737/65)</t>
        </is>
      </c>
      <c r="B1032" s="7" t="inlineStr">
        <is>
          <t>Art. 347</t>
        </is>
      </c>
      <c r="C1032" s="16" t="inlineStr">
        <is>
          <t>Recusar alguém cumprimento/obediência a diligências, ordens ou instruções da Justiça Eleitoral</t>
        </is>
      </c>
      <c r="D1032" s="7" t="n">
        <v>3</v>
      </c>
      <c r="E1032" s="7" t="n">
        <v>12</v>
      </c>
      <c r="F1032" s="7" t="inlineStr">
        <is>
          <t>Detenção</t>
        </is>
      </c>
      <c r="G1032" s="7" t="inlineStr">
        <is>
          <t>Pública Incondicionada</t>
        </is>
      </c>
      <c r="H1032" s="7" t="inlineStr">
        <is>
          <t>Não</t>
        </is>
      </c>
      <c r="I1032" s="7" t="inlineStr">
        <is>
          <t>Doloso</t>
        </is>
      </c>
      <c r="J1032" s="7" t="inlineStr">
        <is>
          <t>Sim</t>
        </is>
      </c>
      <c r="K1032" s="7" t="inlineStr">
        <is>
          <t>Não</t>
        </is>
      </c>
      <c r="L1032" s="7" t="inlineStr">
        <is>
          <t>Não</t>
        </is>
      </c>
      <c r="M1032" s="7" t="inlineStr">
        <is>
          <t>Sim</t>
        </is>
      </c>
      <c r="N1032" s="7" t="inlineStr">
        <is>
          <t>Sim</t>
        </is>
      </c>
      <c r="O1032" s="7" t="inlineStr">
        <is>
          <t>Sim</t>
        </is>
      </c>
      <c r="P1032" s="16" t="inlineStr">
        <is>
          <t>3 meses a 1 ano detenção + multa</t>
        </is>
      </c>
    </row>
    <row r="1033">
      <c r="A1033" s="7" t="inlineStr">
        <is>
          <t>CE (Lei 4.737/65)</t>
        </is>
      </c>
      <c r="B1033" s="7" t="inlineStr">
        <is>
          <t>Art. 348</t>
        </is>
      </c>
      <c r="C1033" s="16" t="inlineStr">
        <is>
          <t>Falsificar/fabricar/alterar/suprimir/destruir/ocultar documento eleitoral público ou particular, com o fim de criar obrigação ou alterar a verdade sobre fato juridicamente relevante</t>
        </is>
      </c>
      <c r="D1033" s="7" t="n">
        <v>24</v>
      </c>
      <c r="E1033" s="7" t="n">
        <v>60</v>
      </c>
      <c r="F1033" s="7" t="inlineStr">
        <is>
          <t>Reclusão</t>
        </is>
      </c>
      <c r="G1033" s="7" t="inlineStr">
        <is>
          <t>Pública Incondicionada</t>
        </is>
      </c>
      <c r="H1033" s="7" t="inlineStr">
        <is>
          <t>Não</t>
        </is>
      </c>
      <c r="I1033" s="7" t="inlineStr">
        <is>
          <t>Doloso</t>
        </is>
      </c>
      <c r="J1033" s="7" t="inlineStr">
        <is>
          <t>Sim</t>
        </is>
      </c>
      <c r="K1033" s="7" t="inlineStr">
        <is>
          <t>Não</t>
        </is>
      </c>
      <c r="L1033" s="7" t="inlineStr">
        <is>
          <t>Não</t>
        </is>
      </c>
      <c r="M1033" s="7" t="inlineStr">
        <is>
          <t>Sim</t>
        </is>
      </c>
      <c r="N1033" s="7" t="inlineStr">
        <is>
          <t>Não</t>
        </is>
      </c>
      <c r="O1033" s="7" t="inlineStr">
        <is>
          <t>Sim</t>
        </is>
      </c>
      <c r="P1033" s="16" t="inlineStr">
        <is>
          <t>2-5 anos reclusão + multa</t>
        </is>
      </c>
    </row>
    <row r="1034">
      <c r="A1034" s="17" t="inlineStr">
        <is>
          <t>Lei 2.889/56</t>
        </is>
      </c>
      <c r="B1034" s="17" t="inlineStr">
        <is>
          <t>Art. 2º</t>
        </is>
      </c>
      <c r="C1034" s="18" t="inlineStr">
        <is>
          <t>Associação para genocídio (associar-se com mais de 3 pessoas para prática de genocídio)</t>
        </is>
      </c>
      <c r="D1034" s="17" t="n">
        <v>12</v>
      </c>
      <c r="E1034" s="17" t="n">
        <v>60</v>
      </c>
      <c r="F1034" s="17" t="inlineStr">
        <is>
          <t>Reclusão</t>
        </is>
      </c>
      <c r="G1034" s="17" t="inlineStr">
        <is>
          <t>Pública Incondicionada</t>
        </is>
      </c>
      <c r="H1034" s="17" t="inlineStr">
        <is>
          <t>Sim</t>
        </is>
      </c>
      <c r="I1034" s="17" t="inlineStr">
        <is>
          <t>Doloso</t>
        </is>
      </c>
      <c r="J1034" s="17" t="inlineStr">
        <is>
          <t>Não</t>
        </is>
      </c>
      <c r="K1034" s="17" t="inlineStr">
        <is>
          <t>Não</t>
        </is>
      </c>
      <c r="L1034" s="17" t="inlineStr">
        <is>
          <t>Não</t>
        </is>
      </c>
      <c r="M1034" s="17" t="inlineStr">
        <is>
          <t>Não</t>
        </is>
      </c>
      <c r="N1034" s="17" t="inlineStr">
        <is>
          <t>Sim</t>
        </is>
      </c>
      <c r="O1034" s="17" t="inlineStr">
        <is>
          <t>Sim</t>
        </is>
      </c>
      <c r="P1034" s="18" t="inlineStr">
        <is>
          <t>1-5 anos reclusão. HEDIONDO (equiparado)</t>
        </is>
      </c>
    </row>
    <row r="1035">
      <c r="A1035" s="17" t="inlineStr">
        <is>
          <t>Lei 2.889/56</t>
        </is>
      </c>
      <c r="B1035" s="17" t="inlineStr">
        <is>
          <t>Art. 3º</t>
        </is>
      </c>
      <c r="C1035" s="18" t="inlineStr">
        <is>
          <t>Incitação ao genocídio (incitar direta e publicamente alguém a cometer genocídio)</t>
        </is>
      </c>
      <c r="D1035" s="17" t="n">
        <v>36</v>
      </c>
      <c r="E1035" s="17" t="n">
        <v>60</v>
      </c>
      <c r="F1035" s="17" t="inlineStr">
        <is>
          <t>Reclusão</t>
        </is>
      </c>
      <c r="G1035" s="17" t="inlineStr">
        <is>
          <t>Pública Incondicionada</t>
        </is>
      </c>
      <c r="H1035" s="17" t="inlineStr">
        <is>
          <t>Sim</t>
        </is>
      </c>
      <c r="I1035" s="17" t="inlineStr">
        <is>
          <t>Doloso</t>
        </is>
      </c>
      <c r="J1035" s="17" t="inlineStr">
        <is>
          <t>Sim</t>
        </is>
      </c>
      <c r="K1035" s="17" t="inlineStr">
        <is>
          <t>Não</t>
        </is>
      </c>
      <c r="L1035" s="17" t="inlineStr">
        <is>
          <t>Não</t>
        </is>
      </c>
      <c r="M1035" s="17" t="inlineStr">
        <is>
          <t>Não</t>
        </is>
      </c>
      <c r="N1035" s="17" t="inlineStr">
        <is>
          <t>Não</t>
        </is>
      </c>
      <c r="O1035" s="17" t="inlineStr">
        <is>
          <t>Verificar</t>
        </is>
      </c>
      <c r="P1035" s="18" t="inlineStr">
        <is>
          <t>3-5 anos reclusão. HEDIONDO (equiparado)</t>
        </is>
      </c>
    </row>
    <row r="1036">
      <c r="A1036" s="17" t="inlineStr">
        <is>
          <t>Lei 13.260/16</t>
        </is>
      </c>
      <c r="B1036" s="17" t="inlineStr">
        <is>
          <t>Art. 2º</t>
        </is>
      </c>
      <c r="C1036" s="18" t="inlineStr">
        <is>
          <t>Terrorismo (praticar atos por razões de xenofobia/discriminação/preconceito de raça/cor/etnia/religião com finalidade de provocar terror social/generalizado, atentar contra pessoa/patrimônio/paz pública/incolumidade pública)</t>
        </is>
      </c>
      <c r="D1036" s="17" t="n">
        <v>144</v>
      </c>
      <c r="E1036" s="17" t="n">
        <v>360</v>
      </c>
      <c r="F1036" s="17" t="inlineStr">
        <is>
          <t>Reclusão</t>
        </is>
      </c>
      <c r="G1036" s="17" t="inlineStr">
        <is>
          <t>Pública Incondicionada</t>
        </is>
      </c>
      <c r="H1036" s="17" t="inlineStr">
        <is>
          <t>Sim</t>
        </is>
      </c>
      <c r="I1036" s="17" t="inlineStr">
        <is>
          <t>Doloso</t>
        </is>
      </c>
      <c r="J1036" s="17" t="inlineStr">
        <is>
          <t>Sim</t>
        </is>
      </c>
      <c r="K1036" s="17" t="inlineStr">
        <is>
          <t>Sim</t>
        </is>
      </c>
      <c r="L1036" s="17" t="inlineStr">
        <is>
          <t>Sim</t>
        </is>
      </c>
      <c r="M1036" s="17" t="inlineStr">
        <is>
          <t>Não</t>
        </is>
      </c>
      <c r="N1036" s="17" t="inlineStr">
        <is>
          <t>Não</t>
        </is>
      </c>
      <c r="O1036" s="17" t="inlineStr">
        <is>
          <t>Verificar</t>
        </is>
      </c>
      <c r="P1036" s="18" t="inlineStr">
        <is>
          <t>12-30 anos reclusão. HEDIONDO (equiparado). Sem prejuízo das penas de outros crimes. §1º: atos preparatórios: 5-8 anos</t>
        </is>
      </c>
    </row>
    <row r="1037">
      <c r="A1037" s="17" t="inlineStr">
        <is>
          <t>Lei 13.260/16</t>
        </is>
      </c>
      <c r="B1037" s="17" t="inlineStr">
        <is>
          <t>Art. 2º, §1º</t>
        </is>
      </c>
      <c r="C1037" s="18" t="inlineStr">
        <is>
          <t>Atos preparatórios de terrorismo (preparar ato de terrorismo sem consumá-lo)</t>
        </is>
      </c>
      <c r="D1037" s="17" t="n">
        <v>60</v>
      </c>
      <c r="E1037" s="17" t="n">
        <v>96</v>
      </c>
      <c r="F1037" s="17" t="inlineStr">
        <is>
          <t>Reclusão</t>
        </is>
      </c>
      <c r="G1037" s="17" t="inlineStr">
        <is>
          <t>Pública Incondicionada</t>
        </is>
      </c>
      <c r="H1037" s="17" t="inlineStr">
        <is>
          <t>Sim</t>
        </is>
      </c>
      <c r="I1037" s="17" t="inlineStr">
        <is>
          <t>Doloso</t>
        </is>
      </c>
      <c r="J1037" s="17" t="inlineStr">
        <is>
          <t>Sim</t>
        </is>
      </c>
      <c r="K1037" s="17" t="inlineStr">
        <is>
          <t>Não</t>
        </is>
      </c>
      <c r="L1037" s="17" t="inlineStr">
        <is>
          <t>Não</t>
        </is>
      </c>
      <c r="M1037" s="17" t="inlineStr">
        <is>
          <t>Não</t>
        </is>
      </c>
      <c r="N1037" s="17" t="inlineStr">
        <is>
          <t>Não</t>
        </is>
      </c>
      <c r="O1037" s="17" t="inlineStr">
        <is>
          <t>Verificar</t>
        </is>
      </c>
      <c r="P1037" s="18" t="inlineStr">
        <is>
          <t>5-8 anos reclusão. HEDIONDO (equiparado)</t>
        </is>
      </c>
    </row>
    <row r="1038">
      <c r="A1038" s="17" t="inlineStr">
        <is>
          <t>Lei 13.260/16</t>
        </is>
      </c>
      <c r="B1038" s="17" t="inlineStr">
        <is>
          <t>Art. 3º</t>
        </is>
      </c>
      <c r="C1038" s="18" t="inlineStr">
        <is>
          <t>Promover/constituir/integrar/prestar auxílio a organização terrorista</t>
        </is>
      </c>
      <c r="D1038" s="17" t="n">
        <v>60</v>
      </c>
      <c r="E1038" s="17" t="n">
        <v>96</v>
      </c>
      <c r="F1038" s="17" t="inlineStr">
        <is>
          <t>Reclusão</t>
        </is>
      </c>
      <c r="G1038" s="17" t="inlineStr">
        <is>
          <t>Pública Incondicionada</t>
        </is>
      </c>
      <c r="H1038" s="17" t="inlineStr">
        <is>
          <t>Sim</t>
        </is>
      </c>
      <c r="I1038" s="17" t="inlineStr">
        <is>
          <t>Doloso</t>
        </is>
      </c>
      <c r="J1038" s="17" t="inlineStr">
        <is>
          <t>Sim</t>
        </is>
      </c>
      <c r="K1038" s="17" t="inlineStr">
        <is>
          <t>Não</t>
        </is>
      </c>
      <c r="L1038" s="17" t="inlineStr">
        <is>
          <t>Não</t>
        </is>
      </c>
      <c r="M1038" s="17" t="inlineStr">
        <is>
          <t>Não</t>
        </is>
      </c>
      <c r="N1038" s="17" t="inlineStr">
        <is>
          <t>Não</t>
        </is>
      </c>
      <c r="O1038" s="17" t="inlineStr">
        <is>
          <t>Verificar</t>
        </is>
      </c>
      <c r="P1038" s="18" t="inlineStr">
        <is>
          <t>5-8 anos reclusão. HEDIONDO (equiparado). §único: sem prejuízo das penas de outros crimes</t>
        </is>
      </c>
    </row>
    <row r="1039">
      <c r="A1039" s="17" t="inlineStr">
        <is>
          <t>Lei 13.260/16</t>
        </is>
      </c>
      <c r="B1039" s="17" t="inlineStr">
        <is>
          <t>Art. 5º</t>
        </is>
      </c>
      <c r="C1039" s="18" t="inlineStr">
        <is>
          <t>Realizar atos preparatórios de terrorismo (oferecer/receber treinamento em País que possa facilitar a prática de terrorismo, reunir pessoas com fins terroristas, adquirir armas/munições/explosivos para fins terroristas)</t>
        </is>
      </c>
      <c r="D1039" s="17" t="n">
        <v>60</v>
      </c>
      <c r="E1039" s="17" t="n">
        <v>96</v>
      </c>
      <c r="F1039" s="17" t="inlineStr">
        <is>
          <t>Reclusão</t>
        </is>
      </c>
      <c r="G1039" s="17" t="inlineStr">
        <is>
          <t>Pública Incondicionada</t>
        </is>
      </c>
      <c r="H1039" s="17" t="inlineStr">
        <is>
          <t>Sim</t>
        </is>
      </c>
      <c r="I1039" s="17" t="inlineStr">
        <is>
          <t>Doloso</t>
        </is>
      </c>
      <c r="J1039" s="17" t="inlineStr">
        <is>
          <t>Sim</t>
        </is>
      </c>
      <c r="K1039" s="17" t="inlineStr">
        <is>
          <t>Não</t>
        </is>
      </c>
      <c r="L1039" s="17" t="inlineStr">
        <is>
          <t>Não</t>
        </is>
      </c>
      <c r="M1039" s="17" t="inlineStr">
        <is>
          <t>Não</t>
        </is>
      </c>
      <c r="N1039" s="17" t="inlineStr">
        <is>
          <t>Não</t>
        </is>
      </c>
      <c r="O1039" s="17" t="inlineStr">
        <is>
          <t>Verificar</t>
        </is>
      </c>
      <c r="P1039" s="18" t="inlineStr">
        <is>
          <t>5-8 anos reclusão. HEDIONDO (equiparado)</t>
        </is>
      </c>
    </row>
    <row r="1040">
      <c r="A1040" s="17" t="inlineStr">
        <is>
          <t>Lei 13.260/16</t>
        </is>
      </c>
      <c r="B1040" s="17" t="inlineStr">
        <is>
          <t>Art. 6º</t>
        </is>
      </c>
      <c r="C1040" s="18" t="inlineStr">
        <is>
          <t>Financiamento do terrorismo (receber/prover/oferecer/obter/guardar/manter em depósito/solicitar/investir/transportar fundos/ativos financeiros com objetivo de financiar terrorismo)</t>
        </is>
      </c>
      <c r="D1040" s="17" t="n">
        <v>180</v>
      </c>
      <c r="E1040" s="17" t="n">
        <v>360</v>
      </c>
      <c r="F1040" s="17" t="inlineStr">
        <is>
          <t>Reclusão</t>
        </is>
      </c>
      <c r="G1040" s="17" t="inlineStr">
        <is>
          <t>Pública Incondicionada</t>
        </is>
      </c>
      <c r="H1040" s="17" t="inlineStr">
        <is>
          <t>Sim</t>
        </is>
      </c>
      <c r="I1040" s="17" t="inlineStr">
        <is>
          <t>Doloso</t>
        </is>
      </c>
      <c r="J1040" s="17" t="inlineStr">
        <is>
          <t>Sim</t>
        </is>
      </c>
      <c r="K1040" s="17" t="inlineStr">
        <is>
          <t>Não</t>
        </is>
      </c>
      <c r="L1040" s="17" t="inlineStr">
        <is>
          <t>Não</t>
        </is>
      </c>
      <c r="M1040" s="17" t="inlineStr">
        <is>
          <t>Não</t>
        </is>
      </c>
      <c r="N1040" s="17" t="inlineStr">
        <is>
          <t>Não</t>
        </is>
      </c>
      <c r="O1040" s="17" t="inlineStr">
        <is>
          <t>Verificar</t>
        </is>
      </c>
      <c r="P1040" s="18" t="inlineStr">
        <is>
          <t>15-30 anos reclusão. HEDIONDO (equiparado)</t>
        </is>
      </c>
    </row>
    <row r="1041">
      <c r="A1041" s="7" t="inlineStr">
        <is>
          <t>Lei 9.807/99</t>
        </is>
      </c>
      <c r="B1041" s="7" t="inlineStr">
        <is>
          <t>Art. 19</t>
        </is>
      </c>
      <c r="C1041" s="16" t="inlineStr">
        <is>
          <t>Identificar ou revelar a identidade de pessoa protegida ou ameaçada (revelar dados sobre localização/identificação de testemunha protegida)</t>
        </is>
      </c>
      <c r="D1041" s="7" t="n">
        <v>6</v>
      </c>
      <c r="E1041" s="7" t="n">
        <v>12</v>
      </c>
      <c r="F1041" s="7" t="inlineStr">
        <is>
          <t>Detenção</t>
        </is>
      </c>
      <c r="G1041" s="7" t="inlineStr">
        <is>
          <t>Pública Incondicionada</t>
        </is>
      </c>
      <c r="H1041" s="7" t="inlineStr">
        <is>
          <t>Não</t>
        </is>
      </c>
      <c r="I1041" s="7" t="inlineStr">
        <is>
          <t>Doloso</t>
        </is>
      </c>
      <c r="J1041" s="7" t="inlineStr">
        <is>
          <t>Sim</t>
        </is>
      </c>
      <c r="K1041" s="7" t="inlineStr">
        <is>
          <t>Não</t>
        </is>
      </c>
      <c r="L1041" s="7" t="inlineStr">
        <is>
          <t>Não</t>
        </is>
      </c>
      <c r="M1041" s="7" t="inlineStr">
        <is>
          <t>Sim</t>
        </is>
      </c>
      <c r="N1041" s="7" t="inlineStr">
        <is>
          <t>Sim</t>
        </is>
      </c>
      <c r="O1041" s="7" t="inlineStr">
        <is>
          <t>Sim</t>
        </is>
      </c>
      <c r="P1041" s="16" t="inlineStr">
        <is>
          <t>6 meses a 1 ano detenção + multa</t>
        </is>
      </c>
    </row>
    <row r="1042">
      <c r="A1042" s="7" t="inlineStr">
        <is>
          <t>Lei 13.146/15</t>
        </is>
      </c>
      <c r="B1042" s="7" t="inlineStr">
        <is>
          <t>Art. 88</t>
        </is>
      </c>
      <c r="C1042" s="16" t="inlineStr">
        <is>
          <t>Praticar/induzir/incitar discriminação de pessoa em razão de sua deficiência</t>
        </is>
      </c>
      <c r="D1042" s="7" t="n">
        <v>12</v>
      </c>
      <c r="E1042" s="7" t="n">
        <v>36</v>
      </c>
      <c r="F1042" s="7" t="inlineStr">
        <is>
          <t>Reclusão</t>
        </is>
      </c>
      <c r="G1042" s="7" t="inlineStr">
        <is>
          <t>Pública Incondicionada</t>
        </is>
      </c>
      <c r="H1042" s="7" t="inlineStr">
        <is>
          <t>Não</t>
        </is>
      </c>
      <c r="I1042" s="7" t="inlineStr">
        <is>
          <t>Doloso</t>
        </is>
      </c>
      <c r="J1042" s="7" t="inlineStr">
        <is>
          <t>Sim</t>
        </is>
      </c>
      <c r="K1042" s="7" t="inlineStr">
        <is>
          <t>Não</t>
        </is>
      </c>
      <c r="L1042" s="7" t="inlineStr">
        <is>
          <t>Não</t>
        </is>
      </c>
      <c r="M1042" s="7" t="inlineStr">
        <is>
          <t>Sim</t>
        </is>
      </c>
      <c r="N1042" s="7" t="inlineStr">
        <is>
          <t>Sim</t>
        </is>
      </c>
      <c r="O1042" s="7" t="inlineStr">
        <is>
          <t>Sim</t>
        </is>
      </c>
      <c r="P1042" s="16" t="inlineStr">
        <is>
          <t>1-3 anos reclusão + multa. §1º: aumento de 1/3 se mídia. §2º: se culposo: 6m-1a detenção + multa</t>
        </is>
      </c>
    </row>
    <row r="1043">
      <c r="A1043" s="7" t="inlineStr">
        <is>
          <t>Lei 13.146/15</t>
        </is>
      </c>
      <c r="B1043" s="7" t="inlineStr">
        <is>
          <t>Art. 89</t>
        </is>
      </c>
      <c r="C1043" s="16" t="inlineStr">
        <is>
          <t>Recusar/suspender/procrastinar/cancelar inscrição de aluno em estabelecimento de ensino em razão de deficiência</t>
        </is>
      </c>
      <c r="D1043" s="7" t="n">
        <v>24</v>
      </c>
      <c r="E1043" s="7" t="n">
        <v>60</v>
      </c>
      <c r="F1043" s="7" t="inlineStr">
        <is>
          <t>Reclusão</t>
        </is>
      </c>
      <c r="G1043" s="7" t="inlineStr">
        <is>
          <t>Pública Incondicionada</t>
        </is>
      </c>
      <c r="H1043" s="7" t="inlineStr">
        <is>
          <t>Não</t>
        </is>
      </c>
      <c r="I1043" s="7" t="inlineStr">
        <is>
          <t>Doloso</t>
        </is>
      </c>
      <c r="J1043" s="7" t="inlineStr">
        <is>
          <t>Sim</t>
        </is>
      </c>
      <c r="K1043" s="7" t="inlineStr">
        <is>
          <t>Não</t>
        </is>
      </c>
      <c r="L1043" s="7" t="inlineStr">
        <is>
          <t>Não</t>
        </is>
      </c>
      <c r="M1043" s="7" t="inlineStr">
        <is>
          <t>Sim</t>
        </is>
      </c>
      <c r="N1043" s="7" t="inlineStr">
        <is>
          <t>Não</t>
        </is>
      </c>
      <c r="O1043" s="7" t="inlineStr">
        <is>
          <t>Sim</t>
        </is>
      </c>
      <c r="P1043" s="16" t="inlineStr">
        <is>
          <t>2-5 anos reclusão + multa</t>
        </is>
      </c>
    </row>
    <row r="1044">
      <c r="A1044" s="7" t="inlineStr">
        <is>
          <t>Lei 13.146/15</t>
        </is>
      </c>
      <c r="B1044" s="7" t="inlineStr">
        <is>
          <t>Art. 90</t>
        </is>
      </c>
      <c r="C1044" s="16" t="inlineStr">
        <is>
          <t>Abandonar pessoa com deficiência em hospitais/casas de saúde/entidades de abrigamento ou omitir nelas as necessidades básicas</t>
        </is>
      </c>
      <c r="D1044" s="7" t="n">
        <v>6</v>
      </c>
      <c r="E1044" s="7" t="n">
        <v>36</v>
      </c>
      <c r="F1044" s="7" t="inlineStr">
        <is>
          <t>Reclusão</t>
        </is>
      </c>
      <c r="G1044" s="7" t="inlineStr">
        <is>
          <t>Pública Incondicionada</t>
        </is>
      </c>
      <c r="H1044" s="7" t="inlineStr">
        <is>
          <t>Não</t>
        </is>
      </c>
      <c r="I1044" s="7" t="inlineStr">
        <is>
          <t>Doloso</t>
        </is>
      </c>
      <c r="J1044" s="7" t="inlineStr">
        <is>
          <t>Sim</t>
        </is>
      </c>
      <c r="K1044" s="7" t="inlineStr">
        <is>
          <t>Não</t>
        </is>
      </c>
      <c r="L1044" s="7" t="inlineStr">
        <is>
          <t>Não</t>
        </is>
      </c>
      <c r="M1044" s="7" t="inlineStr">
        <is>
          <t>Sim</t>
        </is>
      </c>
      <c r="N1044" s="7" t="inlineStr">
        <is>
          <t>Sim</t>
        </is>
      </c>
      <c r="O1044" s="7" t="inlineStr">
        <is>
          <t>Sim</t>
        </is>
      </c>
      <c r="P1044" s="16" t="inlineStr">
        <is>
          <t>6 meses a 3 anos reclusão + multa</t>
        </is>
      </c>
    </row>
    <row r="1045">
      <c r="A1045" s="7" t="inlineStr">
        <is>
          <t>Lei 13.146/15</t>
        </is>
      </c>
      <c r="B1045" s="7" t="inlineStr">
        <is>
          <t>Art. 91</t>
        </is>
      </c>
      <c r="C1045" s="16" t="inlineStr">
        <is>
          <t>Reter ou utilizar cartão magnético, conta bancária ou qualquer outro recurso que assegure direitos da pessoa com deficiência</t>
        </is>
      </c>
      <c r="D1045" s="7" t="n">
        <v>6</v>
      </c>
      <c r="E1045" s="7" t="n">
        <v>24</v>
      </c>
      <c r="F1045" s="7" t="inlineStr">
        <is>
          <t>Detenção</t>
        </is>
      </c>
      <c r="G1045" s="7" t="inlineStr">
        <is>
          <t>Pública Condicionada</t>
        </is>
      </c>
      <c r="H1045" s="7" t="inlineStr">
        <is>
          <t>Não</t>
        </is>
      </c>
      <c r="I1045" s="7" t="inlineStr">
        <is>
          <t>Doloso</t>
        </is>
      </c>
      <c r="J1045" s="7" t="inlineStr">
        <is>
          <t>Sim</t>
        </is>
      </c>
      <c r="K1045" s="7" t="inlineStr">
        <is>
          <t>Não</t>
        </is>
      </c>
      <c r="L1045" s="7" t="inlineStr">
        <is>
          <t>Não</t>
        </is>
      </c>
      <c r="M1045" s="7" t="inlineStr">
        <is>
          <t>Sim</t>
        </is>
      </c>
      <c r="N1045" s="7" t="inlineStr">
        <is>
          <t>Sim</t>
        </is>
      </c>
      <c r="O1045" s="7" t="inlineStr">
        <is>
          <t>Sim</t>
        </is>
      </c>
      <c r="P1045" s="16" t="inlineStr">
        <is>
          <t>6 meses a 2 anos detenção + multa. Reter BPC, cartão, etc.</t>
        </is>
      </c>
    </row>
    <row r="1046">
      <c r="A1046" s="7" t="inlineStr">
        <is>
          <t>Lei 10.826/03</t>
        </is>
      </c>
      <c r="B1046" s="7" t="inlineStr">
        <is>
          <t>Art. 16, §1º, I</t>
        </is>
      </c>
      <c r="C1046" s="16" t="inlineStr">
        <is>
          <t>Posse/porte de arma de uso restrito com aumento — se praticado por integrante dos órgãos mencionados no Art. 6º</t>
        </is>
      </c>
      <c r="D1046" s="7" t="n">
        <v>36</v>
      </c>
      <c r="E1046" s="7" t="n">
        <v>72</v>
      </c>
      <c r="F1046" s="7" t="inlineStr">
        <is>
          <t>Reclusão</t>
        </is>
      </c>
      <c r="G1046" s="7" t="inlineStr">
        <is>
          <t>Pública Incondicionada</t>
        </is>
      </c>
      <c r="H1046" s="7" t="inlineStr">
        <is>
          <t>Não</t>
        </is>
      </c>
      <c r="I1046" s="7" t="inlineStr">
        <is>
          <t>Doloso</t>
        </is>
      </c>
      <c r="J1046" s="7" t="inlineStr">
        <is>
          <t>Sim</t>
        </is>
      </c>
      <c r="K1046" s="7" t="inlineStr">
        <is>
          <t>Não</t>
        </is>
      </c>
      <c r="L1046" s="7" t="inlineStr">
        <is>
          <t>Não</t>
        </is>
      </c>
      <c r="M1046" s="7" t="inlineStr">
        <is>
          <t>Sim</t>
        </is>
      </c>
      <c r="N1046" s="7" t="inlineStr">
        <is>
          <t>Não</t>
        </is>
      </c>
      <c r="O1046" s="7" t="inlineStr">
        <is>
          <t>Verificar</t>
        </is>
      </c>
      <c r="P1046" s="16" t="inlineStr">
        <is>
          <t>3-6 anos reclusão + multa. Aumento da metade</t>
        </is>
      </c>
    </row>
    <row r="1047">
      <c r="A1047" s="7" t="inlineStr">
        <is>
          <t>Lei 10.826/03</t>
        </is>
      </c>
      <c r="B1047" s="7" t="inlineStr">
        <is>
          <t>Art. 16, §1º, II</t>
        </is>
      </c>
      <c r="C1047" s="16" t="inlineStr">
        <is>
          <t>Posse/porte de arma de uso restrito com aumento — se arma de fogo estiver raspada, adulterada ou suprimida numeração/marca/sinal de identificação</t>
        </is>
      </c>
      <c r="D1047" s="7" t="n">
        <v>36</v>
      </c>
      <c r="E1047" s="7" t="n">
        <v>72</v>
      </c>
      <c r="F1047" s="7" t="inlineStr">
        <is>
          <t>Reclusão</t>
        </is>
      </c>
      <c r="G1047" s="7" t="inlineStr">
        <is>
          <t>Pública Incondicionada</t>
        </is>
      </c>
      <c r="H1047" s="7" t="inlineStr">
        <is>
          <t>Não</t>
        </is>
      </c>
      <c r="I1047" s="7" t="inlineStr">
        <is>
          <t>Doloso</t>
        </is>
      </c>
      <c r="J1047" s="7" t="inlineStr">
        <is>
          <t>Sim</t>
        </is>
      </c>
      <c r="K1047" s="7" t="inlineStr">
        <is>
          <t>Não</t>
        </is>
      </c>
      <c r="L1047" s="7" t="inlineStr">
        <is>
          <t>Não</t>
        </is>
      </c>
      <c r="M1047" s="7" t="inlineStr">
        <is>
          <t>Sim</t>
        </is>
      </c>
      <c r="N1047" s="7" t="inlineStr">
        <is>
          <t>Não</t>
        </is>
      </c>
      <c r="O1047" s="7" t="inlineStr">
        <is>
          <t>Verificar</t>
        </is>
      </c>
      <c r="P1047" s="16" t="inlineStr">
        <is>
          <t>3-6 anos reclusão + multa. Aumento da metade</t>
        </is>
      </c>
    </row>
    <row r="1048">
      <c r="A1048" s="17" t="inlineStr">
        <is>
          <t>Lei 10.826/03</t>
        </is>
      </c>
      <c r="B1048" s="17" t="inlineStr">
        <is>
          <t>Art. 17</t>
        </is>
      </c>
      <c r="C1048" s="18" t="inlineStr">
        <is>
          <t>Comércio ilegal de arma de fogo (adquirir/alugar/receber/transportar/conduzir/ocultar/ter em depósito/desmontar/montar/remontar/adulterar/vender/expor à venda/ter em estoque arma de fogo/acessório/munição sem autorização, em desacordo com determinação legal ou regulamentar)</t>
        </is>
      </c>
      <c r="D1048" s="17" t="n">
        <v>72</v>
      </c>
      <c r="E1048" s="17" t="n">
        <v>144</v>
      </c>
      <c r="F1048" s="17" t="inlineStr">
        <is>
          <t>Reclusão</t>
        </is>
      </c>
      <c r="G1048" s="17" t="inlineStr">
        <is>
          <t>Pública Incondicionada</t>
        </is>
      </c>
      <c r="H1048" s="17" t="inlineStr">
        <is>
          <t>Sim</t>
        </is>
      </c>
      <c r="I1048" s="17" t="inlineStr">
        <is>
          <t>Doloso</t>
        </is>
      </c>
      <c r="J1048" s="17" t="inlineStr">
        <is>
          <t>Sim</t>
        </is>
      </c>
      <c r="K1048" s="17" t="inlineStr">
        <is>
          <t>Não</t>
        </is>
      </c>
      <c r="L1048" s="17" t="inlineStr">
        <is>
          <t>Não</t>
        </is>
      </c>
      <c r="M1048" s="17" t="inlineStr">
        <is>
          <t>Não</t>
        </is>
      </c>
      <c r="N1048" s="17" t="inlineStr">
        <is>
          <t>Não</t>
        </is>
      </c>
      <c r="O1048" s="17" t="inlineStr">
        <is>
          <t>Verificar</t>
        </is>
      </c>
      <c r="P1048" s="18" t="inlineStr">
        <is>
          <t>6-12 anos reclusão + multa. HEDIONDO (Lei 13.497/17). Crime de comércio ilegal</t>
        </is>
      </c>
    </row>
    <row r="1049">
      <c r="A1049" s="17" t="inlineStr">
        <is>
          <t>Lei 10.826/03</t>
        </is>
      </c>
      <c r="B1049" s="17" t="inlineStr">
        <is>
          <t>Art. 18</t>
        </is>
      </c>
      <c r="C1049" s="18" t="inlineStr">
        <is>
          <t>Tráfico internacional de arma de fogo (importar/exportar/favorecer entrada ou saída do território nacional, a qualquer título, arma de fogo sem autorização)</t>
        </is>
      </c>
      <c r="D1049" s="17" t="n">
        <v>96</v>
      </c>
      <c r="E1049" s="17" t="n">
        <v>192</v>
      </c>
      <c r="F1049" s="17" t="inlineStr">
        <is>
          <t>Reclusão</t>
        </is>
      </c>
      <c r="G1049" s="17" t="inlineStr">
        <is>
          <t>Pública Incondicionada</t>
        </is>
      </c>
      <c r="H1049" s="17" t="inlineStr">
        <is>
          <t>Sim</t>
        </is>
      </c>
      <c r="I1049" s="17" t="inlineStr">
        <is>
          <t>Doloso</t>
        </is>
      </c>
      <c r="J1049" s="17" t="inlineStr">
        <is>
          <t>Sim</t>
        </is>
      </c>
      <c r="K1049" s="17" t="inlineStr">
        <is>
          <t>Não</t>
        </is>
      </c>
      <c r="L1049" s="17" t="inlineStr">
        <is>
          <t>Não</t>
        </is>
      </c>
      <c r="M1049" s="17" t="inlineStr">
        <is>
          <t>Não</t>
        </is>
      </c>
      <c r="N1049" s="17" t="inlineStr">
        <is>
          <t>Não</t>
        </is>
      </c>
      <c r="O1049" s="17" t="inlineStr">
        <is>
          <t>Verificar</t>
        </is>
      </c>
      <c r="P1049" s="18" t="inlineStr">
        <is>
          <t>8-16 anos reclusão + multa. HEDIONDO (Lei 13.497/17). Competência da Justiça Federal</t>
        </is>
      </c>
    </row>
    <row r="1050">
      <c r="A1050" s="7" t="inlineStr">
        <is>
          <t>Lei 9.605/98</t>
        </is>
      </c>
      <c r="B1050" s="7" t="inlineStr">
        <is>
          <t>Art. 29, §1º, I</t>
        </is>
      </c>
      <c r="C1050" s="16" t="inlineStr">
        <is>
          <t>Matar/perseguir/caçar/apanhar espécimes da fauna silvestre brasileira sem autorização — espécies raras ou em perigo de extinção</t>
        </is>
      </c>
      <c r="D1050" s="7" t="n">
        <v>6</v>
      </c>
      <c r="E1050" s="7" t="n">
        <v>12</v>
      </c>
      <c r="F1050" s="7" t="inlineStr">
        <is>
          <t>Detenção</t>
        </is>
      </c>
      <c r="G1050" s="7" t="inlineStr">
        <is>
          <t>Pública Incondicionada</t>
        </is>
      </c>
      <c r="H1050" s="7" t="inlineStr">
        <is>
          <t>Não</t>
        </is>
      </c>
      <c r="I1050" s="7" t="inlineStr">
        <is>
          <t>Doloso</t>
        </is>
      </c>
      <c r="J1050" s="7" t="inlineStr">
        <is>
          <t>Sim</t>
        </is>
      </c>
      <c r="K1050" s="7" t="inlineStr">
        <is>
          <t>Não</t>
        </is>
      </c>
      <c r="L1050" s="7" t="inlineStr">
        <is>
          <t>Não</t>
        </is>
      </c>
      <c r="M1050" s="7" t="inlineStr">
        <is>
          <t>Sim</t>
        </is>
      </c>
      <c r="N1050" s="7" t="inlineStr">
        <is>
          <t>Sim</t>
        </is>
      </c>
      <c r="O1050" s="7" t="inlineStr">
        <is>
          <t>Sim</t>
        </is>
      </c>
      <c r="P1050" s="16" t="inlineStr">
        <is>
          <t>6 meses a 1 ano detenção + multa. Aumento de metade se espécie rara/ameaçada</t>
        </is>
      </c>
    </row>
    <row r="1051">
      <c r="A1051" s="7" t="inlineStr">
        <is>
          <t>Lei 9.605/98</t>
        </is>
      </c>
      <c r="B1051" s="7" t="inlineStr">
        <is>
          <t>Art. 29, §1º, II</t>
        </is>
      </c>
      <c r="C1051" s="16" t="inlineStr">
        <is>
          <t>Matar/perseguir/caçar/apanhar espécimes em período proibido à caça</t>
        </is>
      </c>
      <c r="D1051" s="7" t="n">
        <v>6</v>
      </c>
      <c r="E1051" s="7" t="n">
        <v>12</v>
      </c>
      <c r="F1051" s="7" t="inlineStr">
        <is>
          <t>Detenção</t>
        </is>
      </c>
      <c r="G1051" s="7" t="inlineStr">
        <is>
          <t>Pública Incondicionada</t>
        </is>
      </c>
      <c r="H1051" s="7" t="inlineStr">
        <is>
          <t>Não</t>
        </is>
      </c>
      <c r="I1051" s="7" t="inlineStr">
        <is>
          <t>Doloso</t>
        </is>
      </c>
      <c r="J1051" s="7" t="inlineStr">
        <is>
          <t>Sim</t>
        </is>
      </c>
      <c r="K1051" s="7" t="inlineStr">
        <is>
          <t>Não</t>
        </is>
      </c>
      <c r="L1051" s="7" t="inlineStr">
        <is>
          <t>Não</t>
        </is>
      </c>
      <c r="M1051" s="7" t="inlineStr">
        <is>
          <t>Sim</t>
        </is>
      </c>
      <c r="N1051" s="7" t="inlineStr">
        <is>
          <t>Sim</t>
        </is>
      </c>
      <c r="O1051" s="7" t="inlineStr">
        <is>
          <t>Sim</t>
        </is>
      </c>
      <c r="P1051" s="16" t="inlineStr">
        <is>
          <t>6 meses a 1 ano detenção + multa</t>
        </is>
      </c>
    </row>
    <row r="1052">
      <c r="A1052" s="7" t="inlineStr">
        <is>
          <t>Lei 9.605/98</t>
        </is>
      </c>
      <c r="B1052" s="7" t="inlineStr">
        <is>
          <t>Art. 29, §1º, III</t>
        </is>
      </c>
      <c r="C1052" s="16" t="inlineStr">
        <is>
          <t>Matar/perseguir/caçar/apanhar espécimes em local proibido (unidade de conservação)</t>
        </is>
      </c>
      <c r="D1052" s="7" t="n">
        <v>6</v>
      </c>
      <c r="E1052" s="7" t="n">
        <v>12</v>
      </c>
      <c r="F1052" s="7" t="inlineStr">
        <is>
          <t>Detenção</t>
        </is>
      </c>
      <c r="G1052" s="7" t="inlineStr">
        <is>
          <t>Pública Incondicionada</t>
        </is>
      </c>
      <c r="H1052" s="7" t="inlineStr">
        <is>
          <t>Não</t>
        </is>
      </c>
      <c r="I1052" s="7" t="inlineStr">
        <is>
          <t>Doloso</t>
        </is>
      </c>
      <c r="J1052" s="7" t="inlineStr">
        <is>
          <t>Sim</t>
        </is>
      </c>
      <c r="K1052" s="7" t="inlineStr">
        <is>
          <t>Não</t>
        </is>
      </c>
      <c r="L1052" s="7" t="inlineStr">
        <is>
          <t>Não</t>
        </is>
      </c>
      <c r="M1052" s="7" t="inlineStr">
        <is>
          <t>Sim</t>
        </is>
      </c>
      <c r="N1052" s="7" t="inlineStr">
        <is>
          <t>Sim</t>
        </is>
      </c>
      <c r="O1052" s="7" t="inlineStr">
        <is>
          <t>Sim</t>
        </is>
      </c>
      <c r="P1052" s="16" t="inlineStr">
        <is>
          <t>6 meses a 1 ano detenção + multa</t>
        </is>
      </c>
    </row>
    <row r="1053">
      <c r="A1053" s="7" t="inlineStr">
        <is>
          <t>Lei 9.605/98</t>
        </is>
      </c>
      <c r="B1053" s="7" t="inlineStr">
        <is>
          <t>Art. 38</t>
        </is>
      </c>
      <c r="C1053" s="16" t="inlineStr">
        <is>
          <t>Destruir ou danificar floresta de preservação permanente, mesmo que em formação, ou utilizá-la com infringência das normas de proteção</t>
        </is>
      </c>
      <c r="D1053" s="7" t="n">
        <v>12</v>
      </c>
      <c r="E1053" s="7" t="n">
        <v>36</v>
      </c>
      <c r="F1053" s="7" t="inlineStr">
        <is>
          <t>Detenção</t>
        </is>
      </c>
      <c r="G1053" s="7" t="inlineStr">
        <is>
          <t>Pública Incondicionada</t>
        </is>
      </c>
      <c r="H1053" s="7" t="inlineStr">
        <is>
          <t>Não</t>
        </is>
      </c>
      <c r="I1053" s="7" t="inlineStr">
        <is>
          <t>Doloso</t>
        </is>
      </c>
      <c r="J1053" s="7" t="inlineStr">
        <is>
          <t>Sim</t>
        </is>
      </c>
      <c r="K1053" s="7" t="inlineStr">
        <is>
          <t>Não</t>
        </is>
      </c>
      <c r="L1053" s="7" t="inlineStr">
        <is>
          <t>Não</t>
        </is>
      </c>
      <c r="M1053" s="7" t="inlineStr">
        <is>
          <t>Sim</t>
        </is>
      </c>
      <c r="N1053" s="7" t="inlineStr">
        <is>
          <t>Sim</t>
        </is>
      </c>
      <c r="O1053" s="7" t="inlineStr">
        <is>
          <t>Sim</t>
        </is>
      </c>
      <c r="P1053" s="16" t="inlineStr">
        <is>
          <t>1-3 anos detenção + multa. Ou ambos</t>
        </is>
      </c>
    </row>
    <row r="1054">
      <c r="A1054" s="7" t="inlineStr">
        <is>
          <t>Lei 9.605/98</t>
        </is>
      </c>
      <c r="B1054" s="7" t="inlineStr">
        <is>
          <t>Art. 38-A</t>
        </is>
      </c>
      <c r="C1054" s="16" t="inlineStr">
        <is>
          <t>Destruir/danificar vegetação primária ou secundária em estágio avançado de regeneração no Bioma Mata Atlântica</t>
        </is>
      </c>
      <c r="D1054" s="7" t="n">
        <v>12</v>
      </c>
      <c r="E1054" s="7" t="n">
        <v>36</v>
      </c>
      <c r="F1054" s="7" t="inlineStr">
        <is>
          <t>Detenção</t>
        </is>
      </c>
      <c r="G1054" s="7" t="inlineStr">
        <is>
          <t>Pública Incondicionada</t>
        </is>
      </c>
      <c r="H1054" s="7" t="inlineStr">
        <is>
          <t>Não</t>
        </is>
      </c>
      <c r="I1054" s="7" t="inlineStr">
        <is>
          <t>Doloso</t>
        </is>
      </c>
      <c r="J1054" s="7" t="inlineStr">
        <is>
          <t>Sim</t>
        </is>
      </c>
      <c r="K1054" s="7" t="inlineStr">
        <is>
          <t>Não</t>
        </is>
      </c>
      <c r="L1054" s="7" t="inlineStr">
        <is>
          <t>Não</t>
        </is>
      </c>
      <c r="M1054" s="7" t="inlineStr">
        <is>
          <t>Sim</t>
        </is>
      </c>
      <c r="N1054" s="7" t="inlineStr">
        <is>
          <t>Sim</t>
        </is>
      </c>
      <c r="O1054" s="7" t="inlineStr">
        <is>
          <t>Sim</t>
        </is>
      </c>
      <c r="P1054" s="16" t="inlineStr">
        <is>
          <t>1-3 anos detenção + multa. Ou ambos. §único: se médio estágio: 6m-1a detenção + multa</t>
        </is>
      </c>
    </row>
    <row r="1055">
      <c r="A1055" s="7" t="inlineStr">
        <is>
          <t>Lei 9.605/98</t>
        </is>
      </c>
      <c r="B1055" s="7" t="inlineStr">
        <is>
          <t>Art. 39</t>
        </is>
      </c>
      <c r="C1055" s="16" t="inlineStr">
        <is>
          <t>Cortar árvores em floresta de preservação permanente sem autorização da autoridade competente</t>
        </is>
      </c>
      <c r="D1055" s="7" t="n">
        <v>12</v>
      </c>
      <c r="E1055" s="7" t="n">
        <v>36</v>
      </c>
      <c r="F1055" s="7" t="inlineStr">
        <is>
          <t>Detenção</t>
        </is>
      </c>
      <c r="G1055" s="7" t="inlineStr">
        <is>
          <t>Pública Incondicionada</t>
        </is>
      </c>
      <c r="H1055" s="7" t="inlineStr">
        <is>
          <t>Não</t>
        </is>
      </c>
      <c r="I1055" s="7" t="inlineStr">
        <is>
          <t>Doloso</t>
        </is>
      </c>
      <c r="J1055" s="7" t="inlineStr">
        <is>
          <t>Sim</t>
        </is>
      </c>
      <c r="K1055" s="7" t="inlineStr">
        <is>
          <t>Não</t>
        </is>
      </c>
      <c r="L1055" s="7" t="inlineStr">
        <is>
          <t>Não</t>
        </is>
      </c>
      <c r="M1055" s="7" t="inlineStr">
        <is>
          <t>Sim</t>
        </is>
      </c>
      <c r="N1055" s="7" t="inlineStr">
        <is>
          <t>Sim</t>
        </is>
      </c>
      <c r="O1055" s="7" t="inlineStr">
        <is>
          <t>Sim</t>
        </is>
      </c>
      <c r="P1055" s="16" t="inlineStr">
        <is>
          <t>1-3 anos detenção + multa</t>
        </is>
      </c>
    </row>
    <row r="1056">
      <c r="A1056" s="7" t="inlineStr">
        <is>
          <t>Lei 9.605/98</t>
        </is>
      </c>
      <c r="B1056" s="7" t="inlineStr">
        <is>
          <t>Art. 40</t>
        </is>
      </c>
      <c r="C1056" s="16" t="inlineStr">
        <is>
          <t>Causar dano direto ou indireto às unidades de conservação</t>
        </is>
      </c>
      <c r="D1056" s="7" t="n">
        <v>12</v>
      </c>
      <c r="E1056" s="7" t="n">
        <v>60</v>
      </c>
      <c r="F1056" s="7" t="inlineStr">
        <is>
          <t>Reclusão</t>
        </is>
      </c>
      <c r="G1056" s="7" t="inlineStr">
        <is>
          <t>Pública Incondicionada</t>
        </is>
      </c>
      <c r="H1056" s="7" t="inlineStr">
        <is>
          <t>Não</t>
        </is>
      </c>
      <c r="I1056" s="7" t="inlineStr">
        <is>
          <t>Doloso</t>
        </is>
      </c>
      <c r="J1056" s="7" t="inlineStr">
        <is>
          <t>Sim</t>
        </is>
      </c>
      <c r="K1056" s="7" t="inlineStr">
        <is>
          <t>Não</t>
        </is>
      </c>
      <c r="L1056" s="7" t="inlineStr">
        <is>
          <t>Não</t>
        </is>
      </c>
      <c r="M1056" s="7" t="inlineStr">
        <is>
          <t>Sim</t>
        </is>
      </c>
      <c r="N1056" s="7" t="inlineStr">
        <is>
          <t>Sim</t>
        </is>
      </c>
      <c r="O1056" s="7" t="inlineStr">
        <is>
          <t>Sim</t>
        </is>
      </c>
      <c r="P1056" s="16" t="inlineStr">
        <is>
          <t>1-5 anos reclusão + multa</t>
        </is>
      </c>
    </row>
    <row r="1057">
      <c r="A1057" s="7" t="inlineStr">
        <is>
          <t>Lei 9.605/98</t>
        </is>
      </c>
      <c r="B1057" s="7" t="inlineStr">
        <is>
          <t>Art. 41</t>
        </is>
      </c>
      <c r="C1057" s="16" t="inlineStr">
        <is>
          <t>Provocar incêndio em mata ou floresta</t>
        </is>
      </c>
      <c r="D1057" s="7" t="n">
        <v>24</v>
      </c>
      <c r="E1057" s="7" t="n">
        <v>48</v>
      </c>
      <c r="F1057" s="7" t="inlineStr">
        <is>
          <t>Reclusão</t>
        </is>
      </c>
      <c r="G1057" s="7" t="inlineStr">
        <is>
          <t>Pública Incondicionada</t>
        </is>
      </c>
      <c r="H1057" s="7" t="inlineStr">
        <is>
          <t>Não</t>
        </is>
      </c>
      <c r="I1057" s="7" t="inlineStr">
        <is>
          <t>Doloso</t>
        </is>
      </c>
      <c r="J1057" s="7" t="inlineStr">
        <is>
          <t>Sim</t>
        </is>
      </c>
      <c r="K1057" s="7" t="inlineStr">
        <is>
          <t>Não</t>
        </is>
      </c>
      <c r="L1057" s="7" t="inlineStr">
        <is>
          <t>Não</t>
        </is>
      </c>
      <c r="M1057" s="7" t="inlineStr">
        <is>
          <t>Sim</t>
        </is>
      </c>
      <c r="N1057" s="7" t="inlineStr">
        <is>
          <t>Não</t>
        </is>
      </c>
      <c r="O1057" s="7" t="inlineStr">
        <is>
          <t>Sim</t>
        </is>
      </c>
      <c r="P1057" s="16" t="inlineStr">
        <is>
          <t>2-4 anos reclusão + multa. §único: culposo: 6m-1a detenção + multa</t>
        </is>
      </c>
    </row>
    <row r="1058">
      <c r="A1058" s="7" t="inlineStr">
        <is>
          <t>Lei 9.605/98</t>
        </is>
      </c>
      <c r="B1058" s="7" t="inlineStr">
        <is>
          <t>Art. 54, §2º, I</t>
        </is>
      </c>
      <c r="C1058" s="16" t="inlineStr">
        <is>
          <t>Poluição qualificada — tornar área urbana ou rural imprópria para ocupação humana</t>
        </is>
      </c>
      <c r="D1058" s="7" t="n">
        <v>12</v>
      </c>
      <c r="E1058" s="7" t="n">
        <v>60</v>
      </c>
      <c r="F1058" s="7" t="inlineStr">
        <is>
          <t>Reclusão</t>
        </is>
      </c>
      <c r="G1058" s="7" t="inlineStr">
        <is>
          <t>Pública Incondicionada</t>
        </is>
      </c>
      <c r="H1058" s="7" t="inlineStr">
        <is>
          <t>Não</t>
        </is>
      </c>
      <c r="I1058" s="7" t="inlineStr">
        <is>
          <t>Doloso</t>
        </is>
      </c>
      <c r="J1058" s="7" t="inlineStr">
        <is>
          <t>Sim</t>
        </is>
      </c>
      <c r="K1058" s="7" t="inlineStr">
        <is>
          <t>Não</t>
        </is>
      </c>
      <c r="L1058" s="7" t="inlineStr">
        <is>
          <t>Não</t>
        </is>
      </c>
      <c r="M1058" s="7" t="inlineStr">
        <is>
          <t>Sim</t>
        </is>
      </c>
      <c r="N1058" s="7" t="inlineStr">
        <is>
          <t>Sim</t>
        </is>
      </c>
      <c r="O1058" s="7" t="inlineStr">
        <is>
          <t>Sim</t>
        </is>
      </c>
      <c r="P1058" s="16" t="inlineStr">
        <is>
          <t>1-5 anos reclusão + multa</t>
        </is>
      </c>
    </row>
    <row r="1059">
      <c r="A1059" s="7" t="inlineStr">
        <is>
          <t>Lei 9.605/98</t>
        </is>
      </c>
      <c r="B1059" s="7" t="inlineStr">
        <is>
          <t>Art. 54, §2º, II</t>
        </is>
      </c>
      <c r="C1059" s="16" t="inlineStr">
        <is>
          <t>Poluição qualificada — causar poluição atmosférica que provoque a retirada de habitantes</t>
        </is>
      </c>
      <c r="D1059" s="7" t="n">
        <v>12</v>
      </c>
      <c r="E1059" s="7" t="n">
        <v>60</v>
      </c>
      <c r="F1059" s="7" t="inlineStr">
        <is>
          <t>Reclusão</t>
        </is>
      </c>
      <c r="G1059" s="7" t="inlineStr">
        <is>
          <t>Pública Incondicionada</t>
        </is>
      </c>
      <c r="H1059" s="7" t="inlineStr">
        <is>
          <t>Não</t>
        </is>
      </c>
      <c r="I1059" s="7" t="inlineStr">
        <is>
          <t>Doloso</t>
        </is>
      </c>
      <c r="J1059" s="7" t="inlineStr">
        <is>
          <t>Sim</t>
        </is>
      </c>
      <c r="K1059" s="7" t="inlineStr">
        <is>
          <t>Não</t>
        </is>
      </c>
      <c r="L1059" s="7" t="inlineStr">
        <is>
          <t>Não</t>
        </is>
      </c>
      <c r="M1059" s="7" t="inlineStr">
        <is>
          <t>Sim</t>
        </is>
      </c>
      <c r="N1059" s="7" t="inlineStr">
        <is>
          <t>Sim</t>
        </is>
      </c>
      <c r="O1059" s="7" t="inlineStr">
        <is>
          <t>Sim</t>
        </is>
      </c>
      <c r="P1059" s="16" t="inlineStr">
        <is>
          <t>1-5 anos reclusão + multa</t>
        </is>
      </c>
    </row>
    <row r="1060">
      <c r="A1060" s="7" t="inlineStr">
        <is>
          <t>Lei 9.605/98</t>
        </is>
      </c>
      <c r="B1060" s="7" t="inlineStr">
        <is>
          <t>Art. 54, §2º, III</t>
        </is>
      </c>
      <c r="C1060" s="16" t="inlineStr">
        <is>
          <t>Poluição qualificada — causar poluição hídrica que torne necessária a interrupção do abastecimento público</t>
        </is>
      </c>
      <c r="D1060" s="7" t="n">
        <v>12</v>
      </c>
      <c r="E1060" s="7" t="n">
        <v>60</v>
      </c>
      <c r="F1060" s="7" t="inlineStr">
        <is>
          <t>Reclusão</t>
        </is>
      </c>
      <c r="G1060" s="7" t="inlineStr">
        <is>
          <t>Pública Incondicionada</t>
        </is>
      </c>
      <c r="H1060" s="7" t="inlineStr">
        <is>
          <t>Não</t>
        </is>
      </c>
      <c r="I1060" s="7" t="inlineStr">
        <is>
          <t>Doloso</t>
        </is>
      </c>
      <c r="J1060" s="7" t="inlineStr">
        <is>
          <t>Sim</t>
        </is>
      </c>
      <c r="K1060" s="7" t="inlineStr">
        <is>
          <t>Não</t>
        </is>
      </c>
      <c r="L1060" s="7" t="inlineStr">
        <is>
          <t>Não</t>
        </is>
      </c>
      <c r="M1060" s="7" t="inlineStr">
        <is>
          <t>Sim</t>
        </is>
      </c>
      <c r="N1060" s="7" t="inlineStr">
        <is>
          <t>Sim</t>
        </is>
      </c>
      <c r="O1060" s="7" t="inlineStr">
        <is>
          <t>Sim</t>
        </is>
      </c>
      <c r="P1060" s="16" t="inlineStr">
        <is>
          <t>1-5 anos reclusão + multa</t>
        </is>
      </c>
    </row>
    <row r="1061">
      <c r="A1061" s="7" t="inlineStr">
        <is>
          <t>Lei 9.605/98</t>
        </is>
      </c>
      <c r="B1061" s="7" t="inlineStr">
        <is>
          <t>Art. 54, §2º, IV</t>
        </is>
      </c>
      <c r="C1061" s="16" t="inlineStr">
        <is>
          <t>Poluição qualificada — dificultar ou impedir o uso público das praias</t>
        </is>
      </c>
      <c r="D1061" s="7" t="n">
        <v>12</v>
      </c>
      <c r="E1061" s="7" t="n">
        <v>60</v>
      </c>
      <c r="F1061" s="7" t="inlineStr">
        <is>
          <t>Reclusão</t>
        </is>
      </c>
      <c r="G1061" s="7" t="inlineStr">
        <is>
          <t>Pública Incondicionada</t>
        </is>
      </c>
      <c r="H1061" s="7" t="inlineStr">
        <is>
          <t>Não</t>
        </is>
      </c>
      <c r="I1061" s="7" t="inlineStr">
        <is>
          <t>Doloso</t>
        </is>
      </c>
      <c r="J1061" s="7" t="inlineStr">
        <is>
          <t>Sim</t>
        </is>
      </c>
      <c r="K1061" s="7" t="inlineStr">
        <is>
          <t>Não</t>
        </is>
      </c>
      <c r="L1061" s="7" t="inlineStr">
        <is>
          <t>Não</t>
        </is>
      </c>
      <c r="M1061" s="7" t="inlineStr">
        <is>
          <t>Sim</t>
        </is>
      </c>
      <c r="N1061" s="7" t="inlineStr">
        <is>
          <t>Sim</t>
        </is>
      </c>
      <c r="O1061" s="7" t="inlineStr">
        <is>
          <t>Sim</t>
        </is>
      </c>
      <c r="P1061" s="16" t="inlineStr">
        <is>
          <t>1-5 anos reclusão + multa</t>
        </is>
      </c>
    </row>
    <row r="1062">
      <c r="A1062" s="7" t="inlineStr">
        <is>
          <t>Lei 9.605/98</t>
        </is>
      </c>
      <c r="B1062" s="7" t="inlineStr">
        <is>
          <t>Art. 54, §2º, V</t>
        </is>
      </c>
      <c r="C1062" s="16" t="inlineStr">
        <is>
          <t>Poluição qualificada — lançamento de resíduos sólidos/líquidos/gasosos ou detritos/óleos/substâncias oleosas em desacordo</t>
        </is>
      </c>
      <c r="D1062" s="7" t="n">
        <v>12</v>
      </c>
      <c r="E1062" s="7" t="n">
        <v>60</v>
      </c>
      <c r="F1062" s="7" t="inlineStr">
        <is>
          <t>Reclusão</t>
        </is>
      </c>
      <c r="G1062" s="7" t="inlineStr">
        <is>
          <t>Pública Incondicionada</t>
        </is>
      </c>
      <c r="H1062" s="7" t="inlineStr">
        <is>
          <t>Não</t>
        </is>
      </c>
      <c r="I1062" s="7" t="inlineStr">
        <is>
          <t>Doloso</t>
        </is>
      </c>
      <c r="J1062" s="7" t="inlineStr">
        <is>
          <t>Sim</t>
        </is>
      </c>
      <c r="K1062" s="7" t="inlineStr">
        <is>
          <t>Não</t>
        </is>
      </c>
      <c r="L1062" s="7" t="inlineStr">
        <is>
          <t>Não</t>
        </is>
      </c>
      <c r="M1062" s="7" t="inlineStr">
        <is>
          <t>Sim</t>
        </is>
      </c>
      <c r="N1062" s="7" t="inlineStr">
        <is>
          <t>Sim</t>
        </is>
      </c>
      <c r="O1062" s="7" t="inlineStr">
        <is>
          <t>Sim</t>
        </is>
      </c>
      <c r="P1062" s="16" t="inlineStr">
        <is>
          <t>1-5 anos reclusão + multa</t>
        </is>
      </c>
    </row>
    <row r="1063">
      <c r="A1063" s="7" t="inlineStr">
        <is>
          <t>Lei 9.605/98</t>
        </is>
      </c>
      <c r="B1063" s="7" t="inlineStr">
        <is>
          <t>Art. 62, I</t>
        </is>
      </c>
      <c r="C1063" s="16" t="inlineStr">
        <is>
          <t>Destruir/inutilizar/deteriorar bem especialmente protegido por lei/ato administrativo/decisão judicial (patrimônio cultural)</t>
        </is>
      </c>
      <c r="D1063" s="7" t="n">
        <v>12</v>
      </c>
      <c r="E1063" s="7" t="n">
        <v>36</v>
      </c>
      <c r="F1063" s="7" t="inlineStr">
        <is>
          <t>Reclusão</t>
        </is>
      </c>
      <c r="G1063" s="7" t="inlineStr">
        <is>
          <t>Pública Incondicionada</t>
        </is>
      </c>
      <c r="H1063" s="7" t="inlineStr">
        <is>
          <t>Não</t>
        </is>
      </c>
      <c r="I1063" s="7" t="inlineStr">
        <is>
          <t>Doloso</t>
        </is>
      </c>
      <c r="J1063" s="7" t="inlineStr">
        <is>
          <t>Sim</t>
        </is>
      </c>
      <c r="K1063" s="7" t="inlineStr">
        <is>
          <t>Não</t>
        </is>
      </c>
      <c r="L1063" s="7" t="inlineStr">
        <is>
          <t>Não</t>
        </is>
      </c>
      <c r="M1063" s="7" t="inlineStr">
        <is>
          <t>Sim</t>
        </is>
      </c>
      <c r="N1063" s="7" t="inlineStr">
        <is>
          <t>Sim</t>
        </is>
      </c>
      <c r="O1063" s="7" t="inlineStr">
        <is>
          <t>Sim</t>
        </is>
      </c>
      <c r="P1063" s="16" t="inlineStr">
        <is>
          <t>1-3 anos reclusão + multa</t>
        </is>
      </c>
    </row>
    <row r="1064">
      <c r="A1064" s="7" t="inlineStr">
        <is>
          <t>Lei 9.605/98</t>
        </is>
      </c>
      <c r="B1064" s="7" t="inlineStr">
        <is>
          <t>Art. 62, II</t>
        </is>
      </c>
      <c r="C1064" s="16" t="inlineStr">
        <is>
          <t>Destruir/inutilizar/deteriorar arquivo/registro/museu/biblioteca/pinacoteca/instalação científica ou similar</t>
        </is>
      </c>
      <c r="D1064" s="7" t="n">
        <v>12</v>
      </c>
      <c r="E1064" s="7" t="n">
        <v>36</v>
      </c>
      <c r="F1064" s="7" t="inlineStr">
        <is>
          <t>Reclusão</t>
        </is>
      </c>
      <c r="G1064" s="7" t="inlineStr">
        <is>
          <t>Pública Incondicionada</t>
        </is>
      </c>
      <c r="H1064" s="7" t="inlineStr">
        <is>
          <t>Não</t>
        </is>
      </c>
      <c r="I1064" s="7" t="inlineStr">
        <is>
          <t>Doloso</t>
        </is>
      </c>
      <c r="J1064" s="7" t="inlineStr">
        <is>
          <t>Sim</t>
        </is>
      </c>
      <c r="K1064" s="7" t="inlineStr">
        <is>
          <t>Não</t>
        </is>
      </c>
      <c r="L1064" s="7" t="inlineStr">
        <is>
          <t>Não</t>
        </is>
      </c>
      <c r="M1064" s="7" t="inlineStr">
        <is>
          <t>Sim</t>
        </is>
      </c>
      <c r="N1064" s="7" t="inlineStr">
        <is>
          <t>Sim</t>
        </is>
      </c>
      <c r="O1064" s="7" t="inlineStr">
        <is>
          <t>Sim</t>
        </is>
      </c>
      <c r="P1064" s="16" t="inlineStr">
        <is>
          <t>1-3 anos reclusão + multa</t>
        </is>
      </c>
    </row>
    <row r="1067">
      <c r="A1067" s="12" t="inlineStr">
        <is>
          <t>LEGENDA DE CORES:</t>
        </is>
      </c>
    </row>
    <row r="1068">
      <c r="A1068" s="30" t="inlineStr">
        <is>
          <t>Rosa</t>
        </is>
      </c>
      <c r="B1068" t="inlineStr">
        <is>
          <t>Crime Hediondo ou equiparado</t>
        </is>
      </c>
    </row>
    <row r="1069">
      <c r="A1069" s="31" t="inlineStr">
        <is>
          <t>Laranja claro</t>
        </is>
      </c>
      <c r="B1069" t="inlineStr">
        <is>
          <t>Envolve violência e/ou grave ameaça</t>
        </is>
      </c>
    </row>
    <row r="1070">
      <c r="A1070" s="32" t="inlineStr">
        <is>
          <t>Cinza claro</t>
        </is>
      </c>
      <c r="B1070" t="inlineStr">
        <is>
          <t>Referência / sem pena privativa de liberdade</t>
        </is>
      </c>
    </row>
  </sheetData>
  <autoFilter ref="A3:P1064"/>
  <mergeCells count="2">
    <mergeCell ref="A1:P1"/>
    <mergeCell ref="A2:P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2026-06-22T21:09:38Z</dcterms:created>
  <dcterms:modified xmlns:dcterms="http://purl.org/dc/terms/" xmlns:xsi="http://www.w3.org/2001/XMLSchema-instance" xsi:type="dcterms:W3CDTF">2026-06-23T00:09:40Z</dcterms:modified>
</cp:coreProperties>
</file>